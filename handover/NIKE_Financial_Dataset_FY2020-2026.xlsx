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Tổng quan" sheetId="1" r:id="rId1"/>
    <sheet name="02 Dữ liệu tài chính" sheetId="2" r:id="rId2"/>
    <sheet name="03 Kênh phân phối" sheetId="3" r:id="rId3"/>
    <sheet name="04 KPI &amp; Tính toán" sheetId="4" r:id="rId4"/>
    <sheet name="05 Nguồn &amp; Định nghĩa" sheetId="5" r:id="rId5"/>
  </sheets>
  <definedNames>
    <definedName name="_xlnm._FilterDatabase" localSheetId="1" hidden="1">'02 Dữ liệu tài chính'!$A$4:$Z$109</definedName>
    <definedName name="_xlnm._FilterDatabase" localSheetId="2" hidden="1">'03 Kênh phân phối'!$A$4:$Z$102</definedName>
    <definedName name="_xlnm.Print_Titles" localSheetId="1">'02 Dữ liệu tài chính'!$4:$4</definedName>
    <definedName name="_xlnm.Print_Titles" localSheetId="2">'03 Kênh phân phối'!$4:$4</definedName>
  </definedNames>
  <calcPr calcId="124519" fullCalcOnLoad="1"/>
</workbook>
</file>

<file path=xl/sharedStrings.xml><?xml version="1.0" encoding="utf-8"?>
<sst xmlns="http://schemas.openxmlformats.org/spreadsheetml/2006/main" count="5267" uniqueCount="1050">
  <si>
    <t>Bộ dữ liệu tài chính NIKE, Inc. FY2020–FY2026</t>
  </si>
  <si>
    <t>Cơ sở số liệu cho đề tài “Đổi mới và tái cân bằng chiến lược phân phối tại Nike: Từ Direct-to-Consumer (D2C) đến bán buôn và những biến động tài chính giai đoạn FY2020–FY2026”.</t>
  </si>
  <si>
    <t>Thông tin chung</t>
  </si>
  <si>
    <t>Mục đích</t>
  </si>
  <si>
    <t>Tập hợp số liệu chính thức về doanh thu theo kênh phân phối (NIKE Direct, bán buôn) và kết quả tài chính hợp nhất của NIKE, Inc. để nhóm dùng trong báo cáo, thuyết trình và dashboard.</t>
  </si>
  <si>
    <t>Kỳ nghiên cứu</t>
  </si>
  <si>
    <t>FY2020–FY2026. Năm tài chính của NIKE kết thúc ngày 31/5, ví dụ FY2026 = 01/06/2025 – 31/05/2026. FY không trùng với năm dương lịch.</t>
  </si>
  <si>
    <t>Đơn vị</t>
  </si>
  <si>
    <t>Triệu USD, trừ khi cột “Đơn vị” ghi khác (tỷ USD cho doanh số Digital; % cho tỷ lệ). Không quy đổi sang VND.</t>
  </si>
  <si>
    <t>Nguồn</t>
  </si>
  <si>
    <t>7 báo cáo thường niên Form 10-K của NIKE, Inc. nộp Ủy ban Chứng khoán Mỹ (SEC), FY2020–FY2026. Không dùng trang tổng hợp tài chính của bên thứ ba.</t>
  </si>
  <si>
    <t>Thứ tự ưu tiên nguồn</t>
  </si>
  <si>
    <t>(1) Báo cáo tài chính đã kiểm toán và thuyết minh (Item 8), lấy từ dữ liệu XBRL đi kèm chính báo cáo 10-K. (2) Phần MD&amp;A (Item 7) của cùng báo cáo, cho các số non-GAAP và số do ban điều hành nêu: EBIT, tăng trưởng loại trừ tỷ giá, doanh số Digital. (3) Dữ liệu XBRL do SEC công bố chỉ dùng để đối chiếu.</t>
  </si>
  <si>
    <t>Quy tắc chọn số</t>
  </si>
  <si>
    <t>Số liệu của mỗi năm tài chính được lấy từ báo cáo 10-K của chính năm đó. “Giá trị năm trước” là số của năm trước được in kèm trong cùng báo cáo để so sánh, dùng để tính tăng trưởng giống cách NIKE tự tính. Nếu báo cáo năm sau trình bày lại số liệu, phần chênh lệch được ghi ở cột “Trình bày lại ở 10-K sau”, số gốc giữ nguyên.</t>
  </si>
  <si>
    <t>Tình trạng dữ liệu</t>
  </si>
  <si>
    <t>Trích xuất tự động ngày 23/10/2026. 203 số liệu: 202 khớp nguồn chính thức, 1 không được công bố.</t>
  </si>
  <si>
    <t>Cách sử dụng</t>
  </si>
  <si>
    <t>1. Đọc số liệu</t>
  </si>
  <si>
    <t>Sheet 02 (hợp nhất NIKE, Inc.) và 03 (kênh phân phối NIKE Brand). Mỗi dòng là một số liệu của một năm. Dùng nút lọc ở dòng tiêu đề để chọn chỉ tiêu hoặc năm.</t>
  </si>
  <si>
    <t>2. Kiểm tra nguồn</t>
  </si>
  <si>
    <t>Bấm liên kết ở cột “Tài liệu nguồn” để mở 10-K trên SEC EDGAR. Tìm số trang ở cột “Trang” (số in ở chân trang, dạng “2026 FORM 10-K 83”) rồi đối chiếu với cột “Số hoặc câu hiển thị trong tài liệu”.</t>
  </si>
  <si>
    <t>3. Ghi nhận xác minh</t>
  </si>
  <si>
    <t>Sau khi tự đối chiếu, chọn “Đã xác minh (người)” ở cột “Trạng thái dữ liệu” và điền tên, ngày ở các cột nền vàng.</t>
  </si>
  <si>
    <t>4. Xem chỉ số</t>
  </si>
  <si>
    <t>Sheet 04 tính các tỷ lệ bằng công thức Excel từ sheet 02–03. Cột “Công thức” giải thích cách tính từng chỉ số, mục D–E là phần kiểm tra.</t>
  </si>
  <si>
    <t>5. Tra cứu</t>
  </si>
  <si>
    <t>Sheet 05: danh mục 10-K, thuật ngữ, các số liệu còn thiếu và các lần NIKE trình bày lại số liệu.</t>
  </si>
  <si>
    <t>Quy ước trình bày</t>
  </si>
  <si>
    <t>Chữ xanh dương</t>
  </si>
  <si>
    <t>Số liệu nhập từ tài liệu nguồn (không phải công thức).</t>
  </si>
  <si>
    <t>Chữ xanh lá</t>
  </si>
  <si>
    <t>Công thức lấy số liệu từ sheet khác.</t>
  </si>
  <si>
    <t>Chữ đen</t>
  </si>
  <si>
    <t>Công thức tính toán.</t>
  </si>
  <si>
    <t>Số âm</t>
  </si>
  <si>
    <t>Trong ngoặc đơn, ví dụ (50), theo cách trình bày của NIKE. Tỷ lệ % dùng dấu trừ.</t>
  </si>
  <si>
    <t>Ô trống</t>
  </si>
  <si>
    <t>Đi kèm trạng thái “Thiếu / không công bố”, nghĩa là NIKE không công bố số liệu đó. Ô để trống chứ không điền số 0. Ở sheet 04, “–” nghĩa là không tính được vì thiếu số đầu vào.</t>
  </si>
  <si>
    <t>Tỷ lệ %</t>
  </si>
  <si>
    <t>Lưu dạng thập phân (0,14 hiển thị 14%) để dùng được trong công thức.</t>
  </si>
  <si>
    <t>Cột tiêu đề nền vàng</t>
  </si>
  <si>
    <t>Dành cho nhóm điền: người xác minh, ngày xác minh, ghi chú.</t>
  </si>
  <si>
    <t>Lưu ý khi dùng cho nghiên cứu</t>
  </si>
  <si>
    <t>Không suy ra nhân quả</t>
  </si>
  <si>
    <t>Các chỉ số chỉ cho thấy số liệu thay đổi trong cùng giai đoạn, không chứng minh việc thay đổi chiến lược kênh là nguyên nhân.</t>
  </si>
  <si>
    <t>Không có lợi nhuận theo kênh</t>
  </si>
  <si>
    <t>NIKE không công bố lợi nhuận hay chi phí riêng của NIKE Direct và bán buôn. SG&amp;A là chi phí chung của cả công ty.</t>
  </si>
  <si>
    <t>Không trộn phạm vi</t>
  </si>
  <si>
    <t>Tỷ trọng các kênh tính trên doanh thu NIKE Brand, còn biên lợi nhuận tính trên doanh thu NIKE, Inc.</t>
  </si>
  <si>
    <t>Trích dẫn</t>
  </si>
  <si>
    <t>Khi dùng số liệu, trích dẫn 10-K gốc (năm, trang) thay vì trích dẫn file này.</t>
  </si>
  <si>
    <t>Liên kết dashboard</t>
  </si>
  <si>
    <t>https://miurikyasakytg2006-dot.github.io/nike-financial-dashboard/</t>
  </si>
  <si>
    <t>Dữ liệu tài chính hợp nhất – NIKE, Inc.</t>
  </si>
  <si>
    <t>Báo cáo kết quả kinh doanh, hàng tồn kho, EBIT và tăng trưởng doanh thu NIKE công bố. Mỗi dòng là một chỉ tiêu của một năm tài chính.</t>
  </si>
  <si>
    <t>Năm tài chính</t>
  </si>
  <si>
    <t>Chỉ tiêu</t>
  </si>
  <si>
    <t>Giá trị</t>
  </si>
  <si>
    <t>Giá trị năm trước (cùng 10-K)</t>
  </si>
  <si>
    <t>Phạm vi báo cáo</t>
  </si>
  <si>
    <t>Kênh</t>
  </si>
  <si>
    <t>Loại số liệu</t>
  </si>
  <si>
    <t>Trạng thái dữ liệu</t>
  </si>
  <si>
    <t>Tài liệu nguồn (mở trên SEC)</t>
  </si>
  <si>
    <t>Trang</t>
  </si>
  <si>
    <t>Mục trong 10-K</t>
  </si>
  <si>
    <t>Vị trí chi tiết</t>
  </si>
  <si>
    <t>Số hoặc câu hiển thị trong tài liệu</t>
  </si>
  <si>
    <t>Đối chiếu tự động</t>
  </si>
  <si>
    <t>Trình bày lại ở 10-K sau</t>
  </si>
  <si>
    <t>Người xác minh</t>
  </si>
  <si>
    <t>Ngày xác minh</t>
  </si>
  <si>
    <t>Ghi chú của nhóm</t>
  </si>
  <si>
    <t>Dòng trong 10-K (tiếng Anh)</t>
  </si>
  <si>
    <t>Thẻ XBRL</t>
  </si>
  <si>
    <t>Kỳ báo cáo</t>
  </si>
  <si>
    <t>Ngày nộp SEC</t>
  </si>
  <si>
    <t>Số accession</t>
  </si>
  <si>
    <t>Mã chỉ tiêu</t>
  </si>
  <si>
    <t>Mã quan sát</t>
  </si>
  <si>
    <t>FY2020</t>
  </si>
  <si>
    <t>Doanh thu</t>
  </si>
  <si>
    <t>triệu USD</t>
  </si>
  <si>
    <t>NIKE, Inc.</t>
  </si>
  <si>
    <t>—</t>
  </si>
  <si>
    <t>GAAP – BCTC đã kiểm toán</t>
  </si>
  <si>
    <t>Khớp nguồn chính thức</t>
  </si>
  <si>
    <t>10-K FY2020</t>
  </si>
  <si>
    <t>CONSOLIDATED STATEMENTS OF INCOME</t>
  </si>
  <si>
    <t>Item 8 – Consolidated Statements of Income, dòng “Revenues”</t>
  </si>
  <si>
    <t>37,403</t>
  </si>
  <si>
    <t>Khớp với dữ liệu XBRL do SEC công bố (cùng số accession).</t>
  </si>
  <si>
    <t>Không thay đổi khi trình bày lại trong 10-K FY2021, FY2022.</t>
  </si>
  <si>
    <t/>
  </si>
  <si>
    <t>Revenues</t>
  </si>
  <si>
    <t>us-gaap:RevenueFromContractWithCustomerExcludingAssessedTax</t>
  </si>
  <si>
    <t>01/06/2019 – 31/05/2020</t>
  </si>
  <si>
    <t>24/07/2020</t>
  </si>
  <si>
    <t>0000320187-20-000047</t>
  </si>
  <si>
    <t>revenues</t>
  </si>
  <si>
    <t>FY2020|revenues</t>
  </si>
  <si>
    <t>FY2021</t>
  </si>
  <si>
    <t>10-K FY2021</t>
  </si>
  <si>
    <t>44,538</t>
  </si>
  <si>
    <t>Không thay đổi khi trình bày lại trong 10-K FY2022, FY2023.</t>
  </si>
  <si>
    <t>01/06/2020 – 31/05/2021</t>
  </si>
  <si>
    <t>20/07/2021</t>
  </si>
  <si>
    <t>0000320187-21-000028</t>
  </si>
  <si>
    <t>FY2021|revenues</t>
  </si>
  <si>
    <t>FY2022</t>
  </si>
  <si>
    <t>10-K FY2022</t>
  </si>
  <si>
    <t>46,710</t>
  </si>
  <si>
    <t>Không thay đổi khi trình bày lại trong 10-K FY2023, FY2024.</t>
  </si>
  <si>
    <t>01/06/2021 – 31/05/2022</t>
  </si>
  <si>
    <t>21/07/2022</t>
  </si>
  <si>
    <t>0000320187-22-000038</t>
  </si>
  <si>
    <t>FY2022|revenues</t>
  </si>
  <si>
    <t>FY2023</t>
  </si>
  <si>
    <t>10-K FY2023</t>
  </si>
  <si>
    <t>51,217</t>
  </si>
  <si>
    <t>Không thay đổi khi trình bày lại trong 10-K FY2024, FY2025.</t>
  </si>
  <si>
    <t>01/06/2022 – 31/05/2023</t>
  </si>
  <si>
    <t>20/07/2023</t>
  </si>
  <si>
    <t>0000320187-23-000039</t>
  </si>
  <si>
    <t>FY2023|revenues</t>
  </si>
  <si>
    <t>FY2024</t>
  </si>
  <si>
    <t>10-K FY2024</t>
  </si>
  <si>
    <t>51,362</t>
  </si>
  <si>
    <t>Không thay đổi khi trình bày lại trong 10-K FY2025, FY2026.</t>
  </si>
  <si>
    <t>01/06/2023 – 31/05/2024</t>
  </si>
  <si>
    <t>25/07/2024</t>
  </si>
  <si>
    <t>0000320187-24-000044</t>
  </si>
  <si>
    <t>FY2024|revenues</t>
  </si>
  <si>
    <t>FY2025</t>
  </si>
  <si>
    <t>10-K FY2025</t>
  </si>
  <si>
    <t>46,309</t>
  </si>
  <si>
    <t>Không thay đổi khi trình bày lại trong 10-K FY2026.</t>
  </si>
  <si>
    <t>01/06/2024 – 31/05/2025</t>
  </si>
  <si>
    <t>17/07/2025</t>
  </si>
  <si>
    <t>0000320187-25-000047</t>
  </si>
  <si>
    <t>FY2025|revenues</t>
  </si>
  <si>
    <t>FY2026</t>
  </si>
  <si>
    <t>10-K FY2026</t>
  </si>
  <si>
    <t>46,398</t>
  </si>
  <si>
    <t>Chưa có 10-K năm sau để so sánh.</t>
  </si>
  <si>
    <t>01/06/2025 – 31/05/2026</t>
  </si>
  <si>
    <t>15/07/2026</t>
  </si>
  <si>
    <t>0000320187-26-000088</t>
  </si>
  <si>
    <t>FY2026|revenues</t>
  </si>
  <si>
    <t>Giá vốn hàng bán</t>
  </si>
  <si>
    <t>Item 8 – Consolidated Statements of Income, dòng “Cost of sales”</t>
  </si>
  <si>
    <t>21,162</t>
  </si>
  <si>
    <t>Cost of sales</t>
  </si>
  <si>
    <t>us-gaap:CostOfGoodsAndServicesSold</t>
  </si>
  <si>
    <t>cost_of_sales</t>
  </si>
  <si>
    <t>FY2020|cost_of_sales</t>
  </si>
  <si>
    <t>24,576</t>
  </si>
  <si>
    <t>FY2021|cost_of_sales</t>
  </si>
  <si>
    <t>25,231</t>
  </si>
  <si>
    <t>FY2022|cost_of_sales</t>
  </si>
  <si>
    <t>28,925</t>
  </si>
  <si>
    <t>FY2023|cost_of_sales</t>
  </si>
  <si>
    <t>28,475</t>
  </si>
  <si>
    <t>FY2024|cost_of_sales</t>
  </si>
  <si>
    <t>26,519</t>
  </si>
  <si>
    <t>FY2025|cost_of_sales</t>
  </si>
  <si>
    <t>26,487</t>
  </si>
  <si>
    <t>FY2026|cost_of_sales</t>
  </si>
  <si>
    <t>Lợi nhuận gộp</t>
  </si>
  <si>
    <t>Item 8 – Consolidated Statements of Income, dòng “Gross profit”</t>
  </si>
  <si>
    <t>16,241</t>
  </si>
  <si>
    <t>Gross profit</t>
  </si>
  <si>
    <t>us-gaap:GrossProfit</t>
  </si>
  <si>
    <t>gross_profit</t>
  </si>
  <si>
    <t>FY2020|gross_profit</t>
  </si>
  <si>
    <t>19,962</t>
  </si>
  <si>
    <t>FY2021|gross_profit</t>
  </si>
  <si>
    <t>21,479</t>
  </si>
  <si>
    <t>FY2022|gross_profit</t>
  </si>
  <si>
    <t>22,292</t>
  </si>
  <si>
    <t>FY2023|gross_profit</t>
  </si>
  <si>
    <t>22,887</t>
  </si>
  <si>
    <t>FY2024|gross_profit</t>
  </si>
  <si>
    <t>19,790</t>
  </si>
  <si>
    <t>FY2025|gross_profit</t>
  </si>
  <si>
    <t>19,911</t>
  </si>
  <si>
    <t>FY2026|gross_profit</t>
  </si>
  <si>
    <t>Chi phí tạo nhu cầu</t>
  </si>
  <si>
    <t>Item 8 – Consolidated Statements of Income, dòng “Demand creation expense”</t>
  </si>
  <si>
    <t>3,592</t>
  </si>
  <si>
    <t>Demand creation expense</t>
  </si>
  <si>
    <t>us-gaap:MarketingAndAdvertisingExpense</t>
  </si>
  <si>
    <t>demand_creation_expense</t>
  </si>
  <si>
    <t>FY2020|demand_creation_expense</t>
  </si>
  <si>
    <t>3,114</t>
  </si>
  <si>
    <t>FY2021|demand_creation_expense</t>
  </si>
  <si>
    <t>3,850</t>
  </si>
  <si>
    <t>FY2022|demand_creation_expense</t>
  </si>
  <si>
    <t>4,060</t>
  </si>
  <si>
    <t>FY2023|demand_creation_expense</t>
  </si>
  <si>
    <t>4,285</t>
  </si>
  <si>
    <t>FY2024|demand_creation_expense</t>
  </si>
  <si>
    <t>4,689</t>
  </si>
  <si>
    <t>FY2025|demand_creation_expense</t>
  </si>
  <si>
    <t>4,754</t>
  </si>
  <si>
    <t>FY2026|demand_creation_expense</t>
  </si>
  <si>
    <t>Chi phí vận hành chung</t>
  </si>
  <si>
    <t>Item 8 – Consolidated Statements of Income, dòng “Operating overhead expense”</t>
  </si>
  <si>
    <t>9,534</t>
  </si>
  <si>
    <t>Operating overhead expense</t>
  </si>
  <si>
    <t>us-gaap:GeneralAndAdministrativeExpense</t>
  </si>
  <si>
    <t>operating_overhead_expense</t>
  </si>
  <si>
    <t>FY2020|operating_overhead_expense</t>
  </si>
  <si>
    <t>9,911</t>
  </si>
  <si>
    <t>FY2021|operating_overhead_expense</t>
  </si>
  <si>
    <t>10,954</t>
  </si>
  <si>
    <t>FY2022|operating_overhead_expense</t>
  </si>
  <si>
    <t>12,317</t>
  </si>
  <si>
    <t>FY2023|operating_overhead_expense</t>
  </si>
  <si>
    <t>12,291</t>
  </si>
  <si>
    <t>FY2024|operating_overhead_expense</t>
  </si>
  <si>
    <t>11,399</t>
  </si>
  <si>
    <t>FY2025|operating_overhead_expense</t>
  </si>
  <si>
    <t>11,360</t>
  </si>
  <si>
    <t>FY2026|operating_overhead_expense</t>
  </si>
  <si>
    <t>Tổng chi phí bán hàng và quản lý (SG&amp;A)</t>
  </si>
  <si>
    <t>Item 8 – Consolidated Statements of Income, dòng “Total selling and administrative expense”</t>
  </si>
  <si>
    <t>13,126</t>
  </si>
  <si>
    <t>Total selling and administrative expense</t>
  </si>
  <si>
    <t>us-gaap:SellingGeneralAndAdministrativeExpense</t>
  </si>
  <si>
    <t>total_selling_admin_expense</t>
  </si>
  <si>
    <t>FY2020|total_selling_admin_expense</t>
  </si>
  <si>
    <t>13,025</t>
  </si>
  <si>
    <t>FY2021|total_selling_admin_expense</t>
  </si>
  <si>
    <t>14,804</t>
  </si>
  <si>
    <t>FY2022|total_selling_admin_expense</t>
  </si>
  <si>
    <t>16,377</t>
  </si>
  <si>
    <t>FY2023|total_selling_admin_expense</t>
  </si>
  <si>
    <t>16,576</t>
  </si>
  <si>
    <t>FY2024|total_selling_admin_expense</t>
  </si>
  <si>
    <t>16,088</t>
  </si>
  <si>
    <t>FY2025|total_selling_admin_expense</t>
  </si>
  <si>
    <t>16,114</t>
  </si>
  <si>
    <t>FY2026|total_selling_admin_expense</t>
  </si>
  <si>
    <t>Chi phí (thu nhập) lãi thuần</t>
  </si>
  <si>
    <t>Item 8 – Consolidated Statements of Income, dòng “Interest expense (income), net” (10-K FY2026 ghi là “Interest (income) expense, net”)</t>
  </si>
  <si>
    <t>89</t>
  </si>
  <si>
    <t>Interest expense (income), net</t>
  </si>
  <si>
    <t>us-gaap:InterestIncomeExpenseNonoperatingNet</t>
  </si>
  <si>
    <t>interest_expense_net</t>
  </si>
  <si>
    <t>FY2020|interest_expense_net</t>
  </si>
  <si>
    <t>262</t>
  </si>
  <si>
    <t>FY2021|interest_expense_net</t>
  </si>
  <si>
    <t>205</t>
  </si>
  <si>
    <t>FY2022|interest_expense_net</t>
  </si>
  <si>
    <t>(6)</t>
  </si>
  <si>
    <t>FY2023|interest_expense_net</t>
  </si>
  <si>
    <t>(161)</t>
  </si>
  <si>
    <t>FY2024|interest_expense_net</t>
  </si>
  <si>
    <t>(107)</t>
  </si>
  <si>
    <t>FY2025|interest_expense_net</t>
  </si>
  <si>
    <t>(50)</t>
  </si>
  <si>
    <t>FY2026|interest_expense_net</t>
  </si>
  <si>
    <t>Chi phí (thu nhập) khác thuần</t>
  </si>
  <si>
    <t>Item 8 – Consolidated Statements of Income, dòng “Other (income) expense, net”</t>
  </si>
  <si>
    <t>139</t>
  </si>
  <si>
    <t>Other (income) expense, net</t>
  </si>
  <si>
    <t>us-gaap:OtherNonoperatingIncomeExpense</t>
  </si>
  <si>
    <t>other_expense_net</t>
  </si>
  <si>
    <t>FY2020|other_expense_net</t>
  </si>
  <si>
    <t>14</t>
  </si>
  <si>
    <t>FY2021|other_expense_net</t>
  </si>
  <si>
    <t>(181)</t>
  </si>
  <si>
    <t>FY2022|other_expense_net</t>
  </si>
  <si>
    <t>(280)</t>
  </si>
  <si>
    <t>FY2023|other_expense_net</t>
  </si>
  <si>
    <t>(228)</t>
  </si>
  <si>
    <t>FY2024|other_expense_net</t>
  </si>
  <si>
    <t>(76)</t>
  </si>
  <si>
    <t>FY2025|other_expense_net</t>
  </si>
  <si>
    <t>(53)</t>
  </si>
  <si>
    <t>FY2026|other_expense_net</t>
  </si>
  <si>
    <t>Lợi nhuận trước thuế</t>
  </si>
  <si>
    <t>Item 8 – Consolidated Statements of Income, dòng “Income before income taxes”</t>
  </si>
  <si>
    <t>2,887</t>
  </si>
  <si>
    <t>Income before income taxes</t>
  </si>
  <si>
    <t>us-gaap:IncomeLossFromContinuingOperationsBeforeIncomeTaxesMinorityInterestAndIncomeLossFromEquityMethodInvestments</t>
  </si>
  <si>
    <t>income_before_taxes</t>
  </si>
  <si>
    <t>FY2020|income_before_taxes</t>
  </si>
  <si>
    <t>6,661</t>
  </si>
  <si>
    <t>FY2021|income_before_taxes</t>
  </si>
  <si>
    <t>6,651</t>
  </si>
  <si>
    <t>us-gaap:IncomeLossFromContinuingOperationsBeforeIncomeTaxesExtraordinaryItemsNoncontrollingInterest</t>
  </si>
  <si>
    <t>FY2022|income_before_taxes</t>
  </si>
  <si>
    <t>6,201</t>
  </si>
  <si>
    <t>FY2023|income_before_taxes</t>
  </si>
  <si>
    <t>6,700</t>
  </si>
  <si>
    <t>FY2024|income_before_taxes</t>
  </si>
  <si>
    <t>3,885</t>
  </si>
  <si>
    <t>FY2025|income_before_taxes</t>
  </si>
  <si>
    <t>3,900</t>
  </si>
  <si>
    <t>FY2026|income_before_taxes</t>
  </si>
  <si>
    <t>Chi phí thuế thu nhập</t>
  </si>
  <si>
    <t>Item 8 – Consolidated Statements of Income, dòng “Income tax expense”</t>
  </si>
  <si>
    <t>348</t>
  </si>
  <si>
    <t>Income tax expense</t>
  </si>
  <si>
    <t>us-gaap:IncomeTaxExpenseBenefit</t>
  </si>
  <si>
    <t>income_tax_expense</t>
  </si>
  <si>
    <t>FY2020|income_tax_expense</t>
  </si>
  <si>
    <t>934</t>
  </si>
  <si>
    <t>FY2021|income_tax_expense</t>
  </si>
  <si>
    <t>605</t>
  </si>
  <si>
    <t>FY2022|income_tax_expense</t>
  </si>
  <si>
    <t>1,131</t>
  </si>
  <si>
    <t>FY2023|income_tax_expense</t>
  </si>
  <si>
    <t>1,000</t>
  </si>
  <si>
    <t>FY2024|income_tax_expense</t>
  </si>
  <si>
    <t>666</t>
  </si>
  <si>
    <t>FY2025|income_tax_expense</t>
  </si>
  <si>
    <t>792</t>
  </si>
  <si>
    <t>FY2026|income_tax_expense</t>
  </si>
  <si>
    <t>Lợi nhuận sau thuế</t>
  </si>
  <si>
    <t>Item 8 – Consolidated Statements of Income, dòng “Net income”</t>
  </si>
  <si>
    <t>2,539</t>
  </si>
  <si>
    <t>Net income</t>
  </si>
  <si>
    <t>us-gaap:NetIncomeLoss</t>
  </si>
  <si>
    <t>net_income</t>
  </si>
  <si>
    <t>FY2020|net_income</t>
  </si>
  <si>
    <t>5,727</t>
  </si>
  <si>
    <t>FY2021|net_income</t>
  </si>
  <si>
    <t>6,046</t>
  </si>
  <si>
    <t>FY2022|net_income</t>
  </si>
  <si>
    <t>5,070</t>
  </si>
  <si>
    <t>FY2023|net_income</t>
  </si>
  <si>
    <t>5,700</t>
  </si>
  <si>
    <t>FY2024|net_income</t>
  </si>
  <si>
    <t>3,219</t>
  </si>
  <si>
    <t>FY2025|net_income</t>
  </si>
  <si>
    <t>3,108</t>
  </si>
  <si>
    <t>FY2026|net_income</t>
  </si>
  <si>
    <t>Hàng tồn kho cuối kỳ</t>
  </si>
  <si>
    <t>CONSOLIDATED BALANCE SHEETS</t>
  </si>
  <si>
    <t>Item 8 – Consolidated Balance Sheets, dòng “Inventories” (số dư tại 31/5)</t>
  </si>
  <si>
    <t>7,367</t>
  </si>
  <si>
    <t>Không thay đổi khi trình bày lại trong 10-K FY2021.</t>
  </si>
  <si>
    <t>Inventories</t>
  </si>
  <si>
    <t>us-gaap:InventoryFinishedGoodsNetOfReserves</t>
  </si>
  <si>
    <t>Số dư tại 31/05/2020</t>
  </si>
  <si>
    <t>inventories</t>
  </si>
  <si>
    <t>FY2020|inventories</t>
  </si>
  <si>
    <t>6,854</t>
  </si>
  <si>
    <t>Không thay đổi khi trình bày lại trong 10-K FY2022.</t>
  </si>
  <si>
    <t>Số dư tại 31/05/2021</t>
  </si>
  <si>
    <t>FY2021|inventories</t>
  </si>
  <si>
    <t>8,420</t>
  </si>
  <si>
    <t>Không thay đổi khi trình bày lại trong 10-K FY2023.</t>
  </si>
  <si>
    <t>Số dư tại 31/05/2022</t>
  </si>
  <si>
    <t>FY2022|inventories</t>
  </si>
  <si>
    <t>8,454</t>
  </si>
  <si>
    <t>Số dư tại 31/05/2023</t>
  </si>
  <si>
    <t>FY2023|inventories</t>
  </si>
  <si>
    <t>7,519</t>
  </si>
  <si>
    <t>Số dư tại 31/05/2024</t>
  </si>
  <si>
    <t>FY2024|inventories</t>
  </si>
  <si>
    <t>7,489</t>
  </si>
  <si>
    <t>Số dư tại 31/05/2025</t>
  </si>
  <si>
    <t>FY2025|inventories</t>
  </si>
  <si>
    <t>7,501</t>
  </si>
  <si>
    <t>Số dư tại 31/05/2026</t>
  </si>
  <si>
    <t>FY2026|inventories</t>
  </si>
  <si>
    <t>EBIT do NIKE công bố</t>
  </si>
  <si>
    <t>Non-GAAP – NIKE định nghĩa</t>
  </si>
  <si>
    <t>ITEM 7 – MD&amp;A</t>
  </si>
  <si>
    <t>Item 7 – MD&amp;A, bảng “Total NIKE, Inc. EBIT” (mục Use of Non-GAAP Financial Measures / Operating Segments)</t>
  </si>
  <si>
    <t>TOTAL NIKE, INC. EARNINGS BEFORE INTEREST AND TAXES(1) | 2,976 | 4,850 | -39 | 4,379 | 11</t>
  </si>
  <si>
    <t>Khớp với giá trị tự tính từ BCTC (chênh 0 triệu USD, ngưỡng ±1 triệu USD).</t>
  </si>
  <si>
    <t>Total NIKE, Inc. Earnings Before Interest and Taxes (EBIT)</t>
  </si>
  <si>
    <t>Không gắn thẻ XBRL (MD&amp;A)</t>
  </si>
  <si>
    <t>ebit_reported</t>
  </si>
  <si>
    <t>FY2020|ebit_reported</t>
  </si>
  <si>
    <t>TOTAL NIKE, INC. EARNINGS BEFORE INTEREST AND TAXES(1) | 6,923 | 2,976 | 133 | 4,850 | -39</t>
  </si>
  <si>
    <t>FY2021|ebit_reported</t>
  </si>
  <si>
    <t>TOTAL NIKE, INC. EARNINGS BEFORE INTEREST AND TAXES(1) | 6,856 | 6,923 | -1 | 2,976 | 133</t>
  </si>
  <si>
    <t>FY2022|ebit_reported</t>
  </si>
  <si>
    <t>TOTAL NIKE, INC. EARNINGS BEFORE INTEREST AND TAXES(1) | 6,195 | 6,856 | -10 | 6,923 | -1</t>
  </si>
  <si>
    <t>Không thay đổi khi trình bày lại trong 10-K FY2024.</t>
  </si>
  <si>
    <t>FY2023|ebit_reported</t>
  </si>
  <si>
    <t>TOTAL NIKE, INC. EARNINGS BEFORE INTEREST AND TAXES(1) | 6,539 | 6,195 | 6 | 6,856 | -10</t>
  </si>
  <si>
    <t>Không thay đổi khi trình bày lại trong 10-K FY2025.</t>
  </si>
  <si>
    <t>FY2024|ebit_reported</t>
  </si>
  <si>
    <t>TOTAL NIKE, INC. EARNINGS BEFORE INTEREST AND TAXES(1) | 3,778 | 6,539 | -42 | 6,195 | 6</t>
  </si>
  <si>
    <t>FY2025|ebit_reported</t>
  </si>
  <si>
    <t>TOTAL NIKE, INC. EBIT(1) | 3,850 | 3,778 | 2 | 6,539 | -42</t>
  </si>
  <si>
    <t>FY2026|ebit_reported</t>
  </si>
  <si>
    <t>% thay đổi doanh thu (NIKE công bố, đã làm tròn)</t>
  </si>
  <si>
    <t>%</t>
  </si>
  <si>
    <t>MD&amp;A – % tính từ số GAAP</t>
  </si>
  <si>
    <t>Item 7 – MD&amp;A, bảng doanh thu NIKE, Inc., cột “% CHANGE”</t>
  </si>
  <si>
    <t>TOTAL NIKE, INC. REVENUES | 37,403 | 39,117 | -4 | -2 | 36,397 | 7 | 11</t>
  </si>
  <si>
    <t>Khớp với giá trị tự tính từ BCTC (chênh −0,38 điểm %, ngưỡng ±1 điểm %).</t>
  </si>
  <si>
    <t>Không áp dụng: tỷ lệ % chỉ lấy từ 10-K của chính năm đó.</t>
  </si>
  <si>
    <t>TOTAL NIKE, INC. REVENUES – % change</t>
  </si>
  <si>
    <t>revenues_pct_change_reported</t>
  </si>
  <si>
    <t>FY2020|revenues_pct_change_reported</t>
  </si>
  <si>
    <t>TOTAL NIKE, INC. REVENUES | 44,538 | 37,403 | 19 | 17 | 39,117 | -4 | -2</t>
  </si>
  <si>
    <t>Khớp với giá trị tự tính từ BCTC (chênh +0,08 điểm %, ngưỡng ±1 điểm %).</t>
  </si>
  <si>
    <t>FY2021|revenues_pct_change_reported</t>
  </si>
  <si>
    <t>TOTAL NIKE, INC. REVENUES | 46,710 | 44,538 | 5 | 6 | 37,403 | 19 | 17</t>
  </si>
  <si>
    <t>Khớp với giá trị tự tính từ BCTC (chênh −0,12 điểm %, ngưỡng ±1 điểm %).</t>
  </si>
  <si>
    <t>FY2022|revenues_pct_change_reported</t>
  </si>
  <si>
    <t>TOTAL NIKE, INC. REVENUES | 51,217 | 46,710 | 10 | 16 | 44,538 | 5 | 6</t>
  </si>
  <si>
    <t>Khớp với giá trị tự tính từ BCTC (chênh −0,35 điểm %, ngưỡng ±1 điểm %).</t>
  </si>
  <si>
    <t>FY2023|revenues_pct_change_reported</t>
  </si>
  <si>
    <t>TOTAL NIKE, INC. REVENUES | 51,362 | 51,217 | 0 | 1 | 46,710 | 10 | 16</t>
  </si>
  <si>
    <t>Khớp với giá trị tự tính từ BCTC (chênh +0,28 điểm %, ngưỡng ±1 điểm %).</t>
  </si>
  <si>
    <t>FY2024|revenues_pct_change_reported</t>
  </si>
  <si>
    <t>TOTAL NIKE, INC. REVENUES | 46,309 | 51,362 | -10 | -9 | 51,217 | 0 | 1</t>
  </si>
  <si>
    <t>Khớp với giá trị tự tính từ BCTC (chênh +0,16 điểm %, ngưỡng ±1 điểm %).</t>
  </si>
  <si>
    <t>FY2025|revenues_pct_change_reported</t>
  </si>
  <si>
    <t>TOTAL NIKE, INC. REVENUES | 46,398 | 46,309 | 0 | -2 | 51,362 | -10 | -9</t>
  </si>
  <si>
    <t>Khớp với giá trị tự tính từ BCTC (chênh +0,19 điểm %, ngưỡng ±1 điểm %).</t>
  </si>
  <si>
    <t>FY2026|revenues_pct_change_reported</t>
  </si>
  <si>
    <t>% thay đổi doanh thu loại trừ tỷ giá</t>
  </si>
  <si>
    <t>Item 7 – MD&amp;A, bảng doanh thu NIKE, Inc., cột “% CHANGE EXCLUDING CURRENCY CHANGES”</t>
  </si>
  <si>
    <t>Đã đọc lại ngay trên trang 10-K (tr. 31): khớp. Ảnh chụp đối chiếu: handover/bang-chung-doi-chieu/FY2020-bang-doanh-thu-tr31.png.</t>
  </si>
  <si>
    <t>TOTAL NIKE, INC. REVENUES – % change excluding currency changes</t>
  </si>
  <si>
    <t>revenues_pct_change_cn</t>
  </si>
  <si>
    <t>FY2020|revenues_pct_change_cn</t>
  </si>
  <si>
    <t>Đã đọc lại ngay trên trang 10-K (tr. 32): khớp. Ảnh chụp đối chiếu: handover/bang-chung-doi-chieu/FY2021-bang-doanh-thu-tr32.png.</t>
  </si>
  <si>
    <t>FY2021|revenues_pct_change_cn</t>
  </si>
  <si>
    <t>Đã đọc lại ngay trên trang 10-K (tr. 32): khớp. Ảnh chụp đối chiếu: handover/bang-chung-doi-chieu/FY2022-bang-doanh-thu-tr32.png.</t>
  </si>
  <si>
    <t>FY2022|revenues_pct_change_cn</t>
  </si>
  <si>
    <t>Đã đọc lại ngay trên trang 10-K (tr. 32): khớp. Ảnh chụp đối chiếu: handover/bang-chung-doi-chieu/FY2023-bang-doanh-thu-tr32.png.</t>
  </si>
  <si>
    <t>FY2023|revenues_pct_change_cn</t>
  </si>
  <si>
    <t>Đã đọc lại ngay trên trang 10-K (tr. 34): khớp. Ảnh chụp đối chiếu: handover/bang-chung-doi-chieu/FY2024-bang-doanh-thu-tr34.png.</t>
  </si>
  <si>
    <t>FY2024|revenues_pct_change_cn</t>
  </si>
  <si>
    <t>Đã đọc lại ngay trên trang 10-K (tr. 33): khớp. Ảnh chụp đối chiếu: handover/bang-chung-doi-chieu/FY2025-bang-doanh-thu-tr33.png.</t>
  </si>
  <si>
    <t>FY2025|revenues_pct_change_cn</t>
  </si>
  <si>
    <t>Đã đọc lại ngay trên trang 10-K (tr. 32): khớp. Ảnh chụp đối chiếu: handover/bang-chung-doi-chieu/FY2026-bang-doanh-thu-tr32.png.</t>
  </si>
  <si>
    <t>FY2026|revenues_pct_change_cn</t>
  </si>
  <si>
    <t>Kênh phân phối – NIKE Brand</t>
  </si>
  <si>
    <t>Doanh thu NIKE Direct, bán buôn, Global Brand Divisions, doanh số Digital và tăng trưởng theo kênh NIKE công bố. Converse và Corporate chỉ để đối chiếu.</t>
  </si>
  <si>
    <t>Doanh thu NIKE Direct</t>
  </si>
  <si>
    <t>NIKE Brand</t>
  </si>
  <si>
    <t>NIKE Direct</t>
  </si>
  <si>
    <t>NOTE 16 — REVENUES</t>
  </si>
  <si>
    <t>Item 8 – Note “Revenues”, bảng phân tách doanh thu, cột “Total NIKE Brand”, dòng “Sales through Direct to Consumer”</t>
  </si>
  <si>
    <t>12,382</t>
  </si>
  <si>
    <t>Khớp bảng doanh thu trong MD&amp;A (trang 31).</t>
  </si>
  <si>
    <t>Sales through Direct to Consumer (NIKE Brand)</t>
  </si>
  <si>
    <t>us-gaap:RevenueFromContractWithCustomerExcludingAssessedTax [ConsolidationItemsAxis=OperatingSegmentsMember; ContractWithCustomerSalesChannelAxis=SalesChannelDirectlyToConsumerMember; StatementBusinessSegmentsAxis=NIKEBrandMember]</t>
  </si>
  <si>
    <t>nike_direct_revenue</t>
  </si>
  <si>
    <t>FY2020|nike_direct_revenue</t>
  </si>
  <si>
    <t>16,370</t>
  </si>
  <si>
    <t>Khớp bảng doanh thu trong MD&amp;A (trang 32).</t>
  </si>
  <si>
    <t>FY2021|nike_direct_revenue</t>
  </si>
  <si>
    <t>18,726</t>
  </si>
  <si>
    <t>FY2022|nike_direct_revenue</t>
  </si>
  <si>
    <t>NOTE 14 — REVENUES</t>
  </si>
  <si>
    <t>21,308</t>
  </si>
  <si>
    <t>FY2023|nike_direct_revenue</t>
  </si>
  <si>
    <t>21,519</t>
  </si>
  <si>
    <t>Khớp bảng doanh thu trong MD&amp;A (trang 34).</t>
  </si>
  <si>
    <t>FY2024|nike_direct_revenue</t>
  </si>
  <si>
    <t>18,783</t>
  </si>
  <si>
    <t>Khớp bảng doanh thu trong MD&amp;A (trang 33).</t>
  </si>
  <si>
    <t>FY2025|nike_direct_revenue</t>
  </si>
  <si>
    <t>17,720</t>
  </si>
  <si>
    <t>FY2026|nike_direct_revenue</t>
  </si>
  <si>
    <t>Doanh thu bán buôn NIKE Brand</t>
  </si>
  <si>
    <t>Bán buôn (Wholesale)</t>
  </si>
  <si>
    <t>Item 8 – Note “Revenues”, bảng phân tách doanh thu, cột “Total NIKE Brand”, dòng “Sales to Wholesale Customers”</t>
  </si>
  <si>
    <t>23,156</t>
  </si>
  <si>
    <t>Sales to Wholesale Customers (NIKE Brand)</t>
  </si>
  <si>
    <t>us-gaap:RevenueFromContractWithCustomerExcludingAssessedTax [ConsolidationItemsAxis=OperatingSegmentsMember; ContractWithCustomerSalesChannelAxis=SalesChannelWholesaleMember; StatementBusinessSegmentsAxis=NIKEBrandMember]</t>
  </si>
  <si>
    <t>nike_brand_wholesale_revenue</t>
  </si>
  <si>
    <t>FY2020|nike_brand_wholesale_revenue</t>
  </si>
  <si>
    <t>25,898</t>
  </si>
  <si>
    <t>FY2021|nike_brand_wholesale_revenue</t>
  </si>
  <si>
    <t>25,608</t>
  </si>
  <si>
    <t>FY2022|nike_brand_wholesale_revenue</t>
  </si>
  <si>
    <t>27,397</t>
  </si>
  <si>
    <t>FY2023|nike_brand_wholesale_revenue</t>
  </si>
  <si>
    <t>27,758</t>
  </si>
  <si>
    <t>FY2024|nike_brand_wholesale_revenue</t>
  </si>
  <si>
    <t>25,883</t>
  </si>
  <si>
    <t>FY2025|nike_brand_wholesale_revenue</t>
  </si>
  <si>
    <t>27,453</t>
  </si>
  <si>
    <t>FY2026|nike_brand_wholesale_revenue</t>
  </si>
  <si>
    <t>Doanh thu Global Brand Divisions</t>
  </si>
  <si>
    <t>Global Brand Divisions</t>
  </si>
  <si>
    <t>Item 8 – Note “Revenues”, bảng phân tách doanh thu, cột “Total NIKE Brand”, dòng “Other”</t>
  </si>
  <si>
    <t>30</t>
  </si>
  <si>
    <t>Other / Global Brand Divisions (NIKE Brand)</t>
  </si>
  <si>
    <t>us-gaap:RevenueFromContractWithCustomerExcludingAssessedTax [ConsolidationItemsAxis=OperatingSegmentsMember; ContractWithCustomerSalesChannelAxis=SalesChannelOtherMember; StatementBusinessSegmentsAxis=NIKEBrandMember]</t>
  </si>
  <si>
    <t>global_brand_divisions_revenue</t>
  </si>
  <si>
    <t>FY2020|global_brand_divisions_revenue</t>
  </si>
  <si>
    <t>25</t>
  </si>
  <si>
    <t>FY2021|global_brand_divisions_revenue</t>
  </si>
  <si>
    <t>102</t>
  </si>
  <si>
    <t>FY2022|global_brand_divisions_revenue</t>
  </si>
  <si>
    <t>58</t>
  </si>
  <si>
    <t>FY2023|global_brand_divisions_revenue</t>
  </si>
  <si>
    <t>45</t>
  </si>
  <si>
    <t>FY2024|global_brand_divisions_revenue</t>
  </si>
  <si>
    <t>48</t>
  </si>
  <si>
    <t>FY2025|global_brand_divisions_revenue</t>
  </si>
  <si>
    <t>49</t>
  </si>
  <si>
    <t>FY2026|global_brand_divisions_revenue</t>
  </si>
  <si>
    <t>Tổng doanh thu NIKE Brand</t>
  </si>
  <si>
    <t>Tổng NIKE Brand</t>
  </si>
  <si>
    <t>Item 8 – Note “Revenues”, bảng phân tách doanh thu, cột “Total NIKE Brand”, dòng “Total revenues”</t>
  </si>
  <si>
    <t>35,568</t>
  </si>
  <si>
    <t>Total NIKE Brand revenues</t>
  </si>
  <si>
    <t>us-gaap:RevenueFromContractWithCustomerExcludingAssessedTax [ConsolidationItemsAxis=OperatingSegmentsMember; StatementBusinessSegmentsAxis=NIKEBrandMember]</t>
  </si>
  <si>
    <t>nike_brand_revenue</t>
  </si>
  <si>
    <t>FY2020|nike_brand_revenue</t>
  </si>
  <si>
    <t>42,293</t>
  </si>
  <si>
    <t>FY2021|nike_brand_revenue</t>
  </si>
  <si>
    <t>44,436</t>
  </si>
  <si>
    <t>FY2022|nike_brand_revenue</t>
  </si>
  <si>
    <t>48,763</t>
  </si>
  <si>
    <t>FY2023|nike_brand_revenue</t>
  </si>
  <si>
    <t>49,322</t>
  </si>
  <si>
    <t>FY2024|nike_brand_revenue</t>
  </si>
  <si>
    <t>44,714</t>
  </si>
  <si>
    <t>FY2025|nike_brand_revenue</t>
  </si>
  <si>
    <t>45,222</t>
  </si>
  <si>
    <t>FY2026|nike_brand_revenue</t>
  </si>
  <si>
    <t>Doanh thu Converse</t>
  </si>
  <si>
    <t>Converse</t>
  </si>
  <si>
    <t>Item 8 – Note “Revenues”, bảng phân tách doanh thu, cột “Converse”, dòng “Total revenues”</t>
  </si>
  <si>
    <t>1,846</t>
  </si>
  <si>
    <t>Converse revenues</t>
  </si>
  <si>
    <t>us-gaap:RevenueFromContractWithCustomerExcludingAssessedTax [ConsolidationItemsAxis=OperatingSegmentsMember; StatementBusinessSegmentsAxis=ConverseSegmentMember]</t>
  </si>
  <si>
    <t>converse_revenue</t>
  </si>
  <si>
    <t>FY2020|converse_revenue</t>
  </si>
  <si>
    <t>2,205</t>
  </si>
  <si>
    <t>FY2021|converse_revenue</t>
  </si>
  <si>
    <t>2,346</t>
  </si>
  <si>
    <t>FY2022|converse_revenue</t>
  </si>
  <si>
    <t>2,427</t>
  </si>
  <si>
    <t>FY2023|converse_revenue</t>
  </si>
  <si>
    <t>2,082</t>
  </si>
  <si>
    <t>FY2024|converse_revenue</t>
  </si>
  <si>
    <t>1,692</t>
  </si>
  <si>
    <t>FY2025|converse_revenue</t>
  </si>
  <si>
    <t>1,174</t>
  </si>
  <si>
    <t>FY2026|converse_revenue</t>
  </si>
  <si>
    <t>Doanh thu Corporate</t>
  </si>
  <si>
    <t>Corporate</t>
  </si>
  <si>
    <t>Item 8 – Note “Revenues”, bảng phân tách doanh thu, cột “Corporate”, dòng “Total revenues”</t>
  </si>
  <si>
    <t>(11)</t>
  </si>
  <si>
    <t>Corporate revenues</t>
  </si>
  <si>
    <t>us-gaap:RevenueFromContractWithCustomerExcludingAssessedTax [ConsolidationItemsAxis=CorporateNonSegmentMember]</t>
  </si>
  <si>
    <t>corporate_revenue</t>
  </si>
  <si>
    <t>FY2020|corporate_revenue</t>
  </si>
  <si>
    <t>40</t>
  </si>
  <si>
    <t>FY2021|corporate_revenue</t>
  </si>
  <si>
    <t>(72)</t>
  </si>
  <si>
    <t>FY2022|corporate_revenue</t>
  </si>
  <si>
    <t>27</t>
  </si>
  <si>
    <t>FY2023|corporate_revenue</t>
  </si>
  <si>
    <t>(42)</t>
  </si>
  <si>
    <t>FY2024|corporate_revenue</t>
  </si>
  <si>
    <t>(97)</t>
  </si>
  <si>
    <t>FY2025|corporate_revenue</t>
  </si>
  <si>
    <t>2</t>
  </si>
  <si>
    <t>FY2026|corporate_revenue</t>
  </si>
  <si>
    <t>Doanh số NIKE Brand Digital</t>
  </si>
  <si>
    <t>tỷ USD</t>
  </si>
  <si>
    <t>NIKE Direct – Digital</t>
  </si>
  <si>
    <t>MD&amp;A – ban điều hành nêu, không kiểm toán</t>
  </si>
  <si>
    <t>Item 7 – MD&amp;A, đoạn văn về NIKE Direct (câu trích ở cột “Số hoặc câu hiển thị trong tài liệu”)</t>
  </si>
  <si>
    <t>Digital commerce sales were $5.5 billion for fiscal 2020 compared to $3.8 billion for fiscal 2019.</t>
  </si>
  <si>
    <t>Đã đọc lại ngay trên trang 10-K (tr. 32): khớp. Ảnh chụp đối chiếu: handover/bang-chung-doi-chieu/FY2020-digital-tr32.png.</t>
  </si>
  <si>
    <t>NIKE Brand Digital sales (FY2020–21: “Digital commerce sales”)</t>
  </si>
  <si>
    <t>nike_brand_digital_sales</t>
  </si>
  <si>
    <t>FY2020|nike_brand_digital_sales</t>
  </si>
  <si>
    <t>Digital commerce sales were $9.1 billion for fiscal 2021 compared to $5.5 billion for fiscal 2020.</t>
  </si>
  <si>
    <t>Đã đọc lại ngay trên trang 10-K (tr. 33): khớp. Ảnh chụp đối chiếu: handover/bang-chung-doi-chieu/FY2021-digital-tr33.png.</t>
  </si>
  <si>
    <t>FY2021|nike_brand_digital_sales</t>
  </si>
  <si>
    <t>NIKE Brand Digital sales were $10.7 billion for fiscal 2022 compared to $9.1 billion for fiscal 2021.</t>
  </si>
  <si>
    <t>Đã đọc lại ngay trên trang 10-K (tr. 33): khớp. Ảnh chụp đối chiếu: handover/bang-chung-doi-chieu/FY2022-digital-tr33.png.</t>
  </si>
  <si>
    <t>FY2022|nike_brand_digital_sales</t>
  </si>
  <si>
    <t>NIKE Brand Digital sales were $12.6 billion for fiscal 2023 compared to $10.7 billion for fiscal 2022.</t>
  </si>
  <si>
    <t>Đã đọc lại ngay trên trang 10-K (tr. 33): khớp. Ảnh chụp đối chiếu: handover/bang-chung-doi-chieu/FY2023-digital-tr33.png.</t>
  </si>
  <si>
    <t>CÓ THAY ĐỔI: 10-K FY2024 trình bày lại là 12,4 tỷ USD (chênh −0,2 tỷ USD).</t>
  </si>
  <si>
    <t>FY2023|nike_brand_digital_sales</t>
  </si>
  <si>
    <t>NIKE Brand Digital sales were $12.1 billion for fiscal 2024 compared to $12.4 billion for fiscal 2023.</t>
  </si>
  <si>
    <t>Đã đọc lại ngay trên trang 10-K (tr. 35): khớp. Ảnh chụp đối chiếu: handover/bang-chung-doi-chieu/FY2024-digital-tr35.png.</t>
  </si>
  <si>
    <t>FY2024|nike_brand_digital_sales</t>
  </si>
  <si>
    <t>On a currency-neutral basis, NIKE Direct revenues decreased 12% due to declines in NIKE Brand Digital sales of 20% from $12.1 billion in fiscal 2024 to $9.6 billion in fiscal 2025, while NIKE store sales were flat.</t>
  </si>
  <si>
    <t>Đã đọc lại ngay trên trang 10-K (tr. 34): khớp. Ảnh chụp đối chiếu: handover/bang-chung-doi-chieu/FY2025-digital-tr34.png.</t>
  </si>
  <si>
    <t>FY2025|nike_brand_digital_sales</t>
  </si>
  <si>
    <t>NIKE Brand Digital sales were $8.6 billion in fiscal 2026 compared to $9.6 billion in fiscal 2025, with declines primarily due to reduced traffic.</t>
  </si>
  <si>
    <t>Đã đọc lại ngay trên trang 10-K (tr. 33): khớp. Ảnh chụp đối chiếu: handover/bang-chung-doi-chieu/FY2026-digital-tr33.png.</t>
  </si>
  <si>
    <t>FY2026|nike_brand_digital_sales</t>
  </si>
  <si>
    <t>Tỷ trọng NIKE Direct do NIKE nêu (xấp xỉ)</t>
  </si>
  <si>
    <t>Item 7 – MD&amp;A, câu “NIKE Direct revenues represented approximately …% of total NIKE Brand revenues”</t>
  </si>
  <si>
    <t>On a reported basis, NIKE Direct revenues represented approximately 35% of our total NIKE Brand revenues for fiscal 2020, compared to 32% for fiscal 2019.</t>
  </si>
  <si>
    <t>Khớp với giá trị tự tính từ BCTC (chênh −0,19 điểm %, ngưỡng ±1 điểm %).</t>
  </si>
  <si>
    <t>NIKE Direct as approx. % of total NIKE Brand revenues (as stated)</t>
  </si>
  <si>
    <t>nike_direct_share_stated</t>
  </si>
  <si>
    <t>FY2020|nike_direct_share_stated</t>
  </si>
  <si>
    <t>On a reported basis, NIKE Direct revenues represented approximately 39% of our total NIKE Brand revenues for fiscal 2021 compared to 35% for fiscal 2020.</t>
  </si>
  <si>
    <t>Khớp với giá trị tự tính từ BCTC (chênh −0,29 điểm %, ngưỡng ±1 điểm %).</t>
  </si>
  <si>
    <t>FY2021|nike_direct_share_stated</t>
  </si>
  <si>
    <t>Over the last several years, as we have executed against the Consumer Direct Acceleration, we have grown our NIKE Direct business to be approximately 42% of total NIKE Brand revenues for fiscal 2022, and we have reduced the number of wholesale accounts globally.</t>
  </si>
  <si>
    <t>Khớp với giá trị tự tính từ BCTC (chênh +0,14 điểm %, ngưỡng ±1 điểm %).</t>
  </si>
  <si>
    <t>10-K năm sau không trình bày lại số này.</t>
  </si>
  <si>
    <t>FY2022|nike_direct_share_stated</t>
  </si>
  <si>
    <t>NIKE Direct revenues grew 14% from $18.7 billion in fiscal 2022 to $21.3 billion in fiscal 2023, and represented approximately 44% of total NIKE Brand revenues for fiscal 2023</t>
  </si>
  <si>
    <t>Khớp với giá trị tự tính từ BCTC (chênh −0,30 điểm %, ngưỡng ±1 điểm %).</t>
  </si>
  <si>
    <t>FY2023|nike_direct_share_stated</t>
  </si>
  <si>
    <t>NIKE Direct revenues grew 1% from $21.3 billion in fiscal 2023 to $21.5 billion in fiscal 2024, and represented approximately 44% of total NIKE Brand revenues for fiscal 2024</t>
  </si>
  <si>
    <t>Khớp với giá trị tự tính từ BCTC (chênh −0,37 điểm %, ngưỡng ±1 điểm %).</t>
  </si>
  <si>
    <t>FY2024|nike_direct_share_stated</t>
  </si>
  <si>
    <t>NIKE Direct revenues declined 13% from $21.5 billion in fiscal 2024 to $18.8 billion in fiscal 2025, and represented approximately 42% of total NIKE Brand revenues for fiscal 2025</t>
  </si>
  <si>
    <t>Khớp với giá trị tự tính từ BCTC (chênh +0,01 điểm %, ngưỡng ±1 điểm %).</t>
  </si>
  <si>
    <t>FY2025|nike_direct_share_stated</t>
  </si>
  <si>
    <t>Thiếu / không công bố</t>
  </si>
  <si>
    <t>10-K FY2026 không công bố chỉ tiêu này.</t>
  </si>
  <si>
    <t>FY2026|nike_direct_share_stated</t>
  </si>
  <si>
    <t>% thay đổi NIKE Direct (NIKE công bố, đã làm tròn)</t>
  </si>
  <si>
    <t>Item 7 – MD&amp;A, bảng doanh thu, mục Supplemental NIKE Brand Revenues Details, cột “% CHANGE”</t>
  </si>
  <si>
    <t>Sales through NIKE Direct | 12,382 | 11,753 | 5 | 8 | 10,428 | 13 | 16</t>
  </si>
  <si>
    <t>Khớp với giá trị tự tính từ BCTC (chênh +0,35 điểm %, ngưỡng ±1 điểm %).</t>
  </si>
  <si>
    <t>Sales through NIKE Direct – % change</t>
  </si>
  <si>
    <t>nike_direct_pct_change_reported</t>
  </si>
  <si>
    <t>FY2020|nike_direct_pct_change_reported</t>
  </si>
  <si>
    <t>Sales through NIKE Direct | 16,370 | 12,382 | 32 | 30 | 11,753 | 5 | 8</t>
  </si>
  <si>
    <t>Khớp với giá trị tự tính từ BCTC (chênh +0,21 điểm %, ngưỡng ±1 điểm %).</t>
  </si>
  <si>
    <t>FY2021|nike_direct_pct_change_reported</t>
  </si>
  <si>
    <t>Sales through NIKE Direct | 18,726 | 16,370 | 14 | 15 | 12,382 | 32 | 30</t>
  </si>
  <si>
    <t>Khớp với giá trị tự tính từ BCTC (chênh +0,39 điểm %, ngưỡng ±1 điểm %).</t>
  </si>
  <si>
    <t>FY2022|nike_direct_pct_change_reported</t>
  </si>
  <si>
    <t>Sales through NIKE Direct | 21,308 | 18,726 | 14 | 20 | 16,370 | 14 | 15</t>
  </si>
  <si>
    <t>Khớp với giá trị tự tính từ BCTC (chênh −0,21 điểm %, ngưỡng ±1 điểm %).</t>
  </si>
  <si>
    <t>FY2023|nike_direct_pct_change_reported</t>
  </si>
  <si>
    <t>Sales through NIKE Direct | 21,519 | 21,308 | 1 | 1 | 18,726 | 14 | 20</t>
  </si>
  <si>
    <t>Khớp với giá trị tự tính từ BCTC (chênh −0,01 điểm %, ngưỡng ±1 điểm %).</t>
  </si>
  <si>
    <t>FY2024|nike_direct_pct_change_reported</t>
  </si>
  <si>
    <t>Sales through NIKE Direct | 18,783 | 21,519 | -13 | -12 | 21,308 | 1 | 1</t>
  </si>
  <si>
    <t>Khớp với giá trị tự tính từ BCTC (chênh +0,29 điểm %, ngưỡng ±1 điểm %).</t>
  </si>
  <si>
    <t>FY2025|nike_direct_pct_change_reported</t>
  </si>
  <si>
    <t>Sales through NIKE Direct | 17,720 | 18,783 | -6 | -8 | 21,519 | -13 | -12</t>
  </si>
  <si>
    <t>Khớp với giá trị tự tính từ BCTC (chênh +0,34 điểm %, ngưỡng ±1 điểm %).</t>
  </si>
  <si>
    <t>FY2026|nike_direct_pct_change_reported</t>
  </si>
  <si>
    <t>% thay đổi NIKE Direct loại trừ tỷ giá</t>
  </si>
  <si>
    <t>Item 7 – MD&amp;A, bảng doanh thu, mục Supplemental NIKE Brand Revenues Details, cột “% CHANGE EXCLUDING CURRENCY CHANGES”</t>
  </si>
  <si>
    <t>Sales through NIKE Direct – % change excluding currency changes</t>
  </si>
  <si>
    <t>nike_direct_pct_change_cn</t>
  </si>
  <si>
    <t>FY2020|nike_direct_pct_change_cn</t>
  </si>
  <si>
    <t>FY2021|nike_direct_pct_change_cn</t>
  </si>
  <si>
    <t>FY2022|nike_direct_pct_change_cn</t>
  </si>
  <si>
    <t>FY2023|nike_direct_pct_change_cn</t>
  </si>
  <si>
    <t>FY2024|nike_direct_pct_change_cn</t>
  </si>
  <si>
    <t>FY2025|nike_direct_pct_change_cn</t>
  </si>
  <si>
    <t>FY2026|nike_direct_pct_change_cn</t>
  </si>
  <si>
    <t>% thay đổi bán buôn (NIKE công bố, đã làm tròn)</t>
  </si>
  <si>
    <t>Sales to Wholesale Customers | 23,156 | 25,423 | -9 | -7 | 23,969 | 6 | 10</t>
  </si>
  <si>
    <t>Sales to Wholesale Customers – % change</t>
  </si>
  <si>
    <t>nike_brand_wholesale_pct_change_reported</t>
  </si>
  <si>
    <t>FY2020|nike_brand_wholesale_pct_change_reported</t>
  </si>
  <si>
    <t>Sales to Wholesale Customers | 25,898 | 23,156 | 12 | 10 | 25,423 | -9 | -7</t>
  </si>
  <si>
    <t>Khớp với giá trị tự tính từ BCTC (chênh −0,16 điểm %, ngưỡng ±1 điểm %).</t>
  </si>
  <si>
    <t>FY2021|nike_brand_wholesale_pct_change_reported</t>
  </si>
  <si>
    <t>Sales to Wholesale Customers | 25,608 | 25,898 | -1 | -1 | 23,156 | 12 | 10</t>
  </si>
  <si>
    <t>FY2022|nike_brand_wholesale_pct_change_reported</t>
  </si>
  <si>
    <t>Sales to Wholesale Customers | 27,397 | 25,608 | 7 | 14 | 25,898 | -1 | -1</t>
  </si>
  <si>
    <t>FY2023|nike_brand_wholesale_pct_change_reported</t>
  </si>
  <si>
    <t>Sales to Wholesale Customers | 27,758 | 27,397 | 1 | 2 | 25,608 | 7 | 14</t>
  </si>
  <si>
    <t>Khớp với giá trị tự tính từ BCTC (chênh +0,32 điểm %, ngưỡng ±1 điểm %).</t>
  </si>
  <si>
    <t>FY2024|nike_brand_wholesale_pct_change_reported</t>
  </si>
  <si>
    <t>Sales to Wholesale Customers | 25,883 | 27,758 | -7 | -6 | 27,397 | 1 | 2</t>
  </si>
  <si>
    <t>Khớp với giá trị tự tính từ BCTC (chênh +0,25 điểm %, ngưỡng ±1 điểm %).</t>
  </si>
  <si>
    <t>FY2025|nike_brand_wholesale_pct_change_reported</t>
  </si>
  <si>
    <t>Sales to Wholesale Customers | 27,453 | 25,883 | 6 | 4 | 27,758 | -7 | -6</t>
  </si>
  <si>
    <t>Khớp với giá trị tự tính từ BCTC (chênh +0,07 điểm %, ngưỡng ±1 điểm %).</t>
  </si>
  <si>
    <t>FY2026|nike_brand_wholesale_pct_change_reported</t>
  </si>
  <si>
    <t>% thay đổi bán buôn loại trừ tỷ giá</t>
  </si>
  <si>
    <t>Sales to Wholesale Customers – % change excluding currency changes</t>
  </si>
  <si>
    <t>nike_brand_wholesale_pct_change_cn</t>
  </si>
  <si>
    <t>FY2020|nike_brand_wholesale_pct_change_cn</t>
  </si>
  <si>
    <t>FY2021|nike_brand_wholesale_pct_change_cn</t>
  </si>
  <si>
    <t>FY2022|nike_brand_wholesale_pct_change_cn</t>
  </si>
  <si>
    <t>FY2023|nike_brand_wholesale_pct_change_cn</t>
  </si>
  <si>
    <t>FY2024|nike_brand_wholesale_pct_change_cn</t>
  </si>
  <si>
    <t>FY2025|nike_brand_wholesale_pct_change_cn</t>
  </si>
  <si>
    <t>FY2026|nike_brand_wholesale_pct_change_cn</t>
  </si>
  <si>
    <t>% thay đổi doanh thu NIKE Brand (NIKE công bố, đã làm tròn)</t>
  </si>
  <si>
    <t>Total NIKE Brand Revenues | 35,568 | 37,218 | -4 | -2 | 34,485 | 8 | 11</t>
  </si>
  <si>
    <t>Khớp với giá trị tự tính từ BCTC (chênh −0,43 điểm %, ngưỡng ±1 điểm %).</t>
  </si>
  <si>
    <t>TOTAL NIKE BRAND REVENUES – % change</t>
  </si>
  <si>
    <t>nike_brand_pct_change_reported</t>
  </si>
  <si>
    <t>FY2020|nike_brand_pct_change_reported</t>
  </si>
  <si>
    <t>Total NIKE Brand Revenues | 42,293 | 35,568 | 19 | 17 | 37,218 | -4 | -2</t>
  </si>
  <si>
    <t>Khớp với giá trị tự tính từ BCTC (chênh −0,09 điểm %, ngưỡng ±1 điểm %).</t>
  </si>
  <si>
    <t>FY2021|nike_brand_pct_change_reported</t>
  </si>
  <si>
    <t>Total NIKE Brand Revenues | 44,436 | 42,293 | 5 | 6 | 35,568 | 19 | 17</t>
  </si>
  <si>
    <t>FY2022|nike_brand_pct_change_reported</t>
  </si>
  <si>
    <t>Total NIKE Brand Revenues | 48,763 | 44,436 | 10 | 16 | 42,293 | 5 | 6</t>
  </si>
  <si>
    <t>Khớp với giá trị tự tính từ BCTC (chênh −0,26 điểm %, ngưỡng ±1 điểm %).</t>
  </si>
  <si>
    <t>FY2023|nike_brand_pct_change_reported</t>
  </si>
  <si>
    <t>Total NIKE Brand Revenues | 49,322 | 48,763 | 1 | 1 | 44,436 | 10 | 16</t>
  </si>
  <si>
    <t>Khớp với giá trị tự tính từ BCTC (chênh +0,15 điểm %, ngưỡng ±1 điểm %).</t>
  </si>
  <si>
    <t>FY2024|nike_brand_pct_change_reported</t>
  </si>
  <si>
    <t>TOTAL NIKE BRAND REVENUES | 44,714 | 49,322 | -9 | -9 | 48,763 | 1 | 1</t>
  </si>
  <si>
    <t>Khớp với giá trị tự tính từ BCTC (chênh −0,34 điểm %, ngưỡng ±1 điểm %).</t>
  </si>
  <si>
    <t>FY2025|nike_brand_pct_change_reported</t>
  </si>
  <si>
    <t>TOTAL NIKE BRAND REVENUES(3) | 45,222 | 44,714 | 1 | -1 | 49,322 | -9 | -9</t>
  </si>
  <si>
    <t>FY2026|nike_brand_pct_change_reported</t>
  </si>
  <si>
    <t>% thay đổi NIKE Brand loại trừ tỷ giá</t>
  </si>
  <si>
    <t>TOTAL NIKE BRAND REVENUES – % change excluding currency changes</t>
  </si>
  <si>
    <t>nike_brand_pct_change_cn</t>
  </si>
  <si>
    <t>FY2020|nike_brand_pct_change_cn</t>
  </si>
  <si>
    <t>FY2021|nike_brand_pct_change_cn</t>
  </si>
  <si>
    <t>FY2022|nike_brand_pct_change_cn</t>
  </si>
  <si>
    <t>FY2023|nike_brand_pct_change_cn</t>
  </si>
  <si>
    <t>FY2024|nike_brand_pct_change_cn</t>
  </si>
  <si>
    <t>FY2025|nike_brand_pct_change_cn</t>
  </si>
  <si>
    <t>FY2026|nike_brand_pct_change_cn</t>
  </si>
  <si>
    <t>Chỉ số tính toán (KPI) và kiểm tra đối chiếu</t>
  </si>
  <si>
    <t>Mọi ô số trong sheet này là công thức Excel. Số màu xanh lá lấy từ sheet 02/03 theo năm và mã chỉ tiêu, số màu đen được tính ngay trong sheet này. Sửa số liệu ở sheet 02/03 thì sheet này tự cập nhật. “–” nghĩa là thiếu số liệu đầu vào, không phải bằng 0.</t>
  </si>
  <si>
    <t>Mã</t>
  </si>
  <si>
    <t>Công thức</t>
  </si>
  <si>
    <t>Ghi chú và cách đọc</t>
  </si>
  <si>
    <t>A. Số liệu đầu vào (lấy từ sheet 02 và 03)</t>
  </si>
  <si>
    <t>Tra cứu sheet “02 Dữ liệu tài chính” theo khóa FY|revenues, cột “Giá trị”.</t>
  </si>
  <si>
    <t>revenues__prior</t>
  </si>
  <si>
    <t>Doanh thu – năm trước (cùng 10-K)</t>
  </si>
  <si>
    <t>Tra cứu sheet “02 Dữ liệu tài chính” theo khóa FY|revenues, cột “Giá trị năm trước (cùng 10-K)”.</t>
  </si>
  <si>
    <t>Tra cứu sheet “02 Dữ liệu tài chính” theo khóa FY|cost_of_sales, cột “Giá trị”.</t>
  </si>
  <si>
    <t>Tra cứu sheet “02 Dữ liệu tài chính” theo khóa FY|gross_profit, cột “Giá trị”.</t>
  </si>
  <si>
    <t>Tra cứu sheet “02 Dữ liệu tài chính” theo khóa FY|demand_creation_expense, cột “Giá trị”.</t>
  </si>
  <si>
    <t>Tra cứu sheet “02 Dữ liệu tài chính” theo khóa FY|operating_overhead_expense, cột “Giá trị”.</t>
  </si>
  <si>
    <t>Tra cứu sheet “02 Dữ liệu tài chính” theo khóa FY|total_selling_admin_expense, cột “Giá trị”.</t>
  </si>
  <si>
    <t>Tra cứu sheet “02 Dữ liệu tài chính” theo khóa FY|interest_expense_net, cột “Giá trị”.</t>
  </si>
  <si>
    <t>Tra cứu sheet “02 Dữ liệu tài chính” theo khóa FY|other_expense_net, cột “Giá trị”.</t>
  </si>
  <si>
    <t>Tra cứu sheet “02 Dữ liệu tài chính” theo khóa FY|income_before_taxes, cột “Giá trị”.</t>
  </si>
  <si>
    <t>Tra cứu sheet “02 Dữ liệu tài chính” theo khóa FY|income_tax_expense, cột “Giá trị”.</t>
  </si>
  <si>
    <t>Tra cứu sheet “02 Dữ liệu tài chính” theo khóa FY|net_income, cột “Giá trị”.</t>
  </si>
  <si>
    <t>Tra cứu sheet “02 Dữ liệu tài chính” theo khóa FY|inventories, cột “Giá trị”.</t>
  </si>
  <si>
    <t>inventories__prior</t>
  </si>
  <si>
    <t>Hàng tồn kho cuối kỳ – năm trước (cùng 10-K)</t>
  </si>
  <si>
    <t>Tra cứu sheet “02 Dữ liệu tài chính” theo khóa FY|inventories, cột “Giá trị năm trước (cùng 10-K)”.</t>
  </si>
  <si>
    <t>Tra cứu sheet “02 Dữ liệu tài chính” theo khóa FY|ebit_reported, cột “Giá trị”.</t>
  </si>
  <si>
    <t>Tra cứu sheet “02 Dữ liệu tài chính” theo khóa FY|revenues_pct_change_reported, cột “Giá trị”.</t>
  </si>
  <si>
    <t>Tra cứu sheet “03 Kênh phân phối” theo khóa FY|nike_direct_revenue, cột “Giá trị”.</t>
  </si>
  <si>
    <t>nike_direct_revenue__prior</t>
  </si>
  <si>
    <t>Doanh thu NIKE Direct – năm trước (cùng 10-K)</t>
  </si>
  <si>
    <t>Tra cứu sheet “03 Kênh phân phối” theo khóa FY|nike_direct_revenue, cột “Giá trị năm trước (cùng 10-K)”.</t>
  </si>
  <si>
    <t>Tra cứu sheet “03 Kênh phân phối” theo khóa FY|nike_brand_wholesale_revenue, cột “Giá trị”.</t>
  </si>
  <si>
    <t>nike_brand_wholesale_revenue__prior</t>
  </si>
  <si>
    <t>Doanh thu bán buôn NIKE Brand – năm trước (cùng 10-K)</t>
  </si>
  <si>
    <t>Tra cứu sheet “03 Kênh phân phối” theo khóa FY|nike_brand_wholesale_revenue, cột “Giá trị năm trước (cùng 10-K)”.</t>
  </si>
  <si>
    <t>Tra cứu sheet “03 Kênh phân phối” theo khóa FY|global_brand_divisions_revenue, cột “Giá trị”.</t>
  </si>
  <si>
    <t>Tra cứu sheet “03 Kênh phân phối” theo khóa FY|nike_brand_revenue, cột “Giá trị”.</t>
  </si>
  <si>
    <t>nike_brand_revenue__prior</t>
  </si>
  <si>
    <t>Tổng doanh thu NIKE Brand – năm trước (cùng 10-K)</t>
  </si>
  <si>
    <t>Tra cứu sheet “03 Kênh phân phối” theo khóa FY|nike_brand_revenue, cột “Giá trị năm trước (cùng 10-K)”.</t>
  </si>
  <si>
    <t>Tra cứu sheet “03 Kênh phân phối” theo khóa FY|converse_revenue, cột “Giá trị”.</t>
  </si>
  <si>
    <t>Tra cứu sheet “03 Kênh phân phối” theo khóa FY|corporate_revenue, cột “Giá trị”.</t>
  </si>
  <si>
    <t>Tra cứu sheet “03 Kênh phân phối” theo khóa FY|nike_brand_digital_sales, cột “Giá trị”.</t>
  </si>
  <si>
    <t>Tra cứu sheet “03 Kênh phân phối” theo khóa FY|nike_direct_share_stated, cột “Giá trị”.</t>
  </si>
  <si>
    <t>Tra cứu sheet “03 Kênh phân phối” theo khóa FY|nike_direct_pct_change_reported, cột “Giá trị”.</t>
  </si>
  <si>
    <t>Tra cứu sheet “03 Kênh phân phối” theo khóa FY|nike_brand_wholesale_pct_change_reported, cột “Giá trị”.</t>
  </si>
  <si>
    <t>Tra cứu sheet “03 Kênh phân phối” theo khóa FY|nike_brand_pct_change_reported, cột “Giá trị”.</t>
  </si>
  <si>
    <t>B. Chỉ số kênh phân phối – phạm vi NIKE Brand</t>
  </si>
  <si>
    <t>direct_share</t>
  </si>
  <si>
    <t>Tỷ trọng NIKE Direct trong doanh thu NIKE Brand</t>
  </si>
  <si>
    <t>[Doanh thu NIKE Direct] / [Tổng doanh thu NIKE Brand]</t>
  </si>
  <si>
    <t>Mẫu số là tổng doanh thu NIKE Brand (cùng cơ sở NIKE dùng khi nêu tỷ trọng), không phải NIKE, Inc.</t>
  </si>
  <si>
    <t>wholesale_share</t>
  </si>
  <si>
    <t>Tỷ trọng bán buôn trong doanh thu NIKE Brand</t>
  </si>
  <si>
    <t>[Doanh thu bán buôn NIKE Brand] / [Tổng doanh thu NIKE Brand]</t>
  </si>
  <si>
    <t>Direct + Wholesale + Global Brand Divisions = 100% doanh thu NIKE Brand.</t>
  </si>
  <si>
    <t>gbd_share</t>
  </si>
  <si>
    <t>Tỷ trọng Global Brand Divisions trong doanh thu NIKE Brand</t>
  </si>
  <si>
    <t>[Doanh thu Global Brand Divisions] / [Tổng doanh thu NIKE Brand]</t>
  </si>
  <si>
    <t>Phần còn lại, chủ yếu là doanh thu cấp phép, dưới 0,3%.</t>
  </si>
  <si>
    <t>direct_growth</t>
  </si>
  <si>
    <t>Tăng trưởng doanh thu NIKE Direct (theo báo cáo)</t>
  </si>
  <si>
    <t>[Doanh thu NIKE Direct] / [Doanh thu NIKE Direct – năm trước] - 1</t>
  </si>
  <si>
    <t>So với số năm trước trình bày trong cùng 10-K. Không loại trừ tỷ giá.</t>
  </si>
  <si>
    <t>wholesale_growth</t>
  </si>
  <si>
    <t>Tăng trưởng doanh thu bán buôn NIKE Brand (theo báo cáo)</t>
  </si>
  <si>
    <t>[Doanh thu bán buôn NIKE Brand] / [Doanh thu bán buôn NIKE Brand – năm trước] - 1</t>
  </si>
  <si>
    <t>nike_brand_growth</t>
  </si>
  <si>
    <t>Tăng trưởng doanh thu NIKE Brand (theo báo cáo)</t>
  </si>
  <si>
    <t>[Tổng doanh thu NIKE Brand] / [Tổng doanh thu NIKE Brand – năm trước] - 1</t>
  </si>
  <si>
    <t>So với số năm trước trình bày trong cùng 10-K.</t>
  </si>
  <si>
    <t>digital_share_of_direct</t>
  </si>
  <si>
    <t>Tỷ trọng Digital trong NIKE Direct (xấp xỉ)</t>
  </si>
  <si>
    <t>[Doanh số NIKE Brand Digital] * 1000 / [Doanh thu NIKE Direct]</t>
  </si>
  <si>
    <t>Xấp xỉ: doanh số Digital chỉ được công bố làm tròn 0,1 tỷ USD (sai số khoảng ±0,3 điểm %). Nhân 1.000 để đổi tỷ USD sang triệu USD.</t>
  </si>
  <si>
    <t>C. Chỉ số kết quả tài chính – phạm vi NIKE, Inc.</t>
  </si>
  <si>
    <t>revenue_growth</t>
  </si>
  <si>
    <t>Tăng trưởng doanh thu NIKE, Inc. (theo báo cáo)</t>
  </si>
  <si>
    <t>[Doanh thu] / [Doanh thu – năm trước] - 1</t>
  </si>
  <si>
    <t>gross_margin</t>
  </si>
  <si>
    <t>Biên lợi nhuận gộp</t>
  </si>
  <si>
    <t>[Lợi nhuận gộp] / [Doanh thu]</t>
  </si>
  <si>
    <t>Lợi nhuận gộp / Doanh thu, cùng phạm vi NIKE, Inc.</t>
  </si>
  <si>
    <t>sga_ratio</t>
  </si>
  <si>
    <t>Tỷ lệ chi phí bán hàng và quản lý / doanh thu</t>
  </si>
  <si>
    <t>[Tổng chi phí bán hàng và quản lý (SG&amp;A)] / [Doanh thu]</t>
  </si>
  <si>
    <t>Chi phí chung của cả công ty, không phân bổ được theo kênh.</t>
  </si>
  <si>
    <t>demand_creation_ratio</t>
  </si>
  <si>
    <t>Tỷ lệ chi phí tạo nhu cầu / doanh thu</t>
  </si>
  <si>
    <t>[Chi phí tạo nhu cầu] / [Doanh thu]</t>
  </si>
  <si>
    <t>Phần chi cho marketing trong SG&amp;A.</t>
  </si>
  <si>
    <t>operating_overhead_ratio</t>
  </si>
  <si>
    <t>Tỷ lệ chi phí vận hành chung / doanh thu</t>
  </si>
  <si>
    <t>[Chi phí vận hành chung] / [Doanh thu]</t>
  </si>
  <si>
    <t>Phần chi phí vận hành trong SG&amp;A.</t>
  </si>
  <si>
    <t>ebit</t>
  </si>
  <si>
    <t>EBIT (tự tính theo định nghĩa của NIKE)</t>
  </si>
  <si>
    <t>[Lợi nhuận sau thuế] + [Chi phí thuế thu nhập] + [Chi phí (thu nhập) lãi thuần]</t>
  </si>
  <si>
    <t>Chỉ tiêu non-GAAP. NIKE không trình bày dòng “Operating income” mà dùng EBIT. Số tự tính được đối chiếu với EBIT do NIKE công bố.</t>
  </si>
  <si>
    <t>ebit_margin</t>
  </si>
  <si>
    <t>Biên EBIT</t>
  </si>
  <si>
    <t>[EBIT (tự tính theo định nghĩa của NIKE)] / [Doanh thu]</t>
  </si>
  <si>
    <t>Non-GAAP. EBIT / Doanh thu NIKE, Inc.</t>
  </si>
  <si>
    <t>net_income_margin</t>
  </si>
  <si>
    <t>Biên lợi nhuận sau thuế</t>
  </si>
  <si>
    <t>[Lợi nhuận sau thuế] / [Doanh thu]</t>
  </si>
  <si>
    <t>GAAP.</t>
  </si>
  <si>
    <t>inventory_growth</t>
  </si>
  <si>
    <t>Thay đổi hàng tồn kho so với đầu kỳ</t>
  </si>
  <si>
    <t>[Hàng tồn kho cuối kỳ] / [Hàng tồn kho cuối kỳ – năm trước] - 1</t>
  </si>
  <si>
    <t>Số dư 31/5 năm nay so với 31/5 năm trước.</t>
  </si>
  <si>
    <t>average_inventory</t>
  </si>
  <si>
    <t>Hàng tồn kho bình quân</t>
  </si>
  <si>
    <t>([Hàng tồn kho cuối kỳ] + [Hàng tồn kho cuối kỳ – năm trước]) / 2</t>
  </si>
  <si>
    <t>Bình quân số dư đầu kỳ và cuối kỳ.</t>
  </si>
  <si>
    <t>inventory_turnover</t>
  </si>
  <si>
    <t>Vòng quay hàng tồn kho</t>
  </si>
  <si>
    <t>lần</t>
  </si>
  <si>
    <t>[Giá vốn hàng bán] / [Hàng tồn kho bình quân]</t>
  </si>
  <si>
    <t>Giá vốn hàng bán / Hàng tồn kho bình quân.</t>
  </si>
  <si>
    <t>days_inventory</t>
  </si>
  <si>
    <t>Số ngày tồn kho bình quân</t>
  </si>
  <si>
    <t>ngày</t>
  </si>
  <si>
    <t>365 / [Vòng quay hàng tồn kho]</t>
  </si>
  <si>
    <t>365 / Vòng quay hàng tồn kho.</t>
  </si>
  <si>
    <t>D. Kiểm tra các phép cộng trừ (đúng thì chênh lệch bằng 0, cột cuối là kết luận)</t>
  </si>
  <si>
    <t>chk_gross_profit</t>
  </si>
  <si>
    <t>Doanh thu − Giá vốn − Lợi nhuận gộp</t>
  </si>
  <si>
    <t>[Doanh thu] - [Giá vốn hàng bán] - [Lợi nhuận gộp]   (ngưỡng ±1 triệu USD)</t>
  </si>
  <si>
    <t>chk_sga</t>
  </si>
  <si>
    <t>Tạo nhu cầu + Vận hành chung − Tổng SG&amp;A</t>
  </si>
  <si>
    <t>[Chi phí tạo nhu cầu] + [Chi phí vận hành chung] - [Tổng chi phí bán hàng và quản lý (SG&amp;A)]   (ngưỡng ±1 triệu USD)</t>
  </si>
  <si>
    <t>chk_pretax</t>
  </si>
  <si>
    <t>Lợi nhuận gộp − SG&amp;A − Lãi thuần − Khác thuần − LNTT</t>
  </si>
  <si>
    <t>[Lợi nhuận gộp] - [Tổng chi phí bán hàng và quản lý (SG&amp;A)] - [Chi phí (thu nhập) lãi thuần] - [Chi phí (thu nhập) khác thuần] - [Lợi nhuận trước thuế]   (ngưỡng ±2 triệu USD)</t>
  </si>
  <si>
    <t>chk_net_income</t>
  </si>
  <si>
    <t>LNTT − Thuế − LNST</t>
  </si>
  <si>
    <t>[Lợi nhuận trước thuế] - [Chi phí thuế thu nhập] - [Lợi nhuận sau thuế]   (ngưỡng ±1 triệu USD)</t>
  </si>
  <si>
    <t>chk_channels</t>
  </si>
  <si>
    <t>Direct + Wholesale + GBD − Tổng NIKE Brand</t>
  </si>
  <si>
    <t>[Doanh thu NIKE Direct] + [Doanh thu bán buôn NIKE Brand] + [Doanh thu Global Brand Divisions] - [Tổng doanh thu NIKE Brand]   (ngưỡng ±1 triệu USD)</t>
  </si>
  <si>
    <t>chk_segments</t>
  </si>
  <si>
    <t>NIKE Brand + Converse + Corporate − Doanh thu NIKE, Inc.</t>
  </si>
  <si>
    <t>[Tổng doanh thu NIKE Brand] + [Doanh thu Converse] + [Doanh thu Corporate] - [Doanh thu]   (ngưỡng ±1 triệu USD)</t>
  </si>
  <si>
    <t>chk_ebit</t>
  </si>
  <si>
    <t>EBIT tự tính − EBIT NIKE công bố</t>
  </si>
  <si>
    <t>[EBIT (tự tính theo định nghĩa của NIKE)] - [EBIT do NIKE công bố]   (ngưỡng ±1 triệu USD)</t>
  </si>
  <si>
    <t>E. So với tỷ lệ NIKE tự công bố (các ô là phần chênh lệch, cột cuối là kết luận)</t>
  </si>
  <si>
    <t>cmp_revenue_growth</t>
  </si>
  <si>
    <t>Tăng trưởng doanh thu tự tính − % NIKE công bố</t>
  </si>
  <si>
    <t>điểm %</t>
  </si>
  <si>
    <t>[Tăng trưởng doanh thu NIKE, Inc. (theo báo cáo)] - [% thay đổi doanh thu (NIKE công bố, đã làm tròn)]   (ngưỡng ±1 điểm %)</t>
  </si>
  <si>
    <t>cmp_direct_growth</t>
  </si>
  <si>
    <t>Tăng trưởng NIKE Direct tự tính − % NIKE công bố</t>
  </si>
  <si>
    <t>[Tăng trưởng doanh thu NIKE Direct (theo báo cáo)] - [% thay đổi NIKE Direct (NIKE công bố, đã làm tròn)]   (ngưỡng ±1 điểm %)</t>
  </si>
  <si>
    <t>cmp_wholesale_growth</t>
  </si>
  <si>
    <t>Tăng trưởng bán buôn tự tính − % NIKE công bố</t>
  </si>
  <si>
    <t>[Tăng trưởng doanh thu bán buôn NIKE Brand (theo báo cáo)] - [% thay đổi bán buôn (NIKE công bố, đã làm tròn)]   (ngưỡng ±1 điểm %)</t>
  </si>
  <si>
    <t>cmp_brand_growth</t>
  </si>
  <si>
    <t>Tăng trưởng NIKE Brand tự tính − % NIKE công bố</t>
  </si>
  <si>
    <t>[Tăng trưởng doanh thu NIKE Brand (theo báo cáo)] - [% thay đổi doanh thu NIKE Brand (NIKE công bố, đã làm tròn)]   (ngưỡng ±1 điểm %)</t>
  </si>
  <si>
    <t>cmp_direct_share</t>
  </si>
  <si>
    <t>Tỷ trọng NIKE Direct tự tính − tỷ trọng NIKE nêu</t>
  </si>
  <si>
    <t>[Tỷ trọng NIKE Direct trong doanh thu NIKE Brand] - [Tỷ trọng NIKE Direct do NIKE nêu (xấp xỉ)]   (ngưỡng ±1 điểm %)</t>
  </si>
  <si>
    <t>Nguồn, định nghĩa và giới hạn của dữ liệu</t>
  </si>
  <si>
    <t>A. Tài liệu nguồn chính thức (Form 10-K nộp SEC)</t>
  </si>
  <si>
    <t>Năm tài chính và kỳ báo cáo</t>
  </si>
  <si>
    <t>Tài liệu</t>
  </si>
  <si>
    <t>Liên kết SEC EDGAR</t>
  </si>
  <si>
    <t>Bản sao trên NIKE Investor Relations</t>
  </si>
  <si>
    <t>FY2020 (01/06/2019 – 31/05/2020)</t>
  </si>
  <si>
    <t>NIKE, Inc. Form 10-K for the fiscal year ended May 31, 2020</t>
  </si>
  <si>
    <t>https://www.sec.gov/Archives/edgar/data/320187/000032018720000047/nke-531202010k.htm</t>
  </si>
  <si>
    <t>FY2021 (01/06/2020 – 31/05/2021)</t>
  </si>
  <si>
    <t>NIKE, Inc. Form 10-K for the fiscal year ended May 31, 2021</t>
  </si>
  <si>
    <t>https://www.sec.gov/Archives/edgar/data/320187/000032018721000028/nke-20210531.htm</t>
  </si>
  <si>
    <t>FY2022 (01/06/2021 – 31/05/2022)</t>
  </si>
  <si>
    <t>NIKE, Inc. Form 10-K for the fiscal year ended May 31, 2022</t>
  </si>
  <si>
    <t>https://www.sec.gov/Archives/edgar/data/320187/000032018722000038/nke-20220531.htm</t>
  </si>
  <si>
    <t>FY2023 (01/06/2022 – 31/05/2023)</t>
  </si>
  <si>
    <t>NIKE, Inc. Form 10-K for the fiscal year ended May 31, 2023</t>
  </si>
  <si>
    <t>https://www.sec.gov/Archives/edgar/data/320187/000032018723000039/nke-20230531.htm</t>
  </si>
  <si>
    <t>FY2024 (01/06/2023 – 31/05/2024)</t>
  </si>
  <si>
    <t>NIKE, Inc. Form 10-K for the fiscal year ended May 31, 2024</t>
  </si>
  <si>
    <t>https://www.sec.gov/Archives/edgar/data/320187/000032018724000044/nke-20240531.htm</t>
  </si>
  <si>
    <t>FY2025 (01/06/2024 – 31/05/2025)</t>
  </si>
  <si>
    <t>NIKE, Inc. Form 10-K for the fiscal year ended May 31, 2025</t>
  </si>
  <si>
    <t>https://www.sec.gov/Archives/edgar/data/320187/000032018725000047/nke-20250531.htm</t>
  </si>
  <si>
    <t>FY2026 (01/06/2025 – 31/05/2026)</t>
  </si>
  <si>
    <t>NIKE, Inc. Form 10-K for the fiscal year ended May 31, 2026</t>
  </si>
  <si>
    <t>https://www.sec.gov/Archives/edgar/data/320187/000032018726000088/nke-20260531.htm</t>
  </si>
  <si>
    <t>B. Thuật ngữ và định nghĩa</t>
  </si>
  <si>
    <t>Thuật ngữ</t>
  </si>
  <si>
    <t>Tiếng Anh / tên trong 10-K</t>
  </si>
  <si>
    <t>Định nghĩa</t>
  </si>
  <si>
    <t>Lưu ý phạm vi và cách dùng</t>
  </si>
  <si>
    <t>Năm tài chính (FY)</t>
  </si>
  <si>
    <t>Fiscal year</t>
  </si>
  <si>
    <t>Năm tài chính của NIKE kết thúc ngày 31/5. FY2026 là giai đoạn 01/06/2025 – 31/05/2026.</t>
  </si>
  <si>
    <t>Không quy đổi sang năm dương lịch. Khi so sánh với công ty khác cần lưu ý lệch kỳ.</t>
  </si>
  <si>
    <t>NIKE, Inc. (consolidated)</t>
  </si>
  <si>
    <t>Toàn bộ tập đoàn: NIKE Brand + Converse + Corporate.</t>
  </si>
  <si>
    <t>Các chỉ tiêu ở sheet 02 (doanh thu, giá vốn, SG&amp;A, EBIT, tồn kho) thuộc phạm vi này.</t>
  </si>
  <si>
    <t>Thương hiệu NIKE (gồm cả Jordan Brand), chia theo 4 khu vực địa lý và Global Brand Divisions. Không gồm Converse.</t>
  </si>
  <si>
    <t>Phạm vi của các chỉ tiêu kênh phân phối ở sheet 03.</t>
  </si>
  <si>
    <t>NIKE Direct / Sales through Direct to Consumer</t>
  </si>
  <si>
    <t>Doanh thu NIKE Brand bán trực tiếp cho người tiêu dùng qua cửa hàng do NIKE sở hữu và nền tảng số (NIKE Brand Digital).</t>
  </si>
  <si>
    <t>Là doanh thu, không phải lợi nhuận. NIKE không công bố lợi nhuận riêng của kênh này.</t>
  </si>
  <si>
    <t>NIKE Brand Digital</t>
  </si>
  <si>
    <t>NIKE Brand Digital sales (FY2020–21: Digital commerce sales)</t>
  </si>
  <si>
    <t>Phần doanh số NIKE Direct qua ứng dụng và website của NIKE.</t>
  </si>
  <si>
    <t>Là một phần của NIKE Direct. Chỉ công bố trong MD&amp;A, làm tròn 0,1 tỷ USD.</t>
  </si>
  <si>
    <t>Sales to Wholesale Customers</t>
  </si>
  <si>
    <t>Doanh thu NIKE Brand bán cho nhà bán lẻ, nhà phân phối độc lập, bên nhận cấp phép.</t>
  </si>
  <si>
    <t>Không gồm bán buôn của Converse.</t>
  </si>
  <si>
    <t>Doanh thu cấp phép thương hiệu NIKE và doanh thu khác không thuộc khu vực địa lý.</t>
  </si>
  <si>
    <t>Rất nhỏ (dưới 0,3% doanh thu NIKE Brand), không thuộc Direct hay Wholesale.</t>
  </si>
  <si>
    <t>Phân khúc kinh doanh riêng của NIKE, Inc., có kênh trực tiếp và bán buôn riêng.</t>
  </si>
  <si>
    <t>Không nằm trong số liệu NIKE Direct/Wholesale của bộ dữ liệu.</t>
  </si>
  <si>
    <t>Chủ yếu là lãi/lỗ phòng ngừa rủi ro tỷ giá liên quan đến doanh thu, quản lý tập trung.</t>
  </si>
  <si>
    <t>Có thể âm. Chỉ dùng để đối chiếu NIKE Brand + Converse + Corporate = NIKE, Inc.</t>
  </si>
  <si>
    <t>Gross margin</t>
  </si>
  <si>
    <t>Lợi nhuận gộp / Doanh thu.</t>
  </si>
  <si>
    <t>Phạm vi NIKE, Inc. NIKE không công bố biên gộp theo kênh.</t>
  </si>
  <si>
    <t>Chi phí bán hàng và quản lý (SG&amp;A)</t>
  </si>
  <si>
    <t>Tổng của chi phí tạo nhu cầu (Demand creation) và chi phí vận hành chung (Operating overhead).</t>
  </si>
  <si>
    <t>Chi phí chung của cả công ty. Từ số liệu công bố, không thể phân bổ chính xác cho NIKE Direct hay Wholesale.</t>
  </si>
  <si>
    <t>EBIT</t>
  </si>
  <si>
    <t>Earnings Before Interest and Taxes</t>
  </si>
  <si>
    <t>Lợi nhuận sau thuế + Chi phí (thu nhập) lãi thuần + Chi phí thuế thu nhập (định nghĩa của NIKE).</t>
  </si>
  <si>
    <t>Chỉ tiêu non-GAAP, tính cho toàn NIKE, Inc. NIKE dùng chỉ tiêu này để đo hiệu quả hoạt động.</t>
  </si>
  <si>
    <t>Lợi nhuận hoạt động</t>
  </si>
  <si>
    <t>Operating income</t>
  </si>
  <si>
    <t>NIKE không trình bày dòng “Operating income” trên báo cáo kết quả kinh doanh.</t>
  </si>
  <si>
    <t>Bộ dữ liệu không tự tạo chỉ tiêu này mà dùng EBIT, có ghi rõ là non-GAAP. Các trang tổng hợp của bên thứ ba thường tự tính chỉ tiêu này, nên đó không phải số NIKE công bố.</t>
  </si>
  <si>
    <t>Tăng trưởng theo báo cáo</t>
  </si>
  <si>
    <t>Reported growth (% change)</t>
  </si>
  <si>
    <t>Thay đổi so với năm trước tính bằng USD theo báo cáo.</t>
  </si>
  <si>
    <t>Sheet 04 tự tính từ số năm nay và số năm trước trong cùng 10-K.</t>
  </si>
  <si>
    <t>Tăng trưởng loại trừ tỷ giá</t>
  </si>
  <si>
    <t>Currency-neutral growth (% change excluding currency changes)</t>
  </si>
  <si>
    <t>Tăng trưởng tính lại theo tỷ giá của năm trước để loại bỏ ảnh hưởng của việc quy đổi ngoại tệ.</t>
  </si>
  <si>
    <t>Chỉ tiêu non-GAAP do NIKE tính, không tự tính lại được từ BCTC. Số được lấy nguyên văn từ MD&amp;A.</t>
  </si>
  <si>
    <t>GAAP / Non-GAAP</t>
  </si>
  <si>
    <t>U.S. GAAP / non-GAAP financial measure</t>
  </si>
  <si>
    <t>GAAP: số liệu theo chuẩn mực kế toán Mỹ trong BCTC đã kiểm toán. Non-GAAP: chỉ tiêu do công ty tự định nghĩa, trình bày ngoài BCTC.</t>
  </si>
  <si>
    <t>Cột “Loại số liệu” ở sheet 02–03 ghi rõ từng trường hợp.</t>
  </si>
  <si>
    <t>Số năm trước (cùng 10-K)</t>
  </si>
  <si>
    <t>Comparative prior-year amount</t>
  </si>
  <si>
    <t>Số của năm trước được in kèm trong 10-K năm hiện tại để so sánh.</t>
  </si>
  <si>
    <t>Dùng làm mẫu số khi tính tăng trưởng.</t>
  </si>
  <si>
    <t>Trình bày lại / phân loại lại</t>
  </si>
  <si>
    <t>Restatement / reclassification</t>
  </si>
  <si>
    <t>Khi 10-K năm sau trình bày lại số của năm trước theo cách phân loại mới.</t>
  </si>
  <si>
    <t>Bộ dữ liệu giữ số gốc và ghi chênh lệch ở cột “Trình bày lại ở 10-K sau”.</t>
  </si>
  <si>
    <t>XBRL</t>
  </si>
  <si>
    <t>eXtensible Business Reporting Language</t>
  </si>
  <si>
    <t>Nhãn dữ liệu (máy đọc được) gắn vào từng con số trong 10-K nộp SEC.</t>
  </si>
  <si>
    <t>Cột “Thẻ XBRL” cho biết số liệu lấy từ thẻ nào, dùng cho việc kiểm tra tự động.</t>
  </si>
  <si>
    <t>C. Số liệu còn thiếu và giới hạn</t>
  </si>
  <si>
    <t>Vấn đề</t>
  </si>
  <si>
    <t>Tình trạng</t>
  </si>
  <si>
    <t>Mô tả</t>
  </si>
  <si>
    <t>Cách xử lý trong bộ dữ liệu</t>
  </si>
  <si>
    <t>Lợi nhuận và chi phí theo kênh</t>
  </si>
  <si>
    <t>Không công bố</t>
  </si>
  <si>
    <t>NIKE không công bố lợi nhuận, biên gộp hay chi phí riêng của NIKE Direct và Wholesale. SG&amp;A là chi phí chung của cả công ty.</t>
  </si>
  <si>
    <t>Bộ dữ liệu không tính và không ước lượng các số này. Mọi phân tích lợi nhuận chỉ làm ở phạm vi NIKE, Inc.</t>
  </si>
  <si>
    <t>Tỷ trọng NIKE Direct FY2026 do NIKE nêu</t>
  </si>
  <si>
    <t>Thiếu</t>
  </si>
  <si>
    <t>10-K FY2026 không có câu “approximately …% of total NIKE Brand revenues”.</t>
  </si>
  <si>
    <t>Ô để trống, trạng thái “Thiếu / không công bố”. Tỷ trọng do nhóm tự tính ở sheet 04 vẫn có đủ 7 năm.</t>
  </si>
  <si>
    <t>Doanh số Digital</t>
  </si>
  <si>
    <t>Độ chính xác thấp</t>
  </si>
  <si>
    <t>Chỉ công bố trong MD&amp;A, làm tròn đến 0,1 tỷ USD. Số FY2023 được trình bày lại từ 12,6 xuống 12,4 tỷ USD do phân loại lại giữa cửa hàng và Digital.</t>
  </si>
  <si>
    <t>Giữ số gốc và ghi chú việc trình bày lại. Tỷ trọng Digital trong NIKE Direct được ghi rõ là xấp xỉ.</t>
  </si>
  <si>
    <t>Không tự tính lại được</t>
  </si>
  <si>
    <t>Do NIKE tính bằng tỷ giá nội bộ, bên ngoài không có dữ liệu để tính lại.</t>
  </si>
  <si>
    <t>Lấy nguyên văn từ bảng doanh thu trong MD&amp;A, rồi đọc lại trên trang 10-K để đối chiếu (ảnh chụp trong handover/bang-chung-doi-chieu/).</t>
  </si>
  <si>
    <t>D. Các lần NIKE trình bày lại hoặc phân loại lại số liệu</t>
  </si>
  <si>
    <t>Nội dung</t>
  </si>
  <si>
    <t>Trích dẫn từ 10-K</t>
  </si>
  <si>
    <t>Ảnh hưởng tới bộ dữ liệu</t>
  </si>
  <si>
    <t>NIKE Direct: cửa hàng và Digital</t>
  </si>
  <si>
    <t>“Within NIKE Direct revenues, there were certain reclassifications made between NIKE-owned retail stores and NIKE Brand Digital in the prior period to conform to current period presentation.”</t>
  </si>
  <si>
    <t>Doanh số Digital FY2023: 12,6 tỷ USD (10-K FY2023) được trình bày lại thành 12,4 tỷ USD. Tổng NIKE Direct không đổi.</t>
  </si>
  <si>
    <t>10-K FY2022, FY2025, FY2026</t>
  </si>
  <si>
    <t>Các lần phân loại lại khác</t>
  </si>
  <si>
    <t>FY2022: doanh thu chia theo nhóm người tiêu dùng Nam, Nữ, Trẻ em (hàng unisex xếp vào Nam) và báo cáo riêng Jordan Brand. FY2025: bỏ chỉ tiêu “wholesale equivalent revenues”. FY2026: phân loại lại một số khoản năm trước (Note 1).</t>
  </si>
  <si>
    <t>Không làm thay đổi chỉ tiêu nào trong bộ dữ liệu.</t>
  </si>
  <si>
    <t>E. Trạng thái dữ liệu</t>
  </si>
  <si>
    <t>Trạng thái</t>
  </si>
  <si>
    <t>Tiếng Anh</t>
  </si>
  <si>
    <t>Ý nghĩa</t>
  </si>
  <si>
    <t>Số lượng hiện tại</t>
  </si>
  <si>
    <t>Matched to official source</t>
  </si>
  <si>
    <t>Số liệu lấy tự động từ 10-K và đã được đối chiếu lại bằng ít nhất một cách khác: so với dữ liệu XBRL do SEC công bố (để chắc chắn đọc đúng chỉ tiêu và đúng kỳ), so với bảng trong MD&amp;A, tính lại từ báo cáo tài chính, hoặc đọc lại ngay trên trang 10-K (có ảnh chụp đối chiếu).</t>
  </si>
  <si>
    <t>Chờ người kiểm tra</t>
  </si>
  <si>
    <t>Pending human review</t>
  </si>
  <si>
    <t>Số liệu chính thức nhưng chưa được đối chiếu lại bằng cách khác. Cần một người mở 10-K để kiểm tra.</t>
  </si>
  <si>
    <t>Đã xác minh (người)</t>
  </si>
  <si>
    <t>Human verified</t>
  </si>
  <si>
    <t>Thành viên nhóm đã tự mở 10-K, tìm đúng trang và xác nhận số liệu, có ghi tên và ngày.</t>
  </si>
  <si>
    <t>Missing or undisclosed</t>
  </si>
  <si>
    <t>NIKE không công bố số liệu này trong báo cáo 10-K tương ứng. Ô giá trị để trống, không điền số 0.</t>
  </si>
  <si>
    <t>Bằng chứng mâu thuẫn</t>
  </si>
  <si>
    <t>Conflicting evidence</t>
  </si>
  <si>
    <t>Hai nguồn chính thức cho kết quả khác nhau, lần đọc lại trên trang 10-K ra số khác, hoặc số đã xác minh khác số trích xuất mới. Chưa dùng số này cho đến khi xử lý xong.</t>
  </si>
  <si>
    <t>F. Kiểm tra tự động (lần chạy gần nhất)</t>
  </si>
  <si>
    <t>Kiểm tra</t>
  </si>
  <si>
    <t>Kết quả</t>
  </si>
  <si>
    <t>Chi tiết</t>
  </si>
  <si>
    <t>Ngày kiểm tra</t>
  </si>
  <si>
    <t>Đối chiếu với dữ liệu XBRL của SEC</t>
  </si>
  <si>
    <t>247/247 khớp</t>
  </si>
  <si>
    <t>Toàn bộ số hợp nhất (không chia theo kênh) của 7 báo cáo, kể cả cột năm trước, được so với dữ liệu SEC của đúng báo cáo đó (cùng số accession).</t>
  </si>
  <si>
    <t>23/10/2026</t>
  </si>
  <si>
    <t>Thuyết minh XBRL so với bảng MD&amp;A</t>
  </si>
  <si>
    <t>Khớp toàn bộ</t>
  </si>
  <si>
    <t>Doanh thu NIKE Direct, bán buôn, Global Brand Divisions, NIKE Brand, Converse, Corporate và NIKE, Inc. ở hai vị trí khác nhau trong cùng 10-K.</t>
  </si>
  <si>
    <t>Kiểm tra cộng trừ và so với tỷ lệ NIKE công bố</t>
  </si>
  <si>
    <t>Đạt</t>
  </si>
  <si>
    <t>Xem mục D và E ở sheet 04.</t>
  </si>
  <si>
    <t>Đọc lại trên trang 10-K</t>
  </si>
  <si>
    <t>35/35 khớp</t>
  </si>
  <si>
    <t>Các số chỉ có trong MD&amp;A: mở từng 10-K và tìm trang theo chân trang. 28 tỷ lệ tăng trưởng loại trừ tỷ giá được đọc lại theo vị trí cột “% CHANGE EXCLUDING CURRENCY CHANGES” đầu tiên, 7 số Digital được đọc lại từ câu văn trên đúng trang. Ảnh chụp và bảng so sánh: handover/bang-chung-doi-chieu/doi-chieu-35-so.html (cũng có trên dashboard web).</t>
  </si>
  <si>
    <t>24/10/2026</t>
  </si>
</sst>
</file>

<file path=xl/styles.xml><?xml version="1.0" encoding="utf-8"?>
<styleSheet xmlns="http://schemas.openxmlformats.org/spreadsheetml/2006/main">
  <numFmts count="7">
    <numFmt numFmtId="164" formatCode="#,##0;(#,##0);0"/>
    <numFmt numFmtId="165" formatCode="0%;−0%;0%"/>
    <numFmt numFmtId="166" formatCode="0.0"/>
    <numFmt numFmtId="167" formatCode="0.0%;−0.0%;0.0%"/>
    <numFmt numFmtId="168" formatCode="0%"/>
    <numFmt numFmtId="169" formatCode="0.00"/>
    <numFmt numFmtId="170" formatCode="+0.00;−0.00;0.00"/>
  </numFmts>
  <fonts count="10">
    <font>
      <sz val="10"/>
      <color theme="1"/>
      <name val="Arial"/>
      <family val="2"/>
    </font>
    <font>
      <b/>
      <sz val="16"/>
      <color theme="1"/>
      <name val="Arial"/>
      <family val="2"/>
    </font>
    <font>
      <sz val="10"/>
      <color rgb="FF444444"/>
      <name val="Arial"/>
      <family val="2"/>
    </font>
    <font>
      <b/>
      <sz val="11"/>
      <color theme="1"/>
      <name val="Arial"/>
      <family val="2"/>
    </font>
    <font>
      <b/>
      <sz val="10"/>
      <color theme="1"/>
      <name val="Arial"/>
      <family val="2"/>
    </font>
    <font>
      <u/>
      <sz val="10"/>
      <color rgb="FF1F4E9A"/>
      <name val="Arial"/>
      <family val="2"/>
    </font>
    <font>
      <b/>
      <sz val="14"/>
      <color theme="1"/>
      <name val="Arial"/>
      <family val="2"/>
    </font>
    <font>
      <sz val="10"/>
      <color rgb="FF0000FF"/>
      <name val="Arial"/>
      <family val="2"/>
    </font>
    <font>
      <sz val="10"/>
      <color rgb="FF6B6B6B"/>
      <name val="Arial"/>
      <family val="2"/>
    </font>
    <font>
      <sz val="10"/>
      <color rgb="FF008000"/>
      <name val="Arial"/>
      <family val="2"/>
    </font>
  </fonts>
  <fills count="5">
    <fill>
      <patternFill patternType="none"/>
    </fill>
    <fill>
      <patternFill patternType="gray125"/>
    </fill>
    <fill>
      <patternFill patternType="solid">
        <fgColor rgb="FFE7EAEE"/>
        <bgColor indexed="64"/>
      </patternFill>
    </fill>
    <fill>
      <patternFill patternType="solid">
        <fgColor rgb="FFFFF2CC"/>
        <bgColor indexed="64"/>
      </patternFill>
    </fill>
    <fill>
      <patternFill patternType="solid">
        <fgColor rgb="FFF3F4F6"/>
        <bgColor indexed="64"/>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30">
    <xf numFmtId="0" fontId="0" fillId="0" borderId="0" xfId="0"/>
    <xf numFmtId="0" fontId="1" fillId="0" borderId="0" xfId="0" applyFont="1" applyAlignment="1">
      <alignment vertical="top"/>
    </xf>
    <xf numFmtId="0" fontId="2" fillId="0" borderId="0" xfId="0" applyFont="1" applyAlignment="1">
      <alignment vertical="top"/>
    </xf>
    <xf numFmtId="0" fontId="3" fillId="0" borderId="1" xfId="0" applyFont="1" applyBorder="1" applyAlignment="1">
      <alignment vertical="top"/>
    </xf>
    <xf numFmtId="0" fontId="4" fillId="0" borderId="0" xfId="0" applyFont="1" applyAlignment="1">
      <alignment vertical="top" wrapText="1"/>
    </xf>
    <xf numFmtId="0" fontId="0" fillId="0" borderId="0" xfId="0" applyAlignment="1">
      <alignment vertical="top" wrapText="1"/>
    </xf>
    <xf numFmtId="0" fontId="5" fillId="0" borderId="0" xfId="0" applyFont="1" applyAlignment="1">
      <alignment vertical="top"/>
    </xf>
    <xf numFmtId="0" fontId="6" fillId="0" borderId="0" xfId="0" applyFont="1" applyAlignment="1">
      <alignment vertical="top"/>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0" fillId="0" borderId="0" xfId="0" applyAlignment="1">
      <alignment vertical="top"/>
    </xf>
    <xf numFmtId="164" fontId="7" fillId="0" borderId="0" xfId="0" applyNumberFormat="1" applyFont="1" applyAlignment="1">
      <alignment vertical="top"/>
    </xf>
    <xf numFmtId="0" fontId="0" fillId="0" borderId="0" xfId="0" applyAlignment="1">
      <alignment horizontal="center" vertical="top"/>
    </xf>
    <xf numFmtId="165" fontId="7" fillId="0" borderId="0" xfId="0" applyNumberFormat="1" applyFont="1" applyAlignment="1">
      <alignment vertical="top"/>
    </xf>
    <xf numFmtId="166" fontId="7" fillId="0" borderId="0" xfId="0" applyNumberFormat="1" applyFont="1" applyAlignment="1">
      <alignment vertical="top"/>
    </xf>
    <xf numFmtId="0" fontId="4" fillId="2" borderId="1" xfId="0" applyFont="1" applyFill="1" applyBorder="1" applyAlignment="1">
      <alignment horizontal="right" vertical="center"/>
    </xf>
    <xf numFmtId="0" fontId="4" fillId="4" borderId="2" xfId="0" applyFont="1" applyFill="1" applyBorder="1" applyAlignment="1">
      <alignment vertical="top"/>
    </xf>
    <xf numFmtId="0" fontId="8" fillId="0" borderId="0" xfId="0" applyFont="1" applyAlignment="1">
      <alignment vertical="top"/>
    </xf>
    <xf numFmtId="164" fontId="9" fillId="0" borderId="0" xfId="0" applyNumberFormat="1" applyFont="1" applyAlignment="1">
      <alignment vertical="top"/>
    </xf>
    <xf numFmtId="165" fontId="9" fillId="0" borderId="0" xfId="0" applyNumberFormat="1" applyFont="1" applyAlignment="1">
      <alignment vertical="top"/>
    </xf>
    <xf numFmtId="166" fontId="9" fillId="0" borderId="0" xfId="0" applyNumberFormat="1" applyFont="1" applyAlignment="1">
      <alignment vertical="top"/>
    </xf>
    <xf numFmtId="167" fontId="0" fillId="0" borderId="0" xfId="0" applyNumberFormat="1" applyAlignment="1">
      <alignment horizontal="right" vertical="top"/>
    </xf>
    <xf numFmtId="168" fontId="0" fillId="0" borderId="0" xfId="0" applyNumberFormat="1" applyAlignment="1">
      <alignment horizontal="right" vertical="top"/>
    </xf>
    <xf numFmtId="164" fontId="0" fillId="0" borderId="0" xfId="0" applyNumberFormat="1" applyAlignment="1">
      <alignment horizontal="right" vertical="top"/>
    </xf>
    <xf numFmtId="169" fontId="0" fillId="0" borderId="0" xfId="0" applyNumberFormat="1" applyAlignment="1">
      <alignment horizontal="right" vertical="top"/>
    </xf>
    <xf numFmtId="166" fontId="0" fillId="0" borderId="0" xfId="0" applyNumberFormat="1" applyAlignment="1">
      <alignment horizontal="right" vertical="top"/>
    </xf>
    <xf numFmtId="0" fontId="4" fillId="0" borderId="0" xfId="0" applyFont="1" applyAlignment="1">
      <alignment vertical="top"/>
    </xf>
    <xf numFmtId="170" fontId="0" fillId="0" borderId="0" xfId="0" applyNumberFormat="1" applyAlignment="1">
      <alignment horizontal="right" vertical="top"/>
    </xf>
    <xf numFmtId="0" fontId="3" fillId="0" borderId="0" xfId="0" applyFont="1" applyAlignment="1">
      <alignment vertical="top"/>
    </xf>
    <xf numFmtId="0" fontId="5" fillId="0" borderId="0" xfId="0" applyFont="1" applyAlignment="1">
      <alignment vertical="top" wrapText="1"/>
    </xf>
  </cellXfs>
  <cellStyles count="1">
    <cellStyle name="Normal" xfId="0" builtinId="0"/>
  </cellStyles>
  <dxfs count="5">
    <dxf>
      <fill>
        <patternFill>
          <bgColor rgb="FFFFF4CE"/>
        </patternFill>
      </fill>
    </dxf>
    <dxf>
      <font>
        <i/>
        <color rgb="FF6B6B6B"/>
      </font>
    </dxf>
    <dxf>
      <fill>
        <patternFill>
          <bgColor rgb="FFE2F0D9"/>
        </patternFill>
      </fill>
    </dxf>
    <dxf>
      <font>
        <b/>
      </font>
      <fill>
        <patternFill>
          <bgColor rgb="FFF8D7DA"/>
        </patternFill>
      </fill>
    </dxf>
    <dxf>
      <font>
        <b/>
        <color rgb="FFC0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iurikyasakytg2006-dot.github.io/nike-financial-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c.gov/Archives/edgar/data/320187/000032018720000047/nke-531202010k.htm" TargetMode="External"/><Relationship Id="rId2" Type="http://schemas.openxmlformats.org/officeDocument/2006/relationships/hyperlink" Target="https://www.sec.gov/Archives/edgar/data/320187/000032018721000028/nke-20210531.htm" TargetMode="External"/><Relationship Id="rId3" Type="http://schemas.openxmlformats.org/officeDocument/2006/relationships/hyperlink" Target="https://www.sec.gov/Archives/edgar/data/320187/000032018722000038/nke-20220531.htm" TargetMode="External"/><Relationship Id="rId4" Type="http://schemas.openxmlformats.org/officeDocument/2006/relationships/hyperlink" Target="https://www.sec.gov/Archives/edgar/data/320187/000032018723000039/nke-20230531.htm" TargetMode="External"/><Relationship Id="rId5" Type="http://schemas.openxmlformats.org/officeDocument/2006/relationships/hyperlink" Target="https://www.sec.gov/Archives/edgar/data/320187/000032018724000044/nke-20240531.htm" TargetMode="External"/><Relationship Id="rId6" Type="http://schemas.openxmlformats.org/officeDocument/2006/relationships/hyperlink" Target="https://www.sec.gov/Archives/edgar/data/320187/000032018725000047/nke-20250531.htm" TargetMode="External"/><Relationship Id="rId7" Type="http://schemas.openxmlformats.org/officeDocument/2006/relationships/hyperlink" Target="https://www.sec.gov/Archives/edgar/data/320187/000032018726000088/nke-20260531.htm" TargetMode="External"/><Relationship Id="rId8" Type="http://schemas.openxmlformats.org/officeDocument/2006/relationships/hyperlink" Target="https://www.sec.gov/Archives/edgar/data/320187/000032018720000047/nke-531202010k.htm" TargetMode="External"/><Relationship Id="rId9" Type="http://schemas.openxmlformats.org/officeDocument/2006/relationships/hyperlink" Target="https://www.sec.gov/Archives/edgar/data/320187/000032018721000028/nke-20210531.htm" TargetMode="External"/><Relationship Id="rId10" Type="http://schemas.openxmlformats.org/officeDocument/2006/relationships/hyperlink" Target="https://www.sec.gov/Archives/edgar/data/320187/000032018722000038/nke-20220531.htm" TargetMode="External"/><Relationship Id="rId11" Type="http://schemas.openxmlformats.org/officeDocument/2006/relationships/hyperlink" Target="https://www.sec.gov/Archives/edgar/data/320187/000032018723000039/nke-20230531.htm" TargetMode="External"/><Relationship Id="rId12" Type="http://schemas.openxmlformats.org/officeDocument/2006/relationships/hyperlink" Target="https://www.sec.gov/Archives/edgar/data/320187/000032018724000044/nke-20240531.htm" TargetMode="External"/><Relationship Id="rId13" Type="http://schemas.openxmlformats.org/officeDocument/2006/relationships/hyperlink" Target="https://www.sec.gov/Archives/edgar/data/320187/000032018725000047/nke-20250531.htm" TargetMode="External"/><Relationship Id="rId14" Type="http://schemas.openxmlformats.org/officeDocument/2006/relationships/hyperlink" Target="https://www.sec.gov/Archives/edgar/data/320187/000032018726000088/nke-20260531.htm" TargetMode="External"/><Relationship Id="rId15" Type="http://schemas.openxmlformats.org/officeDocument/2006/relationships/hyperlink" Target="https://www.sec.gov/Archives/edgar/data/320187/000032018720000047/nke-531202010k.htm" TargetMode="External"/><Relationship Id="rId16" Type="http://schemas.openxmlformats.org/officeDocument/2006/relationships/hyperlink" Target="https://www.sec.gov/Archives/edgar/data/320187/000032018721000028/nke-20210531.htm" TargetMode="External"/><Relationship Id="rId17" Type="http://schemas.openxmlformats.org/officeDocument/2006/relationships/hyperlink" Target="https://www.sec.gov/Archives/edgar/data/320187/000032018722000038/nke-20220531.htm" TargetMode="External"/><Relationship Id="rId18" Type="http://schemas.openxmlformats.org/officeDocument/2006/relationships/hyperlink" Target="https://www.sec.gov/Archives/edgar/data/320187/000032018723000039/nke-20230531.htm" TargetMode="External"/><Relationship Id="rId19" Type="http://schemas.openxmlformats.org/officeDocument/2006/relationships/hyperlink" Target="https://www.sec.gov/Archives/edgar/data/320187/000032018724000044/nke-20240531.htm" TargetMode="External"/><Relationship Id="rId20" Type="http://schemas.openxmlformats.org/officeDocument/2006/relationships/hyperlink" Target="https://www.sec.gov/Archives/edgar/data/320187/000032018725000047/nke-20250531.htm" TargetMode="External"/><Relationship Id="rId21" Type="http://schemas.openxmlformats.org/officeDocument/2006/relationships/hyperlink" Target="https://www.sec.gov/Archives/edgar/data/320187/000032018726000088/nke-20260531.htm" TargetMode="External"/><Relationship Id="rId22" Type="http://schemas.openxmlformats.org/officeDocument/2006/relationships/hyperlink" Target="https://www.sec.gov/Archives/edgar/data/320187/000032018720000047/nke-531202010k.htm" TargetMode="External"/><Relationship Id="rId23" Type="http://schemas.openxmlformats.org/officeDocument/2006/relationships/hyperlink" Target="https://www.sec.gov/Archives/edgar/data/320187/000032018721000028/nke-20210531.htm" TargetMode="External"/><Relationship Id="rId24" Type="http://schemas.openxmlformats.org/officeDocument/2006/relationships/hyperlink" Target="https://www.sec.gov/Archives/edgar/data/320187/000032018722000038/nke-20220531.htm" TargetMode="External"/><Relationship Id="rId25" Type="http://schemas.openxmlformats.org/officeDocument/2006/relationships/hyperlink" Target="https://www.sec.gov/Archives/edgar/data/320187/000032018723000039/nke-20230531.htm" TargetMode="External"/><Relationship Id="rId26" Type="http://schemas.openxmlformats.org/officeDocument/2006/relationships/hyperlink" Target="https://www.sec.gov/Archives/edgar/data/320187/000032018724000044/nke-20240531.htm" TargetMode="External"/><Relationship Id="rId27" Type="http://schemas.openxmlformats.org/officeDocument/2006/relationships/hyperlink" Target="https://www.sec.gov/Archives/edgar/data/320187/000032018725000047/nke-20250531.htm" TargetMode="External"/><Relationship Id="rId28" Type="http://schemas.openxmlformats.org/officeDocument/2006/relationships/hyperlink" Target="https://www.sec.gov/Archives/edgar/data/320187/000032018726000088/nke-20260531.htm" TargetMode="External"/><Relationship Id="rId29" Type="http://schemas.openxmlformats.org/officeDocument/2006/relationships/hyperlink" Target="https://www.sec.gov/Archives/edgar/data/320187/000032018720000047/nke-531202010k.htm" TargetMode="External"/><Relationship Id="rId30" Type="http://schemas.openxmlformats.org/officeDocument/2006/relationships/hyperlink" Target="https://www.sec.gov/Archives/edgar/data/320187/000032018721000028/nke-20210531.htm" TargetMode="External"/><Relationship Id="rId31" Type="http://schemas.openxmlformats.org/officeDocument/2006/relationships/hyperlink" Target="https://www.sec.gov/Archives/edgar/data/320187/000032018722000038/nke-20220531.htm" TargetMode="External"/><Relationship Id="rId32" Type="http://schemas.openxmlformats.org/officeDocument/2006/relationships/hyperlink" Target="https://www.sec.gov/Archives/edgar/data/320187/000032018723000039/nke-20230531.htm" TargetMode="External"/><Relationship Id="rId33" Type="http://schemas.openxmlformats.org/officeDocument/2006/relationships/hyperlink" Target="https://www.sec.gov/Archives/edgar/data/320187/000032018724000044/nke-20240531.htm" TargetMode="External"/><Relationship Id="rId34" Type="http://schemas.openxmlformats.org/officeDocument/2006/relationships/hyperlink" Target="https://www.sec.gov/Archives/edgar/data/320187/000032018725000047/nke-20250531.htm" TargetMode="External"/><Relationship Id="rId35" Type="http://schemas.openxmlformats.org/officeDocument/2006/relationships/hyperlink" Target="https://www.sec.gov/Archives/edgar/data/320187/000032018726000088/nke-20260531.htm" TargetMode="External"/><Relationship Id="rId36" Type="http://schemas.openxmlformats.org/officeDocument/2006/relationships/hyperlink" Target="https://www.sec.gov/Archives/edgar/data/320187/000032018720000047/nke-531202010k.htm" TargetMode="External"/><Relationship Id="rId37" Type="http://schemas.openxmlformats.org/officeDocument/2006/relationships/hyperlink" Target="https://www.sec.gov/Archives/edgar/data/320187/000032018721000028/nke-20210531.htm" TargetMode="External"/><Relationship Id="rId38" Type="http://schemas.openxmlformats.org/officeDocument/2006/relationships/hyperlink" Target="https://www.sec.gov/Archives/edgar/data/320187/000032018722000038/nke-20220531.htm" TargetMode="External"/><Relationship Id="rId39" Type="http://schemas.openxmlformats.org/officeDocument/2006/relationships/hyperlink" Target="https://www.sec.gov/Archives/edgar/data/320187/000032018723000039/nke-20230531.htm" TargetMode="External"/><Relationship Id="rId40" Type="http://schemas.openxmlformats.org/officeDocument/2006/relationships/hyperlink" Target="https://www.sec.gov/Archives/edgar/data/320187/000032018724000044/nke-20240531.htm" TargetMode="External"/><Relationship Id="rId41" Type="http://schemas.openxmlformats.org/officeDocument/2006/relationships/hyperlink" Target="https://www.sec.gov/Archives/edgar/data/320187/000032018725000047/nke-20250531.htm" TargetMode="External"/><Relationship Id="rId42" Type="http://schemas.openxmlformats.org/officeDocument/2006/relationships/hyperlink" Target="https://www.sec.gov/Archives/edgar/data/320187/000032018726000088/nke-20260531.htm" TargetMode="External"/><Relationship Id="rId43" Type="http://schemas.openxmlformats.org/officeDocument/2006/relationships/hyperlink" Target="https://www.sec.gov/Archives/edgar/data/320187/000032018720000047/nke-531202010k.htm" TargetMode="External"/><Relationship Id="rId44" Type="http://schemas.openxmlformats.org/officeDocument/2006/relationships/hyperlink" Target="https://www.sec.gov/Archives/edgar/data/320187/000032018721000028/nke-20210531.htm" TargetMode="External"/><Relationship Id="rId45" Type="http://schemas.openxmlformats.org/officeDocument/2006/relationships/hyperlink" Target="https://www.sec.gov/Archives/edgar/data/320187/000032018722000038/nke-20220531.htm" TargetMode="External"/><Relationship Id="rId46" Type="http://schemas.openxmlformats.org/officeDocument/2006/relationships/hyperlink" Target="https://www.sec.gov/Archives/edgar/data/320187/000032018723000039/nke-20230531.htm" TargetMode="External"/><Relationship Id="rId47" Type="http://schemas.openxmlformats.org/officeDocument/2006/relationships/hyperlink" Target="https://www.sec.gov/Archives/edgar/data/320187/000032018724000044/nke-20240531.htm" TargetMode="External"/><Relationship Id="rId48" Type="http://schemas.openxmlformats.org/officeDocument/2006/relationships/hyperlink" Target="https://www.sec.gov/Archives/edgar/data/320187/000032018725000047/nke-20250531.htm" TargetMode="External"/><Relationship Id="rId49" Type="http://schemas.openxmlformats.org/officeDocument/2006/relationships/hyperlink" Target="https://www.sec.gov/Archives/edgar/data/320187/000032018726000088/nke-20260531.htm" TargetMode="External"/><Relationship Id="rId50" Type="http://schemas.openxmlformats.org/officeDocument/2006/relationships/hyperlink" Target="https://www.sec.gov/Archives/edgar/data/320187/000032018720000047/nke-531202010k.htm" TargetMode="External"/><Relationship Id="rId51" Type="http://schemas.openxmlformats.org/officeDocument/2006/relationships/hyperlink" Target="https://www.sec.gov/Archives/edgar/data/320187/000032018721000028/nke-20210531.htm" TargetMode="External"/><Relationship Id="rId52" Type="http://schemas.openxmlformats.org/officeDocument/2006/relationships/hyperlink" Target="https://www.sec.gov/Archives/edgar/data/320187/000032018722000038/nke-20220531.htm" TargetMode="External"/><Relationship Id="rId53" Type="http://schemas.openxmlformats.org/officeDocument/2006/relationships/hyperlink" Target="https://www.sec.gov/Archives/edgar/data/320187/000032018723000039/nke-20230531.htm" TargetMode="External"/><Relationship Id="rId54" Type="http://schemas.openxmlformats.org/officeDocument/2006/relationships/hyperlink" Target="https://www.sec.gov/Archives/edgar/data/320187/000032018724000044/nke-20240531.htm" TargetMode="External"/><Relationship Id="rId55" Type="http://schemas.openxmlformats.org/officeDocument/2006/relationships/hyperlink" Target="https://www.sec.gov/Archives/edgar/data/320187/000032018725000047/nke-20250531.htm" TargetMode="External"/><Relationship Id="rId56" Type="http://schemas.openxmlformats.org/officeDocument/2006/relationships/hyperlink" Target="https://www.sec.gov/Archives/edgar/data/320187/000032018726000088/nke-20260531.htm" TargetMode="External"/><Relationship Id="rId57" Type="http://schemas.openxmlformats.org/officeDocument/2006/relationships/hyperlink" Target="https://www.sec.gov/Archives/edgar/data/320187/000032018720000047/nke-531202010k.htm" TargetMode="External"/><Relationship Id="rId58" Type="http://schemas.openxmlformats.org/officeDocument/2006/relationships/hyperlink" Target="https://www.sec.gov/Archives/edgar/data/320187/000032018721000028/nke-20210531.htm" TargetMode="External"/><Relationship Id="rId59" Type="http://schemas.openxmlformats.org/officeDocument/2006/relationships/hyperlink" Target="https://www.sec.gov/Archives/edgar/data/320187/000032018722000038/nke-20220531.htm" TargetMode="External"/><Relationship Id="rId60" Type="http://schemas.openxmlformats.org/officeDocument/2006/relationships/hyperlink" Target="https://www.sec.gov/Archives/edgar/data/320187/000032018723000039/nke-20230531.htm" TargetMode="External"/><Relationship Id="rId61" Type="http://schemas.openxmlformats.org/officeDocument/2006/relationships/hyperlink" Target="https://www.sec.gov/Archives/edgar/data/320187/000032018724000044/nke-20240531.htm" TargetMode="External"/><Relationship Id="rId62" Type="http://schemas.openxmlformats.org/officeDocument/2006/relationships/hyperlink" Target="https://www.sec.gov/Archives/edgar/data/320187/000032018725000047/nke-20250531.htm" TargetMode="External"/><Relationship Id="rId63" Type="http://schemas.openxmlformats.org/officeDocument/2006/relationships/hyperlink" Target="https://www.sec.gov/Archives/edgar/data/320187/000032018726000088/nke-20260531.htm" TargetMode="External"/><Relationship Id="rId64" Type="http://schemas.openxmlformats.org/officeDocument/2006/relationships/hyperlink" Target="https://www.sec.gov/Archives/edgar/data/320187/000032018720000047/nke-531202010k.htm" TargetMode="External"/><Relationship Id="rId65" Type="http://schemas.openxmlformats.org/officeDocument/2006/relationships/hyperlink" Target="https://www.sec.gov/Archives/edgar/data/320187/000032018721000028/nke-20210531.htm" TargetMode="External"/><Relationship Id="rId66" Type="http://schemas.openxmlformats.org/officeDocument/2006/relationships/hyperlink" Target="https://www.sec.gov/Archives/edgar/data/320187/000032018722000038/nke-20220531.htm" TargetMode="External"/><Relationship Id="rId67" Type="http://schemas.openxmlformats.org/officeDocument/2006/relationships/hyperlink" Target="https://www.sec.gov/Archives/edgar/data/320187/000032018723000039/nke-20230531.htm" TargetMode="External"/><Relationship Id="rId68" Type="http://schemas.openxmlformats.org/officeDocument/2006/relationships/hyperlink" Target="https://www.sec.gov/Archives/edgar/data/320187/000032018724000044/nke-20240531.htm" TargetMode="External"/><Relationship Id="rId69" Type="http://schemas.openxmlformats.org/officeDocument/2006/relationships/hyperlink" Target="https://www.sec.gov/Archives/edgar/data/320187/000032018725000047/nke-20250531.htm" TargetMode="External"/><Relationship Id="rId70" Type="http://schemas.openxmlformats.org/officeDocument/2006/relationships/hyperlink" Target="https://www.sec.gov/Archives/edgar/data/320187/000032018726000088/nke-20260531.htm" TargetMode="External"/><Relationship Id="rId71" Type="http://schemas.openxmlformats.org/officeDocument/2006/relationships/hyperlink" Target="https://www.sec.gov/Archives/edgar/data/320187/000032018720000047/nke-531202010k.htm" TargetMode="External"/><Relationship Id="rId72" Type="http://schemas.openxmlformats.org/officeDocument/2006/relationships/hyperlink" Target="https://www.sec.gov/Archives/edgar/data/320187/000032018721000028/nke-20210531.htm" TargetMode="External"/><Relationship Id="rId73" Type="http://schemas.openxmlformats.org/officeDocument/2006/relationships/hyperlink" Target="https://www.sec.gov/Archives/edgar/data/320187/000032018722000038/nke-20220531.htm" TargetMode="External"/><Relationship Id="rId74" Type="http://schemas.openxmlformats.org/officeDocument/2006/relationships/hyperlink" Target="https://www.sec.gov/Archives/edgar/data/320187/000032018723000039/nke-20230531.htm" TargetMode="External"/><Relationship Id="rId75" Type="http://schemas.openxmlformats.org/officeDocument/2006/relationships/hyperlink" Target="https://www.sec.gov/Archives/edgar/data/320187/000032018724000044/nke-20240531.htm" TargetMode="External"/><Relationship Id="rId76" Type="http://schemas.openxmlformats.org/officeDocument/2006/relationships/hyperlink" Target="https://www.sec.gov/Archives/edgar/data/320187/000032018725000047/nke-20250531.htm" TargetMode="External"/><Relationship Id="rId77" Type="http://schemas.openxmlformats.org/officeDocument/2006/relationships/hyperlink" Target="https://www.sec.gov/Archives/edgar/data/320187/000032018726000088/nke-20260531.htm" TargetMode="External"/><Relationship Id="rId78" Type="http://schemas.openxmlformats.org/officeDocument/2006/relationships/hyperlink" Target="https://www.sec.gov/Archives/edgar/data/320187/000032018720000047/nke-531202010k.htm" TargetMode="External"/><Relationship Id="rId79" Type="http://schemas.openxmlformats.org/officeDocument/2006/relationships/hyperlink" Target="https://www.sec.gov/Archives/edgar/data/320187/000032018721000028/nke-20210531.htm" TargetMode="External"/><Relationship Id="rId80" Type="http://schemas.openxmlformats.org/officeDocument/2006/relationships/hyperlink" Target="https://www.sec.gov/Archives/edgar/data/320187/000032018722000038/nke-20220531.htm" TargetMode="External"/><Relationship Id="rId81" Type="http://schemas.openxmlformats.org/officeDocument/2006/relationships/hyperlink" Target="https://www.sec.gov/Archives/edgar/data/320187/000032018723000039/nke-20230531.htm" TargetMode="External"/><Relationship Id="rId82" Type="http://schemas.openxmlformats.org/officeDocument/2006/relationships/hyperlink" Target="https://www.sec.gov/Archives/edgar/data/320187/000032018724000044/nke-20240531.htm" TargetMode="External"/><Relationship Id="rId83" Type="http://schemas.openxmlformats.org/officeDocument/2006/relationships/hyperlink" Target="https://www.sec.gov/Archives/edgar/data/320187/000032018725000047/nke-20250531.htm" TargetMode="External"/><Relationship Id="rId84" Type="http://schemas.openxmlformats.org/officeDocument/2006/relationships/hyperlink" Target="https://www.sec.gov/Archives/edgar/data/320187/000032018726000088/nke-20260531.htm" TargetMode="External"/><Relationship Id="rId85" Type="http://schemas.openxmlformats.org/officeDocument/2006/relationships/hyperlink" Target="https://www.sec.gov/Archives/edgar/data/320187/000032018720000047/nke-531202010k.htm" TargetMode="External"/><Relationship Id="rId86" Type="http://schemas.openxmlformats.org/officeDocument/2006/relationships/hyperlink" Target="https://www.sec.gov/Archives/edgar/data/320187/000032018721000028/nke-20210531.htm" TargetMode="External"/><Relationship Id="rId87" Type="http://schemas.openxmlformats.org/officeDocument/2006/relationships/hyperlink" Target="https://www.sec.gov/Archives/edgar/data/320187/000032018722000038/nke-20220531.htm" TargetMode="External"/><Relationship Id="rId88" Type="http://schemas.openxmlformats.org/officeDocument/2006/relationships/hyperlink" Target="https://www.sec.gov/Archives/edgar/data/320187/000032018723000039/nke-20230531.htm" TargetMode="External"/><Relationship Id="rId89" Type="http://schemas.openxmlformats.org/officeDocument/2006/relationships/hyperlink" Target="https://www.sec.gov/Archives/edgar/data/320187/000032018724000044/nke-20240531.htm" TargetMode="External"/><Relationship Id="rId90" Type="http://schemas.openxmlformats.org/officeDocument/2006/relationships/hyperlink" Target="https://www.sec.gov/Archives/edgar/data/320187/000032018725000047/nke-20250531.htm" TargetMode="External"/><Relationship Id="rId91" Type="http://schemas.openxmlformats.org/officeDocument/2006/relationships/hyperlink" Target="https://www.sec.gov/Archives/edgar/data/320187/000032018726000088/nke-20260531.htm" TargetMode="External"/><Relationship Id="rId92" Type="http://schemas.openxmlformats.org/officeDocument/2006/relationships/hyperlink" Target="https://www.sec.gov/Archives/edgar/data/320187/000032018720000047/nke-531202010k.htm" TargetMode="External"/><Relationship Id="rId93" Type="http://schemas.openxmlformats.org/officeDocument/2006/relationships/hyperlink" Target="https://www.sec.gov/Archives/edgar/data/320187/000032018721000028/nke-20210531.htm" TargetMode="External"/><Relationship Id="rId94" Type="http://schemas.openxmlformats.org/officeDocument/2006/relationships/hyperlink" Target="https://www.sec.gov/Archives/edgar/data/320187/000032018722000038/nke-20220531.htm" TargetMode="External"/><Relationship Id="rId95" Type="http://schemas.openxmlformats.org/officeDocument/2006/relationships/hyperlink" Target="https://www.sec.gov/Archives/edgar/data/320187/000032018723000039/nke-20230531.htm" TargetMode="External"/><Relationship Id="rId96" Type="http://schemas.openxmlformats.org/officeDocument/2006/relationships/hyperlink" Target="https://www.sec.gov/Archives/edgar/data/320187/000032018724000044/nke-20240531.htm" TargetMode="External"/><Relationship Id="rId97" Type="http://schemas.openxmlformats.org/officeDocument/2006/relationships/hyperlink" Target="https://www.sec.gov/Archives/edgar/data/320187/000032018725000047/nke-20250531.htm" TargetMode="External"/><Relationship Id="rId98" Type="http://schemas.openxmlformats.org/officeDocument/2006/relationships/hyperlink" Target="https://www.sec.gov/Archives/edgar/data/320187/000032018726000088/nke-20260531.htm" TargetMode="External"/><Relationship Id="rId99" Type="http://schemas.openxmlformats.org/officeDocument/2006/relationships/hyperlink" Target="https://www.sec.gov/Archives/edgar/data/320187/000032018720000047/nke-531202010k.htm" TargetMode="External"/><Relationship Id="rId100" Type="http://schemas.openxmlformats.org/officeDocument/2006/relationships/hyperlink" Target="https://www.sec.gov/Archives/edgar/data/320187/000032018721000028/nke-20210531.htm" TargetMode="External"/><Relationship Id="rId101" Type="http://schemas.openxmlformats.org/officeDocument/2006/relationships/hyperlink" Target="https://www.sec.gov/Archives/edgar/data/320187/000032018722000038/nke-20220531.htm" TargetMode="External"/><Relationship Id="rId102" Type="http://schemas.openxmlformats.org/officeDocument/2006/relationships/hyperlink" Target="https://www.sec.gov/Archives/edgar/data/320187/000032018723000039/nke-20230531.htm" TargetMode="External"/><Relationship Id="rId103" Type="http://schemas.openxmlformats.org/officeDocument/2006/relationships/hyperlink" Target="https://www.sec.gov/Archives/edgar/data/320187/000032018724000044/nke-20240531.htm" TargetMode="External"/><Relationship Id="rId104" Type="http://schemas.openxmlformats.org/officeDocument/2006/relationships/hyperlink" Target="https://www.sec.gov/Archives/edgar/data/320187/000032018725000047/nke-20250531.htm" TargetMode="External"/><Relationship Id="rId105" Type="http://schemas.openxmlformats.org/officeDocument/2006/relationships/hyperlink" Target="https://www.sec.gov/Archives/edgar/data/320187/000032018726000088/nke-20260531.ht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ec.gov/Archives/edgar/data/320187/000032018720000047/nke-531202010k.htm" TargetMode="External"/><Relationship Id="rId2" Type="http://schemas.openxmlformats.org/officeDocument/2006/relationships/hyperlink" Target="https://www.sec.gov/Archives/edgar/data/320187/000032018721000028/nke-20210531.htm" TargetMode="External"/><Relationship Id="rId3" Type="http://schemas.openxmlformats.org/officeDocument/2006/relationships/hyperlink" Target="https://www.sec.gov/Archives/edgar/data/320187/000032018722000038/nke-20220531.htm" TargetMode="External"/><Relationship Id="rId4" Type="http://schemas.openxmlformats.org/officeDocument/2006/relationships/hyperlink" Target="https://www.sec.gov/Archives/edgar/data/320187/000032018723000039/nke-20230531.htm" TargetMode="External"/><Relationship Id="rId5" Type="http://schemas.openxmlformats.org/officeDocument/2006/relationships/hyperlink" Target="https://www.sec.gov/Archives/edgar/data/320187/000032018724000044/nke-20240531.htm" TargetMode="External"/><Relationship Id="rId6" Type="http://schemas.openxmlformats.org/officeDocument/2006/relationships/hyperlink" Target="https://www.sec.gov/Archives/edgar/data/320187/000032018725000047/nke-20250531.htm" TargetMode="External"/><Relationship Id="rId7" Type="http://schemas.openxmlformats.org/officeDocument/2006/relationships/hyperlink" Target="https://www.sec.gov/Archives/edgar/data/320187/000032018726000088/nke-20260531.htm" TargetMode="External"/><Relationship Id="rId8" Type="http://schemas.openxmlformats.org/officeDocument/2006/relationships/hyperlink" Target="https://www.sec.gov/Archives/edgar/data/320187/000032018720000047/nke-531202010k.htm" TargetMode="External"/><Relationship Id="rId9" Type="http://schemas.openxmlformats.org/officeDocument/2006/relationships/hyperlink" Target="https://www.sec.gov/Archives/edgar/data/320187/000032018721000028/nke-20210531.htm" TargetMode="External"/><Relationship Id="rId10" Type="http://schemas.openxmlformats.org/officeDocument/2006/relationships/hyperlink" Target="https://www.sec.gov/Archives/edgar/data/320187/000032018722000038/nke-20220531.htm" TargetMode="External"/><Relationship Id="rId11" Type="http://schemas.openxmlformats.org/officeDocument/2006/relationships/hyperlink" Target="https://www.sec.gov/Archives/edgar/data/320187/000032018723000039/nke-20230531.htm" TargetMode="External"/><Relationship Id="rId12" Type="http://schemas.openxmlformats.org/officeDocument/2006/relationships/hyperlink" Target="https://www.sec.gov/Archives/edgar/data/320187/000032018724000044/nke-20240531.htm" TargetMode="External"/><Relationship Id="rId13" Type="http://schemas.openxmlformats.org/officeDocument/2006/relationships/hyperlink" Target="https://www.sec.gov/Archives/edgar/data/320187/000032018725000047/nke-20250531.htm" TargetMode="External"/><Relationship Id="rId14" Type="http://schemas.openxmlformats.org/officeDocument/2006/relationships/hyperlink" Target="https://www.sec.gov/Archives/edgar/data/320187/000032018726000088/nke-20260531.htm" TargetMode="External"/><Relationship Id="rId15" Type="http://schemas.openxmlformats.org/officeDocument/2006/relationships/hyperlink" Target="https://www.sec.gov/Archives/edgar/data/320187/000032018720000047/nke-531202010k.htm" TargetMode="External"/><Relationship Id="rId16" Type="http://schemas.openxmlformats.org/officeDocument/2006/relationships/hyperlink" Target="https://www.sec.gov/Archives/edgar/data/320187/000032018721000028/nke-20210531.htm" TargetMode="External"/><Relationship Id="rId17" Type="http://schemas.openxmlformats.org/officeDocument/2006/relationships/hyperlink" Target="https://www.sec.gov/Archives/edgar/data/320187/000032018722000038/nke-20220531.htm" TargetMode="External"/><Relationship Id="rId18" Type="http://schemas.openxmlformats.org/officeDocument/2006/relationships/hyperlink" Target="https://www.sec.gov/Archives/edgar/data/320187/000032018723000039/nke-20230531.htm" TargetMode="External"/><Relationship Id="rId19" Type="http://schemas.openxmlformats.org/officeDocument/2006/relationships/hyperlink" Target="https://www.sec.gov/Archives/edgar/data/320187/000032018724000044/nke-20240531.htm" TargetMode="External"/><Relationship Id="rId20" Type="http://schemas.openxmlformats.org/officeDocument/2006/relationships/hyperlink" Target="https://www.sec.gov/Archives/edgar/data/320187/000032018725000047/nke-20250531.htm" TargetMode="External"/><Relationship Id="rId21" Type="http://schemas.openxmlformats.org/officeDocument/2006/relationships/hyperlink" Target="https://www.sec.gov/Archives/edgar/data/320187/000032018726000088/nke-20260531.htm" TargetMode="External"/><Relationship Id="rId22" Type="http://schemas.openxmlformats.org/officeDocument/2006/relationships/hyperlink" Target="https://www.sec.gov/Archives/edgar/data/320187/000032018720000047/nke-531202010k.htm" TargetMode="External"/><Relationship Id="rId23" Type="http://schemas.openxmlformats.org/officeDocument/2006/relationships/hyperlink" Target="https://www.sec.gov/Archives/edgar/data/320187/000032018721000028/nke-20210531.htm" TargetMode="External"/><Relationship Id="rId24" Type="http://schemas.openxmlformats.org/officeDocument/2006/relationships/hyperlink" Target="https://www.sec.gov/Archives/edgar/data/320187/000032018722000038/nke-20220531.htm" TargetMode="External"/><Relationship Id="rId25" Type="http://schemas.openxmlformats.org/officeDocument/2006/relationships/hyperlink" Target="https://www.sec.gov/Archives/edgar/data/320187/000032018723000039/nke-20230531.htm" TargetMode="External"/><Relationship Id="rId26" Type="http://schemas.openxmlformats.org/officeDocument/2006/relationships/hyperlink" Target="https://www.sec.gov/Archives/edgar/data/320187/000032018724000044/nke-20240531.htm" TargetMode="External"/><Relationship Id="rId27" Type="http://schemas.openxmlformats.org/officeDocument/2006/relationships/hyperlink" Target="https://www.sec.gov/Archives/edgar/data/320187/000032018725000047/nke-20250531.htm" TargetMode="External"/><Relationship Id="rId28" Type="http://schemas.openxmlformats.org/officeDocument/2006/relationships/hyperlink" Target="https://www.sec.gov/Archives/edgar/data/320187/000032018726000088/nke-20260531.htm" TargetMode="External"/><Relationship Id="rId29" Type="http://schemas.openxmlformats.org/officeDocument/2006/relationships/hyperlink" Target="https://www.sec.gov/Archives/edgar/data/320187/000032018720000047/nke-531202010k.htm" TargetMode="External"/><Relationship Id="rId30" Type="http://schemas.openxmlformats.org/officeDocument/2006/relationships/hyperlink" Target="https://www.sec.gov/Archives/edgar/data/320187/000032018721000028/nke-20210531.htm" TargetMode="External"/><Relationship Id="rId31" Type="http://schemas.openxmlformats.org/officeDocument/2006/relationships/hyperlink" Target="https://www.sec.gov/Archives/edgar/data/320187/000032018722000038/nke-20220531.htm" TargetMode="External"/><Relationship Id="rId32" Type="http://schemas.openxmlformats.org/officeDocument/2006/relationships/hyperlink" Target="https://www.sec.gov/Archives/edgar/data/320187/000032018723000039/nke-20230531.htm" TargetMode="External"/><Relationship Id="rId33" Type="http://schemas.openxmlformats.org/officeDocument/2006/relationships/hyperlink" Target="https://www.sec.gov/Archives/edgar/data/320187/000032018724000044/nke-20240531.htm" TargetMode="External"/><Relationship Id="rId34" Type="http://schemas.openxmlformats.org/officeDocument/2006/relationships/hyperlink" Target="https://www.sec.gov/Archives/edgar/data/320187/000032018725000047/nke-20250531.htm" TargetMode="External"/><Relationship Id="rId35" Type="http://schemas.openxmlformats.org/officeDocument/2006/relationships/hyperlink" Target="https://www.sec.gov/Archives/edgar/data/320187/000032018726000088/nke-20260531.htm" TargetMode="External"/><Relationship Id="rId36" Type="http://schemas.openxmlformats.org/officeDocument/2006/relationships/hyperlink" Target="https://www.sec.gov/Archives/edgar/data/320187/000032018720000047/nke-531202010k.htm" TargetMode="External"/><Relationship Id="rId37" Type="http://schemas.openxmlformats.org/officeDocument/2006/relationships/hyperlink" Target="https://www.sec.gov/Archives/edgar/data/320187/000032018721000028/nke-20210531.htm" TargetMode="External"/><Relationship Id="rId38" Type="http://schemas.openxmlformats.org/officeDocument/2006/relationships/hyperlink" Target="https://www.sec.gov/Archives/edgar/data/320187/000032018722000038/nke-20220531.htm" TargetMode="External"/><Relationship Id="rId39" Type="http://schemas.openxmlformats.org/officeDocument/2006/relationships/hyperlink" Target="https://www.sec.gov/Archives/edgar/data/320187/000032018723000039/nke-20230531.htm" TargetMode="External"/><Relationship Id="rId40" Type="http://schemas.openxmlformats.org/officeDocument/2006/relationships/hyperlink" Target="https://www.sec.gov/Archives/edgar/data/320187/000032018724000044/nke-20240531.htm" TargetMode="External"/><Relationship Id="rId41" Type="http://schemas.openxmlformats.org/officeDocument/2006/relationships/hyperlink" Target="https://www.sec.gov/Archives/edgar/data/320187/000032018725000047/nke-20250531.htm" TargetMode="External"/><Relationship Id="rId42" Type="http://schemas.openxmlformats.org/officeDocument/2006/relationships/hyperlink" Target="https://www.sec.gov/Archives/edgar/data/320187/000032018726000088/nke-20260531.htm" TargetMode="External"/><Relationship Id="rId43" Type="http://schemas.openxmlformats.org/officeDocument/2006/relationships/hyperlink" Target="https://www.sec.gov/Archives/edgar/data/320187/000032018720000047/nke-531202010k.htm" TargetMode="External"/><Relationship Id="rId44" Type="http://schemas.openxmlformats.org/officeDocument/2006/relationships/hyperlink" Target="https://www.sec.gov/Archives/edgar/data/320187/000032018721000028/nke-20210531.htm" TargetMode="External"/><Relationship Id="rId45" Type="http://schemas.openxmlformats.org/officeDocument/2006/relationships/hyperlink" Target="https://www.sec.gov/Archives/edgar/data/320187/000032018722000038/nke-20220531.htm" TargetMode="External"/><Relationship Id="rId46" Type="http://schemas.openxmlformats.org/officeDocument/2006/relationships/hyperlink" Target="https://www.sec.gov/Archives/edgar/data/320187/000032018723000039/nke-20230531.htm" TargetMode="External"/><Relationship Id="rId47" Type="http://schemas.openxmlformats.org/officeDocument/2006/relationships/hyperlink" Target="https://www.sec.gov/Archives/edgar/data/320187/000032018724000044/nke-20240531.htm" TargetMode="External"/><Relationship Id="rId48" Type="http://schemas.openxmlformats.org/officeDocument/2006/relationships/hyperlink" Target="https://www.sec.gov/Archives/edgar/data/320187/000032018725000047/nke-20250531.htm" TargetMode="External"/><Relationship Id="rId49" Type="http://schemas.openxmlformats.org/officeDocument/2006/relationships/hyperlink" Target="https://www.sec.gov/Archives/edgar/data/320187/000032018726000088/nke-20260531.htm" TargetMode="External"/><Relationship Id="rId50" Type="http://schemas.openxmlformats.org/officeDocument/2006/relationships/hyperlink" Target="https://www.sec.gov/Archives/edgar/data/320187/000032018720000047/nke-531202010k.htm" TargetMode="External"/><Relationship Id="rId51" Type="http://schemas.openxmlformats.org/officeDocument/2006/relationships/hyperlink" Target="https://www.sec.gov/Archives/edgar/data/320187/000032018721000028/nke-20210531.htm" TargetMode="External"/><Relationship Id="rId52" Type="http://schemas.openxmlformats.org/officeDocument/2006/relationships/hyperlink" Target="https://www.sec.gov/Archives/edgar/data/320187/000032018722000038/nke-20220531.htm" TargetMode="External"/><Relationship Id="rId53" Type="http://schemas.openxmlformats.org/officeDocument/2006/relationships/hyperlink" Target="https://www.sec.gov/Archives/edgar/data/320187/000032018723000039/nke-20230531.htm" TargetMode="External"/><Relationship Id="rId54" Type="http://schemas.openxmlformats.org/officeDocument/2006/relationships/hyperlink" Target="https://www.sec.gov/Archives/edgar/data/320187/000032018724000044/nke-20240531.htm" TargetMode="External"/><Relationship Id="rId55" Type="http://schemas.openxmlformats.org/officeDocument/2006/relationships/hyperlink" Target="https://www.sec.gov/Archives/edgar/data/320187/000032018725000047/nke-20250531.htm" TargetMode="External"/><Relationship Id="rId56" Type="http://schemas.openxmlformats.org/officeDocument/2006/relationships/hyperlink" Target="https://www.sec.gov/Archives/edgar/data/320187/000032018726000088/nke-20260531.htm" TargetMode="External"/><Relationship Id="rId57" Type="http://schemas.openxmlformats.org/officeDocument/2006/relationships/hyperlink" Target="https://www.sec.gov/Archives/edgar/data/320187/000032018720000047/nke-531202010k.htm" TargetMode="External"/><Relationship Id="rId58" Type="http://schemas.openxmlformats.org/officeDocument/2006/relationships/hyperlink" Target="https://www.sec.gov/Archives/edgar/data/320187/000032018721000028/nke-20210531.htm" TargetMode="External"/><Relationship Id="rId59" Type="http://schemas.openxmlformats.org/officeDocument/2006/relationships/hyperlink" Target="https://www.sec.gov/Archives/edgar/data/320187/000032018722000038/nke-20220531.htm" TargetMode="External"/><Relationship Id="rId60" Type="http://schemas.openxmlformats.org/officeDocument/2006/relationships/hyperlink" Target="https://www.sec.gov/Archives/edgar/data/320187/000032018723000039/nke-20230531.htm" TargetMode="External"/><Relationship Id="rId61" Type="http://schemas.openxmlformats.org/officeDocument/2006/relationships/hyperlink" Target="https://www.sec.gov/Archives/edgar/data/320187/000032018724000044/nke-20240531.htm" TargetMode="External"/><Relationship Id="rId62" Type="http://schemas.openxmlformats.org/officeDocument/2006/relationships/hyperlink" Target="https://www.sec.gov/Archives/edgar/data/320187/000032018725000047/nke-20250531.htm" TargetMode="External"/><Relationship Id="rId63" Type="http://schemas.openxmlformats.org/officeDocument/2006/relationships/hyperlink" Target="https://www.sec.gov/Archives/edgar/data/320187/000032018726000088/nke-20260531.htm" TargetMode="External"/><Relationship Id="rId64" Type="http://schemas.openxmlformats.org/officeDocument/2006/relationships/hyperlink" Target="https://www.sec.gov/Archives/edgar/data/320187/000032018720000047/nke-531202010k.htm" TargetMode="External"/><Relationship Id="rId65" Type="http://schemas.openxmlformats.org/officeDocument/2006/relationships/hyperlink" Target="https://www.sec.gov/Archives/edgar/data/320187/000032018721000028/nke-20210531.htm" TargetMode="External"/><Relationship Id="rId66" Type="http://schemas.openxmlformats.org/officeDocument/2006/relationships/hyperlink" Target="https://www.sec.gov/Archives/edgar/data/320187/000032018722000038/nke-20220531.htm" TargetMode="External"/><Relationship Id="rId67" Type="http://schemas.openxmlformats.org/officeDocument/2006/relationships/hyperlink" Target="https://www.sec.gov/Archives/edgar/data/320187/000032018723000039/nke-20230531.htm" TargetMode="External"/><Relationship Id="rId68" Type="http://schemas.openxmlformats.org/officeDocument/2006/relationships/hyperlink" Target="https://www.sec.gov/Archives/edgar/data/320187/000032018724000044/nke-20240531.htm" TargetMode="External"/><Relationship Id="rId69" Type="http://schemas.openxmlformats.org/officeDocument/2006/relationships/hyperlink" Target="https://www.sec.gov/Archives/edgar/data/320187/000032018725000047/nke-20250531.htm" TargetMode="External"/><Relationship Id="rId70" Type="http://schemas.openxmlformats.org/officeDocument/2006/relationships/hyperlink" Target="https://www.sec.gov/Archives/edgar/data/320187/000032018726000088/nke-20260531.htm" TargetMode="External"/><Relationship Id="rId71" Type="http://schemas.openxmlformats.org/officeDocument/2006/relationships/hyperlink" Target="https://www.sec.gov/Archives/edgar/data/320187/000032018720000047/nke-531202010k.htm" TargetMode="External"/><Relationship Id="rId72" Type="http://schemas.openxmlformats.org/officeDocument/2006/relationships/hyperlink" Target="https://www.sec.gov/Archives/edgar/data/320187/000032018721000028/nke-20210531.htm" TargetMode="External"/><Relationship Id="rId73" Type="http://schemas.openxmlformats.org/officeDocument/2006/relationships/hyperlink" Target="https://www.sec.gov/Archives/edgar/data/320187/000032018722000038/nke-20220531.htm" TargetMode="External"/><Relationship Id="rId74" Type="http://schemas.openxmlformats.org/officeDocument/2006/relationships/hyperlink" Target="https://www.sec.gov/Archives/edgar/data/320187/000032018723000039/nke-20230531.htm" TargetMode="External"/><Relationship Id="rId75" Type="http://schemas.openxmlformats.org/officeDocument/2006/relationships/hyperlink" Target="https://www.sec.gov/Archives/edgar/data/320187/000032018724000044/nke-20240531.htm" TargetMode="External"/><Relationship Id="rId76" Type="http://schemas.openxmlformats.org/officeDocument/2006/relationships/hyperlink" Target="https://www.sec.gov/Archives/edgar/data/320187/000032018725000047/nke-20250531.htm" TargetMode="External"/><Relationship Id="rId77" Type="http://schemas.openxmlformats.org/officeDocument/2006/relationships/hyperlink" Target="https://www.sec.gov/Archives/edgar/data/320187/000032018726000088/nke-20260531.htm" TargetMode="External"/><Relationship Id="rId78" Type="http://schemas.openxmlformats.org/officeDocument/2006/relationships/hyperlink" Target="https://www.sec.gov/Archives/edgar/data/320187/000032018720000047/nke-531202010k.htm" TargetMode="External"/><Relationship Id="rId79" Type="http://schemas.openxmlformats.org/officeDocument/2006/relationships/hyperlink" Target="https://www.sec.gov/Archives/edgar/data/320187/000032018721000028/nke-20210531.htm" TargetMode="External"/><Relationship Id="rId80" Type="http://schemas.openxmlformats.org/officeDocument/2006/relationships/hyperlink" Target="https://www.sec.gov/Archives/edgar/data/320187/000032018722000038/nke-20220531.htm" TargetMode="External"/><Relationship Id="rId81" Type="http://schemas.openxmlformats.org/officeDocument/2006/relationships/hyperlink" Target="https://www.sec.gov/Archives/edgar/data/320187/000032018723000039/nke-20230531.htm" TargetMode="External"/><Relationship Id="rId82" Type="http://schemas.openxmlformats.org/officeDocument/2006/relationships/hyperlink" Target="https://www.sec.gov/Archives/edgar/data/320187/000032018724000044/nke-20240531.htm" TargetMode="External"/><Relationship Id="rId83" Type="http://schemas.openxmlformats.org/officeDocument/2006/relationships/hyperlink" Target="https://www.sec.gov/Archives/edgar/data/320187/000032018725000047/nke-20250531.htm" TargetMode="External"/><Relationship Id="rId84" Type="http://schemas.openxmlformats.org/officeDocument/2006/relationships/hyperlink" Target="https://www.sec.gov/Archives/edgar/data/320187/000032018726000088/nke-20260531.htm" TargetMode="External"/><Relationship Id="rId85" Type="http://schemas.openxmlformats.org/officeDocument/2006/relationships/hyperlink" Target="https://www.sec.gov/Archives/edgar/data/320187/000032018720000047/nke-531202010k.htm" TargetMode="External"/><Relationship Id="rId86" Type="http://schemas.openxmlformats.org/officeDocument/2006/relationships/hyperlink" Target="https://www.sec.gov/Archives/edgar/data/320187/000032018721000028/nke-20210531.htm" TargetMode="External"/><Relationship Id="rId87" Type="http://schemas.openxmlformats.org/officeDocument/2006/relationships/hyperlink" Target="https://www.sec.gov/Archives/edgar/data/320187/000032018722000038/nke-20220531.htm" TargetMode="External"/><Relationship Id="rId88" Type="http://schemas.openxmlformats.org/officeDocument/2006/relationships/hyperlink" Target="https://www.sec.gov/Archives/edgar/data/320187/000032018723000039/nke-20230531.htm" TargetMode="External"/><Relationship Id="rId89" Type="http://schemas.openxmlformats.org/officeDocument/2006/relationships/hyperlink" Target="https://www.sec.gov/Archives/edgar/data/320187/000032018724000044/nke-20240531.htm" TargetMode="External"/><Relationship Id="rId90" Type="http://schemas.openxmlformats.org/officeDocument/2006/relationships/hyperlink" Target="https://www.sec.gov/Archives/edgar/data/320187/000032018725000047/nke-20250531.htm" TargetMode="External"/><Relationship Id="rId91" Type="http://schemas.openxmlformats.org/officeDocument/2006/relationships/hyperlink" Target="https://www.sec.gov/Archives/edgar/data/320187/000032018726000088/nke-20260531.htm" TargetMode="External"/><Relationship Id="rId92" Type="http://schemas.openxmlformats.org/officeDocument/2006/relationships/hyperlink" Target="https://www.sec.gov/Archives/edgar/data/320187/000032018720000047/nke-531202010k.htm" TargetMode="External"/><Relationship Id="rId93" Type="http://schemas.openxmlformats.org/officeDocument/2006/relationships/hyperlink" Target="https://www.sec.gov/Archives/edgar/data/320187/000032018721000028/nke-20210531.htm" TargetMode="External"/><Relationship Id="rId94" Type="http://schemas.openxmlformats.org/officeDocument/2006/relationships/hyperlink" Target="https://www.sec.gov/Archives/edgar/data/320187/000032018722000038/nke-20220531.htm" TargetMode="External"/><Relationship Id="rId95" Type="http://schemas.openxmlformats.org/officeDocument/2006/relationships/hyperlink" Target="https://www.sec.gov/Archives/edgar/data/320187/000032018723000039/nke-20230531.htm" TargetMode="External"/><Relationship Id="rId96" Type="http://schemas.openxmlformats.org/officeDocument/2006/relationships/hyperlink" Target="https://www.sec.gov/Archives/edgar/data/320187/000032018724000044/nke-20240531.htm" TargetMode="External"/><Relationship Id="rId97" Type="http://schemas.openxmlformats.org/officeDocument/2006/relationships/hyperlink" Target="https://www.sec.gov/Archives/edgar/data/320187/000032018725000047/nke-20250531.htm" TargetMode="External"/><Relationship Id="rId98" Type="http://schemas.openxmlformats.org/officeDocument/2006/relationships/hyperlink" Target="https://www.sec.gov/Archives/edgar/data/320187/000032018726000088/nke-20260531.ht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ec.gov/Archives/edgar/data/320187/000032018720000047/nke-531202010k.htm" TargetMode="External"/><Relationship Id="rId2" Type="http://schemas.openxmlformats.org/officeDocument/2006/relationships/hyperlink" Target="https://investors.nike.com/sec-filings/all-sec-filings/content/0000320187-20-000047/nke-531202010k.htm" TargetMode="External"/><Relationship Id="rId3" Type="http://schemas.openxmlformats.org/officeDocument/2006/relationships/hyperlink" Target="https://www.sec.gov/Archives/edgar/data/320187/000032018721000028/nke-20210531.htm" TargetMode="External"/><Relationship Id="rId4" Type="http://schemas.openxmlformats.org/officeDocument/2006/relationships/hyperlink" Target="https://investors.nike.com/sec-filings/all-sec-filings/content/0000320187-21-000028/nke-20210531.htm" TargetMode="External"/><Relationship Id="rId5" Type="http://schemas.openxmlformats.org/officeDocument/2006/relationships/hyperlink" Target="https://www.sec.gov/Archives/edgar/data/320187/000032018722000038/nke-20220531.htm" TargetMode="External"/><Relationship Id="rId6" Type="http://schemas.openxmlformats.org/officeDocument/2006/relationships/hyperlink" Target="https://investors.nike.com/sec-filings/all-sec-filings/content/0000320187-22-000038/nke-20220531.htm" TargetMode="External"/><Relationship Id="rId7" Type="http://schemas.openxmlformats.org/officeDocument/2006/relationships/hyperlink" Target="https://www.sec.gov/Archives/edgar/data/320187/000032018723000039/nke-20230531.htm" TargetMode="External"/><Relationship Id="rId8" Type="http://schemas.openxmlformats.org/officeDocument/2006/relationships/hyperlink" Target="https://investors.nike.com/sec-filings/all-sec-filings/content/0000320187-23-000039/nke-20230531.htm" TargetMode="External"/><Relationship Id="rId9" Type="http://schemas.openxmlformats.org/officeDocument/2006/relationships/hyperlink" Target="https://www.sec.gov/Archives/edgar/data/320187/000032018724000044/nke-20240531.htm" TargetMode="External"/><Relationship Id="rId10" Type="http://schemas.openxmlformats.org/officeDocument/2006/relationships/hyperlink" Target="https://investors.nike.com/sec-filings/all-sec-filings/content/0000320187-24-000044/nke-20240531.htm" TargetMode="External"/><Relationship Id="rId11" Type="http://schemas.openxmlformats.org/officeDocument/2006/relationships/hyperlink" Target="https://www.sec.gov/Archives/edgar/data/320187/000032018725000047/nke-20250531.htm" TargetMode="External"/><Relationship Id="rId12" Type="http://schemas.openxmlformats.org/officeDocument/2006/relationships/hyperlink" Target="https://investors.nike.com/sec-filings/all-sec-filings/content/0000320187-25-000047/nke-20250531.htm" TargetMode="External"/><Relationship Id="rId13" Type="http://schemas.openxmlformats.org/officeDocument/2006/relationships/hyperlink" Target="https://www.sec.gov/Archives/edgar/data/320187/000032018726000088/nke-20260531.htm" TargetMode="External"/><Relationship Id="rId14" Type="http://schemas.openxmlformats.org/officeDocument/2006/relationships/hyperlink" Target="https://investors.nike.com/sec-filings/all-sec-filings/content/0000320187-26-000088/nke-20260531.htm"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B35"/>
  <sheetViews>
    <sheetView showGridLines="0" tabSelected="1" workbookViewId="0"/>
  </sheetViews>
  <sheetFormatPr defaultRowHeight="15"/>
  <cols>
    <col min="1" max="1" width="30.7109375" customWidth="1"/>
    <col min="2" max="2" width="110.7109375" customWidth="1"/>
  </cols>
  <sheetData>
    <row r="1" spans="1:2">
      <c r="A1" s="1" t="s">
        <v>0</v>
      </c>
    </row>
    <row r="2" spans="1:2">
      <c r="A2" s="2" t="s">
        <v>1</v>
      </c>
    </row>
    <row r="4" spans="1:2">
      <c r="A4" s="3" t="s">
        <v>2</v>
      </c>
      <c r="B4" s="3"/>
    </row>
    <row r="5" spans="1:2">
      <c r="A5" s="4" t="s">
        <v>3</v>
      </c>
      <c r="B5" s="5" t="s">
        <v>4</v>
      </c>
    </row>
    <row r="6" spans="1:2">
      <c r="A6" s="4" t="s">
        <v>5</v>
      </c>
      <c r="B6" s="5" t="s">
        <v>6</v>
      </c>
    </row>
    <row r="7" spans="1:2">
      <c r="A7" s="4" t="s">
        <v>7</v>
      </c>
      <c r="B7" s="5" t="s">
        <v>8</v>
      </c>
    </row>
    <row r="8" spans="1:2">
      <c r="A8" s="4" t="s">
        <v>9</v>
      </c>
      <c r="B8" s="5" t="s">
        <v>10</v>
      </c>
    </row>
    <row r="9" spans="1:2">
      <c r="A9" s="4" t="s">
        <v>11</v>
      </c>
      <c r="B9" s="5" t="s">
        <v>12</v>
      </c>
    </row>
    <row r="10" spans="1:2">
      <c r="A10" s="4" t="s">
        <v>13</v>
      </c>
      <c r="B10" s="5" t="s">
        <v>14</v>
      </c>
    </row>
    <row r="11" spans="1:2">
      <c r="A11" s="4" t="s">
        <v>15</v>
      </c>
      <c r="B11" s="5" t="s">
        <v>16</v>
      </c>
    </row>
    <row r="13" spans="1:2">
      <c r="A13" s="3" t="s">
        <v>17</v>
      </c>
      <c r="B13" s="3"/>
    </row>
    <row r="14" spans="1:2">
      <c r="A14" s="4" t="s">
        <v>18</v>
      </c>
      <c r="B14" s="5" t="s">
        <v>19</v>
      </c>
    </row>
    <row r="15" spans="1:2">
      <c r="A15" s="4" t="s">
        <v>20</v>
      </c>
      <c r="B15" s="5" t="s">
        <v>21</v>
      </c>
    </row>
    <row r="16" spans="1:2">
      <c r="A16" s="4" t="s">
        <v>22</v>
      </c>
      <c r="B16" s="5" t="s">
        <v>23</v>
      </c>
    </row>
    <row r="17" spans="1:2">
      <c r="A17" s="4" t="s">
        <v>24</v>
      </c>
      <c r="B17" s="5" t="s">
        <v>25</v>
      </c>
    </row>
    <row r="18" spans="1:2">
      <c r="A18" s="4" t="s">
        <v>26</v>
      </c>
      <c r="B18" s="5" t="s">
        <v>27</v>
      </c>
    </row>
    <row r="20" spans="1:2">
      <c r="A20" s="3" t="s">
        <v>28</v>
      </c>
      <c r="B20" s="3"/>
    </row>
    <row r="21" spans="1:2">
      <c r="A21" s="4" t="s">
        <v>29</v>
      </c>
      <c r="B21" s="5" t="s">
        <v>30</v>
      </c>
    </row>
    <row r="22" spans="1:2">
      <c r="A22" s="4" t="s">
        <v>31</v>
      </c>
      <c r="B22" s="5" t="s">
        <v>32</v>
      </c>
    </row>
    <row r="23" spans="1:2">
      <c r="A23" s="4" t="s">
        <v>33</v>
      </c>
      <c r="B23" s="5" t="s">
        <v>34</v>
      </c>
    </row>
    <row r="24" spans="1:2">
      <c r="A24" s="4" t="s">
        <v>35</v>
      </c>
      <c r="B24" s="5" t="s">
        <v>36</v>
      </c>
    </row>
    <row r="25" spans="1:2">
      <c r="A25" s="4" t="s">
        <v>37</v>
      </c>
      <c r="B25" s="5" t="s">
        <v>38</v>
      </c>
    </row>
    <row r="26" spans="1:2">
      <c r="A26" s="4" t="s">
        <v>39</v>
      </c>
      <c r="B26" s="5" t="s">
        <v>40</v>
      </c>
    </row>
    <row r="27" spans="1:2">
      <c r="A27" s="4" t="s">
        <v>41</v>
      </c>
      <c r="B27" s="5" t="s">
        <v>42</v>
      </c>
    </row>
    <row r="29" spans="1:2">
      <c r="A29" s="3" t="s">
        <v>43</v>
      </c>
      <c r="B29" s="3"/>
    </row>
    <row r="30" spans="1:2">
      <c r="A30" s="4" t="s">
        <v>44</v>
      </c>
      <c r="B30" s="5" t="s">
        <v>45</v>
      </c>
    </row>
    <row r="31" spans="1:2">
      <c r="A31" s="4" t="s">
        <v>46</v>
      </c>
      <c r="B31" s="5" t="s">
        <v>47</v>
      </c>
    </row>
    <row r="32" spans="1:2">
      <c r="A32" s="4" t="s">
        <v>48</v>
      </c>
      <c r="B32" s="5" t="s">
        <v>49</v>
      </c>
    </row>
    <row r="33" spans="1:2">
      <c r="A33" s="4" t="s">
        <v>50</v>
      </c>
      <c r="B33" s="5" t="s">
        <v>51</v>
      </c>
    </row>
    <row r="35" spans="1:2">
      <c r="A35" s="4" t="s">
        <v>52</v>
      </c>
      <c r="B35" s="6" t="s">
        <v>53</v>
      </c>
    </row>
  </sheetData>
  <hyperlinks>
    <hyperlink ref="B35" r:id="rId1"/>
  </hyperlink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Z109"/>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28515625" customWidth="1"/>
    <col min="2" max="2" width="52.140625" customWidth="1"/>
    <col min="3" max="3" width="12.7109375" customWidth="1"/>
    <col min="4" max="4" width="14.7109375" customWidth="1"/>
    <col min="5" max="5" width="10.7109375" customWidth="1"/>
    <col min="6" max="6" width="14" customWidth="1"/>
    <col min="7" max="7" width="8.7109375" customWidth="1"/>
    <col min="8" max="8" width="31" customWidth="1"/>
    <col min="9" max="9" width="24" customWidth="1"/>
    <col min="10" max="10" width="14.7109375" customWidth="1"/>
    <col min="11" max="11" width="7.7109375" customWidth="1"/>
    <col min="12" max="12" width="43.28515625" customWidth="1"/>
    <col min="13" max="13" width="60.7109375" customWidth="1"/>
    <col min="14" max="14" width="50.7109375" customWidth="1"/>
    <col min="15" max="16" width="52.7109375" customWidth="1"/>
    <col min="17" max="19" width="8.7109375" customWidth="1"/>
    <col min="20" max="20" width="64.7109375" customWidth="1"/>
    <col min="21" max="21" width="60.7109375" customWidth="1"/>
    <col min="22" max="22" width="25.7109375" customWidth="1"/>
    <col min="23" max="23" width="12.7109375" customWidth="1"/>
    <col min="24" max="24" width="22.7109375" customWidth="1"/>
    <col min="25" max="25" width="30.7109375" customWidth="1"/>
    <col min="26" max="26" width="38.140625" customWidth="1"/>
  </cols>
  <sheetData>
    <row r="1" spans="1:26">
      <c r="A1" s="7" t="s">
        <v>54</v>
      </c>
    </row>
    <row r="2" spans="1:26">
      <c r="A2" s="2" t="s">
        <v>55</v>
      </c>
    </row>
    <row r="4" spans="1:26" ht="44.25" customHeight="1">
      <c r="A4" s="8" t="s">
        <v>56</v>
      </c>
      <c r="B4" s="8" t="s">
        <v>57</v>
      </c>
      <c r="C4" s="8" t="s">
        <v>58</v>
      </c>
      <c r="D4" s="8" t="s">
        <v>59</v>
      </c>
      <c r="E4" s="8" t="s">
        <v>7</v>
      </c>
      <c r="F4" s="8" t="s">
        <v>60</v>
      </c>
      <c r="G4" s="8" t="s">
        <v>61</v>
      </c>
      <c r="H4" s="8" t="s">
        <v>62</v>
      </c>
      <c r="I4" s="8" t="s">
        <v>63</v>
      </c>
      <c r="J4" s="8" t="s">
        <v>64</v>
      </c>
      <c r="K4" s="8" t="s">
        <v>65</v>
      </c>
      <c r="L4" s="8" t="s">
        <v>66</v>
      </c>
      <c r="M4" s="8" t="s">
        <v>67</v>
      </c>
      <c r="N4" s="8" t="s">
        <v>68</v>
      </c>
      <c r="O4" s="8" t="s">
        <v>69</v>
      </c>
      <c r="P4" s="8" t="s">
        <v>70</v>
      </c>
      <c r="Q4" s="9" t="s">
        <v>71</v>
      </c>
      <c r="R4" s="9" t="s">
        <v>72</v>
      </c>
      <c r="S4" s="9" t="s">
        <v>73</v>
      </c>
      <c r="T4" s="8" t="s">
        <v>74</v>
      </c>
      <c r="U4" s="8" t="s">
        <v>75</v>
      </c>
      <c r="V4" s="8" t="s">
        <v>76</v>
      </c>
      <c r="W4" s="8" t="s">
        <v>77</v>
      </c>
      <c r="X4" s="8" t="s">
        <v>78</v>
      </c>
      <c r="Y4" s="8" t="s">
        <v>79</v>
      </c>
      <c r="Z4" s="8" t="s">
        <v>80</v>
      </c>
    </row>
    <row r="5" spans="1:26">
      <c r="A5" s="10" t="s">
        <v>81</v>
      </c>
      <c r="B5" s="10" t="s">
        <v>82</v>
      </c>
      <c r="C5" s="11">
        <v>37403</v>
      </c>
      <c r="D5" s="11">
        <v>39117</v>
      </c>
      <c r="E5" s="10" t="s">
        <v>83</v>
      </c>
      <c r="F5" s="10" t="s">
        <v>84</v>
      </c>
      <c r="G5" s="10" t="s">
        <v>85</v>
      </c>
      <c r="H5" s="10" t="s">
        <v>86</v>
      </c>
      <c r="I5" s="10" t="s">
        <v>87</v>
      </c>
      <c r="J5" s="6" t="s">
        <v>88</v>
      </c>
      <c r="K5" s="12">
        <v>56</v>
      </c>
      <c r="L5" s="10" t="s">
        <v>89</v>
      </c>
      <c r="M5" s="5" t="s">
        <v>90</v>
      </c>
      <c r="N5" s="5" t="s">
        <v>91</v>
      </c>
      <c r="O5" s="5" t="s">
        <v>92</v>
      </c>
      <c r="P5" s="5" t="s">
        <v>93</v>
      </c>
      <c r="Q5" s="10" t="s">
        <v>94</v>
      </c>
      <c r="R5" s="10" t="s">
        <v>94</v>
      </c>
      <c r="S5" s="10" t="s">
        <v>94</v>
      </c>
      <c r="T5" s="10" t="s">
        <v>95</v>
      </c>
      <c r="U5" s="5" t="s">
        <v>96</v>
      </c>
      <c r="V5" s="10" t="s">
        <v>97</v>
      </c>
      <c r="W5" s="10" t="s">
        <v>98</v>
      </c>
      <c r="X5" s="10" t="s">
        <v>99</v>
      </c>
      <c r="Y5" s="10" t="s">
        <v>100</v>
      </c>
      <c r="Z5" s="10" t="s">
        <v>101</v>
      </c>
    </row>
    <row r="6" spans="1:26">
      <c r="A6" s="10" t="s">
        <v>102</v>
      </c>
      <c r="B6" s="10" t="s">
        <v>82</v>
      </c>
      <c r="C6" s="11">
        <v>44538</v>
      </c>
      <c r="D6" s="11">
        <v>37403</v>
      </c>
      <c r="E6" s="10" t="s">
        <v>83</v>
      </c>
      <c r="F6" s="10" t="s">
        <v>84</v>
      </c>
      <c r="G6" s="10" t="s">
        <v>85</v>
      </c>
      <c r="H6" s="10" t="s">
        <v>86</v>
      </c>
      <c r="I6" s="10" t="s">
        <v>87</v>
      </c>
      <c r="J6" s="6" t="s">
        <v>103</v>
      </c>
      <c r="K6" s="12">
        <v>57</v>
      </c>
      <c r="L6" s="10" t="s">
        <v>89</v>
      </c>
      <c r="M6" s="5" t="s">
        <v>90</v>
      </c>
      <c r="N6" s="5" t="s">
        <v>104</v>
      </c>
      <c r="O6" s="5" t="s">
        <v>92</v>
      </c>
      <c r="P6" s="5" t="s">
        <v>105</v>
      </c>
      <c r="Q6" s="10" t="s">
        <v>94</v>
      </c>
      <c r="R6" s="10" t="s">
        <v>94</v>
      </c>
      <c r="S6" s="10" t="s">
        <v>94</v>
      </c>
      <c r="T6" s="10" t="s">
        <v>95</v>
      </c>
      <c r="U6" s="5" t="s">
        <v>96</v>
      </c>
      <c r="V6" s="10" t="s">
        <v>106</v>
      </c>
      <c r="W6" s="10" t="s">
        <v>107</v>
      </c>
      <c r="X6" s="10" t="s">
        <v>108</v>
      </c>
      <c r="Y6" s="10" t="s">
        <v>100</v>
      </c>
      <c r="Z6" s="10" t="s">
        <v>109</v>
      </c>
    </row>
    <row r="7" spans="1:26">
      <c r="A7" s="10" t="s">
        <v>110</v>
      </c>
      <c r="B7" s="10" t="s">
        <v>82</v>
      </c>
      <c r="C7" s="11">
        <v>46710</v>
      </c>
      <c r="D7" s="11">
        <v>44538</v>
      </c>
      <c r="E7" s="10" t="s">
        <v>83</v>
      </c>
      <c r="F7" s="10" t="s">
        <v>84</v>
      </c>
      <c r="G7" s="10" t="s">
        <v>85</v>
      </c>
      <c r="H7" s="10" t="s">
        <v>86</v>
      </c>
      <c r="I7" s="10" t="s">
        <v>87</v>
      </c>
      <c r="J7" s="6" t="s">
        <v>111</v>
      </c>
      <c r="K7" s="12">
        <v>56</v>
      </c>
      <c r="L7" s="10" t="s">
        <v>89</v>
      </c>
      <c r="M7" s="5" t="s">
        <v>90</v>
      </c>
      <c r="N7" s="5" t="s">
        <v>112</v>
      </c>
      <c r="O7" s="5" t="s">
        <v>92</v>
      </c>
      <c r="P7" s="5" t="s">
        <v>113</v>
      </c>
      <c r="Q7" s="10" t="s">
        <v>94</v>
      </c>
      <c r="R7" s="10" t="s">
        <v>94</v>
      </c>
      <c r="S7" s="10" t="s">
        <v>94</v>
      </c>
      <c r="T7" s="10" t="s">
        <v>95</v>
      </c>
      <c r="U7" s="5" t="s">
        <v>96</v>
      </c>
      <c r="V7" s="10" t="s">
        <v>114</v>
      </c>
      <c r="W7" s="10" t="s">
        <v>115</v>
      </c>
      <c r="X7" s="10" t="s">
        <v>116</v>
      </c>
      <c r="Y7" s="10" t="s">
        <v>100</v>
      </c>
      <c r="Z7" s="10" t="s">
        <v>117</v>
      </c>
    </row>
    <row r="8" spans="1:26">
      <c r="A8" s="10" t="s">
        <v>118</v>
      </c>
      <c r="B8" s="10" t="s">
        <v>82</v>
      </c>
      <c r="C8" s="11">
        <v>51217</v>
      </c>
      <c r="D8" s="11">
        <v>46710</v>
      </c>
      <c r="E8" s="10" t="s">
        <v>83</v>
      </c>
      <c r="F8" s="10" t="s">
        <v>84</v>
      </c>
      <c r="G8" s="10" t="s">
        <v>85</v>
      </c>
      <c r="H8" s="10" t="s">
        <v>86</v>
      </c>
      <c r="I8" s="10" t="s">
        <v>87</v>
      </c>
      <c r="J8" s="6" t="s">
        <v>119</v>
      </c>
      <c r="K8" s="12">
        <v>55</v>
      </c>
      <c r="L8" s="10" t="s">
        <v>89</v>
      </c>
      <c r="M8" s="5" t="s">
        <v>90</v>
      </c>
      <c r="N8" s="5" t="s">
        <v>120</v>
      </c>
      <c r="O8" s="5" t="s">
        <v>92</v>
      </c>
      <c r="P8" s="5" t="s">
        <v>121</v>
      </c>
      <c r="Q8" s="10" t="s">
        <v>94</v>
      </c>
      <c r="R8" s="10" t="s">
        <v>94</v>
      </c>
      <c r="S8" s="10" t="s">
        <v>94</v>
      </c>
      <c r="T8" s="10" t="s">
        <v>95</v>
      </c>
      <c r="U8" s="5" t="s">
        <v>96</v>
      </c>
      <c r="V8" s="10" t="s">
        <v>122</v>
      </c>
      <c r="W8" s="10" t="s">
        <v>123</v>
      </c>
      <c r="X8" s="10" t="s">
        <v>124</v>
      </c>
      <c r="Y8" s="10" t="s">
        <v>100</v>
      </c>
      <c r="Z8" s="10" t="s">
        <v>125</v>
      </c>
    </row>
    <row r="9" spans="1:26">
      <c r="A9" s="10" t="s">
        <v>126</v>
      </c>
      <c r="B9" s="10" t="s">
        <v>82</v>
      </c>
      <c r="C9" s="11">
        <v>51362</v>
      </c>
      <c r="D9" s="11">
        <v>51217</v>
      </c>
      <c r="E9" s="10" t="s">
        <v>83</v>
      </c>
      <c r="F9" s="10" t="s">
        <v>84</v>
      </c>
      <c r="G9" s="10" t="s">
        <v>85</v>
      </c>
      <c r="H9" s="10" t="s">
        <v>86</v>
      </c>
      <c r="I9" s="10" t="s">
        <v>87</v>
      </c>
      <c r="J9" s="6" t="s">
        <v>127</v>
      </c>
      <c r="K9" s="12">
        <v>57</v>
      </c>
      <c r="L9" s="10" t="s">
        <v>89</v>
      </c>
      <c r="M9" s="5" t="s">
        <v>90</v>
      </c>
      <c r="N9" s="5" t="s">
        <v>128</v>
      </c>
      <c r="O9" s="5" t="s">
        <v>92</v>
      </c>
      <c r="P9" s="5" t="s">
        <v>129</v>
      </c>
      <c r="Q9" s="10" t="s">
        <v>94</v>
      </c>
      <c r="R9" s="10" t="s">
        <v>94</v>
      </c>
      <c r="S9" s="10" t="s">
        <v>94</v>
      </c>
      <c r="T9" s="10" t="s">
        <v>95</v>
      </c>
      <c r="U9" s="5" t="s">
        <v>96</v>
      </c>
      <c r="V9" s="10" t="s">
        <v>130</v>
      </c>
      <c r="W9" s="10" t="s">
        <v>131</v>
      </c>
      <c r="X9" s="10" t="s">
        <v>132</v>
      </c>
      <c r="Y9" s="10" t="s">
        <v>100</v>
      </c>
      <c r="Z9" s="10" t="s">
        <v>133</v>
      </c>
    </row>
    <row r="10" spans="1:26">
      <c r="A10" s="10" t="s">
        <v>134</v>
      </c>
      <c r="B10" s="10" t="s">
        <v>82</v>
      </c>
      <c r="C10" s="11">
        <v>46309</v>
      </c>
      <c r="D10" s="11">
        <v>51362</v>
      </c>
      <c r="E10" s="10" t="s">
        <v>83</v>
      </c>
      <c r="F10" s="10" t="s">
        <v>84</v>
      </c>
      <c r="G10" s="10" t="s">
        <v>85</v>
      </c>
      <c r="H10" s="10" t="s">
        <v>86</v>
      </c>
      <c r="I10" s="10" t="s">
        <v>87</v>
      </c>
      <c r="J10" s="6" t="s">
        <v>135</v>
      </c>
      <c r="K10" s="12">
        <v>56</v>
      </c>
      <c r="L10" s="10" t="s">
        <v>89</v>
      </c>
      <c r="M10" s="5" t="s">
        <v>90</v>
      </c>
      <c r="N10" s="5" t="s">
        <v>136</v>
      </c>
      <c r="O10" s="5" t="s">
        <v>92</v>
      </c>
      <c r="P10" s="5" t="s">
        <v>137</v>
      </c>
      <c r="Q10" s="10" t="s">
        <v>94</v>
      </c>
      <c r="R10" s="10" t="s">
        <v>94</v>
      </c>
      <c r="S10" s="10" t="s">
        <v>94</v>
      </c>
      <c r="T10" s="10" t="s">
        <v>95</v>
      </c>
      <c r="U10" s="5" t="s">
        <v>96</v>
      </c>
      <c r="V10" s="10" t="s">
        <v>138</v>
      </c>
      <c r="W10" s="10" t="s">
        <v>139</v>
      </c>
      <c r="X10" s="10" t="s">
        <v>140</v>
      </c>
      <c r="Y10" s="10" t="s">
        <v>100</v>
      </c>
      <c r="Z10" s="10" t="s">
        <v>141</v>
      </c>
    </row>
    <row r="11" spans="1:26">
      <c r="A11" s="10" t="s">
        <v>142</v>
      </c>
      <c r="B11" s="10" t="s">
        <v>82</v>
      </c>
      <c r="C11" s="11">
        <v>46398</v>
      </c>
      <c r="D11" s="11">
        <v>46309</v>
      </c>
      <c r="E11" s="10" t="s">
        <v>83</v>
      </c>
      <c r="F11" s="10" t="s">
        <v>84</v>
      </c>
      <c r="G11" s="10" t="s">
        <v>85</v>
      </c>
      <c r="H11" s="10" t="s">
        <v>86</v>
      </c>
      <c r="I11" s="10" t="s">
        <v>87</v>
      </c>
      <c r="J11" s="6" t="s">
        <v>143</v>
      </c>
      <c r="K11" s="12">
        <v>55</v>
      </c>
      <c r="L11" s="10" t="s">
        <v>89</v>
      </c>
      <c r="M11" s="5" t="s">
        <v>90</v>
      </c>
      <c r="N11" s="5" t="s">
        <v>144</v>
      </c>
      <c r="O11" s="5" t="s">
        <v>92</v>
      </c>
      <c r="P11" s="5" t="s">
        <v>145</v>
      </c>
      <c r="Q11" s="10" t="s">
        <v>94</v>
      </c>
      <c r="R11" s="10" t="s">
        <v>94</v>
      </c>
      <c r="S11" s="10" t="s">
        <v>94</v>
      </c>
      <c r="T11" s="10" t="s">
        <v>95</v>
      </c>
      <c r="U11" s="5" t="s">
        <v>96</v>
      </c>
      <c r="V11" s="10" t="s">
        <v>146</v>
      </c>
      <c r="W11" s="10" t="s">
        <v>147</v>
      </c>
      <c r="X11" s="10" t="s">
        <v>148</v>
      </c>
      <c r="Y11" s="10" t="s">
        <v>100</v>
      </c>
      <c r="Z11" s="10" t="s">
        <v>149</v>
      </c>
    </row>
    <row r="12" spans="1:26">
      <c r="A12" s="10" t="s">
        <v>81</v>
      </c>
      <c r="B12" s="10" t="s">
        <v>150</v>
      </c>
      <c r="C12" s="11">
        <v>21162</v>
      </c>
      <c r="D12" s="11">
        <v>21643</v>
      </c>
      <c r="E12" s="10" t="s">
        <v>83</v>
      </c>
      <c r="F12" s="10" t="s">
        <v>84</v>
      </c>
      <c r="G12" s="10" t="s">
        <v>85</v>
      </c>
      <c r="H12" s="10" t="s">
        <v>86</v>
      </c>
      <c r="I12" s="10" t="s">
        <v>87</v>
      </c>
      <c r="J12" s="6" t="s">
        <v>88</v>
      </c>
      <c r="K12" s="12">
        <v>56</v>
      </c>
      <c r="L12" s="10" t="s">
        <v>89</v>
      </c>
      <c r="M12" s="5" t="s">
        <v>151</v>
      </c>
      <c r="N12" s="5" t="s">
        <v>152</v>
      </c>
      <c r="O12" s="5" t="s">
        <v>92</v>
      </c>
      <c r="P12" s="5" t="s">
        <v>93</v>
      </c>
      <c r="Q12" s="10" t="s">
        <v>94</v>
      </c>
      <c r="R12" s="10" t="s">
        <v>94</v>
      </c>
      <c r="S12" s="10" t="s">
        <v>94</v>
      </c>
      <c r="T12" s="10" t="s">
        <v>153</v>
      </c>
      <c r="U12" s="5" t="s">
        <v>154</v>
      </c>
      <c r="V12" s="10" t="s">
        <v>97</v>
      </c>
      <c r="W12" s="10" t="s">
        <v>98</v>
      </c>
      <c r="X12" s="10" t="s">
        <v>99</v>
      </c>
      <c r="Y12" s="10" t="s">
        <v>155</v>
      </c>
      <c r="Z12" s="10" t="s">
        <v>156</v>
      </c>
    </row>
    <row r="13" spans="1:26">
      <c r="A13" s="10" t="s">
        <v>102</v>
      </c>
      <c r="B13" s="10" t="s">
        <v>150</v>
      </c>
      <c r="C13" s="11">
        <v>24576</v>
      </c>
      <c r="D13" s="11">
        <v>21162</v>
      </c>
      <c r="E13" s="10" t="s">
        <v>83</v>
      </c>
      <c r="F13" s="10" t="s">
        <v>84</v>
      </c>
      <c r="G13" s="10" t="s">
        <v>85</v>
      </c>
      <c r="H13" s="10" t="s">
        <v>86</v>
      </c>
      <c r="I13" s="10" t="s">
        <v>87</v>
      </c>
      <c r="J13" s="6" t="s">
        <v>103</v>
      </c>
      <c r="K13" s="12">
        <v>57</v>
      </c>
      <c r="L13" s="10" t="s">
        <v>89</v>
      </c>
      <c r="M13" s="5" t="s">
        <v>151</v>
      </c>
      <c r="N13" s="5" t="s">
        <v>157</v>
      </c>
      <c r="O13" s="5" t="s">
        <v>92</v>
      </c>
      <c r="P13" s="5" t="s">
        <v>105</v>
      </c>
      <c r="Q13" s="10" t="s">
        <v>94</v>
      </c>
      <c r="R13" s="10" t="s">
        <v>94</v>
      </c>
      <c r="S13" s="10" t="s">
        <v>94</v>
      </c>
      <c r="T13" s="10" t="s">
        <v>153</v>
      </c>
      <c r="U13" s="5" t="s">
        <v>154</v>
      </c>
      <c r="V13" s="10" t="s">
        <v>106</v>
      </c>
      <c r="W13" s="10" t="s">
        <v>107</v>
      </c>
      <c r="X13" s="10" t="s">
        <v>108</v>
      </c>
      <c r="Y13" s="10" t="s">
        <v>155</v>
      </c>
      <c r="Z13" s="10" t="s">
        <v>158</v>
      </c>
    </row>
    <row r="14" spans="1:26">
      <c r="A14" s="10" t="s">
        <v>110</v>
      </c>
      <c r="B14" s="10" t="s">
        <v>150</v>
      </c>
      <c r="C14" s="11">
        <v>25231</v>
      </c>
      <c r="D14" s="11">
        <v>24576</v>
      </c>
      <c r="E14" s="10" t="s">
        <v>83</v>
      </c>
      <c r="F14" s="10" t="s">
        <v>84</v>
      </c>
      <c r="G14" s="10" t="s">
        <v>85</v>
      </c>
      <c r="H14" s="10" t="s">
        <v>86</v>
      </c>
      <c r="I14" s="10" t="s">
        <v>87</v>
      </c>
      <c r="J14" s="6" t="s">
        <v>111</v>
      </c>
      <c r="K14" s="12">
        <v>56</v>
      </c>
      <c r="L14" s="10" t="s">
        <v>89</v>
      </c>
      <c r="M14" s="5" t="s">
        <v>151</v>
      </c>
      <c r="N14" s="5" t="s">
        <v>159</v>
      </c>
      <c r="O14" s="5" t="s">
        <v>92</v>
      </c>
      <c r="P14" s="5" t="s">
        <v>113</v>
      </c>
      <c r="Q14" s="10" t="s">
        <v>94</v>
      </c>
      <c r="R14" s="10" t="s">
        <v>94</v>
      </c>
      <c r="S14" s="10" t="s">
        <v>94</v>
      </c>
      <c r="T14" s="10" t="s">
        <v>153</v>
      </c>
      <c r="U14" s="5" t="s">
        <v>154</v>
      </c>
      <c r="V14" s="10" t="s">
        <v>114</v>
      </c>
      <c r="W14" s="10" t="s">
        <v>115</v>
      </c>
      <c r="X14" s="10" t="s">
        <v>116</v>
      </c>
      <c r="Y14" s="10" t="s">
        <v>155</v>
      </c>
      <c r="Z14" s="10" t="s">
        <v>160</v>
      </c>
    </row>
    <row r="15" spans="1:26">
      <c r="A15" s="10" t="s">
        <v>118</v>
      </c>
      <c r="B15" s="10" t="s">
        <v>150</v>
      </c>
      <c r="C15" s="11">
        <v>28925</v>
      </c>
      <c r="D15" s="11">
        <v>25231</v>
      </c>
      <c r="E15" s="10" t="s">
        <v>83</v>
      </c>
      <c r="F15" s="10" t="s">
        <v>84</v>
      </c>
      <c r="G15" s="10" t="s">
        <v>85</v>
      </c>
      <c r="H15" s="10" t="s">
        <v>86</v>
      </c>
      <c r="I15" s="10" t="s">
        <v>87</v>
      </c>
      <c r="J15" s="6" t="s">
        <v>119</v>
      </c>
      <c r="K15" s="12">
        <v>55</v>
      </c>
      <c r="L15" s="10" t="s">
        <v>89</v>
      </c>
      <c r="M15" s="5" t="s">
        <v>151</v>
      </c>
      <c r="N15" s="5" t="s">
        <v>161</v>
      </c>
      <c r="O15" s="5" t="s">
        <v>92</v>
      </c>
      <c r="P15" s="5" t="s">
        <v>121</v>
      </c>
      <c r="Q15" s="10" t="s">
        <v>94</v>
      </c>
      <c r="R15" s="10" t="s">
        <v>94</v>
      </c>
      <c r="S15" s="10" t="s">
        <v>94</v>
      </c>
      <c r="T15" s="10" t="s">
        <v>153</v>
      </c>
      <c r="U15" s="5" t="s">
        <v>154</v>
      </c>
      <c r="V15" s="10" t="s">
        <v>122</v>
      </c>
      <c r="W15" s="10" t="s">
        <v>123</v>
      </c>
      <c r="X15" s="10" t="s">
        <v>124</v>
      </c>
      <c r="Y15" s="10" t="s">
        <v>155</v>
      </c>
      <c r="Z15" s="10" t="s">
        <v>162</v>
      </c>
    </row>
    <row r="16" spans="1:26">
      <c r="A16" s="10" t="s">
        <v>126</v>
      </c>
      <c r="B16" s="10" t="s">
        <v>150</v>
      </c>
      <c r="C16" s="11">
        <v>28475</v>
      </c>
      <c r="D16" s="11">
        <v>28925</v>
      </c>
      <c r="E16" s="10" t="s">
        <v>83</v>
      </c>
      <c r="F16" s="10" t="s">
        <v>84</v>
      </c>
      <c r="G16" s="10" t="s">
        <v>85</v>
      </c>
      <c r="H16" s="10" t="s">
        <v>86</v>
      </c>
      <c r="I16" s="10" t="s">
        <v>87</v>
      </c>
      <c r="J16" s="6" t="s">
        <v>127</v>
      </c>
      <c r="K16" s="12">
        <v>57</v>
      </c>
      <c r="L16" s="10" t="s">
        <v>89</v>
      </c>
      <c r="M16" s="5" t="s">
        <v>151</v>
      </c>
      <c r="N16" s="5" t="s">
        <v>163</v>
      </c>
      <c r="O16" s="5" t="s">
        <v>92</v>
      </c>
      <c r="P16" s="5" t="s">
        <v>129</v>
      </c>
      <c r="Q16" s="10" t="s">
        <v>94</v>
      </c>
      <c r="R16" s="10" t="s">
        <v>94</v>
      </c>
      <c r="S16" s="10" t="s">
        <v>94</v>
      </c>
      <c r="T16" s="10" t="s">
        <v>153</v>
      </c>
      <c r="U16" s="5" t="s">
        <v>154</v>
      </c>
      <c r="V16" s="10" t="s">
        <v>130</v>
      </c>
      <c r="W16" s="10" t="s">
        <v>131</v>
      </c>
      <c r="X16" s="10" t="s">
        <v>132</v>
      </c>
      <c r="Y16" s="10" t="s">
        <v>155</v>
      </c>
      <c r="Z16" s="10" t="s">
        <v>164</v>
      </c>
    </row>
    <row r="17" spans="1:26">
      <c r="A17" s="10" t="s">
        <v>134</v>
      </c>
      <c r="B17" s="10" t="s">
        <v>150</v>
      </c>
      <c r="C17" s="11">
        <v>26519</v>
      </c>
      <c r="D17" s="11">
        <v>28475</v>
      </c>
      <c r="E17" s="10" t="s">
        <v>83</v>
      </c>
      <c r="F17" s="10" t="s">
        <v>84</v>
      </c>
      <c r="G17" s="10" t="s">
        <v>85</v>
      </c>
      <c r="H17" s="10" t="s">
        <v>86</v>
      </c>
      <c r="I17" s="10" t="s">
        <v>87</v>
      </c>
      <c r="J17" s="6" t="s">
        <v>135</v>
      </c>
      <c r="K17" s="12">
        <v>56</v>
      </c>
      <c r="L17" s="10" t="s">
        <v>89</v>
      </c>
      <c r="M17" s="5" t="s">
        <v>151</v>
      </c>
      <c r="N17" s="5" t="s">
        <v>165</v>
      </c>
      <c r="O17" s="5" t="s">
        <v>92</v>
      </c>
      <c r="P17" s="5" t="s">
        <v>137</v>
      </c>
      <c r="Q17" s="10" t="s">
        <v>94</v>
      </c>
      <c r="R17" s="10" t="s">
        <v>94</v>
      </c>
      <c r="S17" s="10" t="s">
        <v>94</v>
      </c>
      <c r="T17" s="10" t="s">
        <v>153</v>
      </c>
      <c r="U17" s="5" t="s">
        <v>154</v>
      </c>
      <c r="V17" s="10" t="s">
        <v>138</v>
      </c>
      <c r="W17" s="10" t="s">
        <v>139</v>
      </c>
      <c r="X17" s="10" t="s">
        <v>140</v>
      </c>
      <c r="Y17" s="10" t="s">
        <v>155</v>
      </c>
      <c r="Z17" s="10" t="s">
        <v>166</v>
      </c>
    </row>
    <row r="18" spans="1:26">
      <c r="A18" s="10" t="s">
        <v>142</v>
      </c>
      <c r="B18" s="10" t="s">
        <v>150</v>
      </c>
      <c r="C18" s="11">
        <v>26487</v>
      </c>
      <c r="D18" s="11">
        <v>26519</v>
      </c>
      <c r="E18" s="10" t="s">
        <v>83</v>
      </c>
      <c r="F18" s="10" t="s">
        <v>84</v>
      </c>
      <c r="G18" s="10" t="s">
        <v>85</v>
      </c>
      <c r="H18" s="10" t="s">
        <v>86</v>
      </c>
      <c r="I18" s="10" t="s">
        <v>87</v>
      </c>
      <c r="J18" s="6" t="s">
        <v>143</v>
      </c>
      <c r="K18" s="12">
        <v>55</v>
      </c>
      <c r="L18" s="10" t="s">
        <v>89</v>
      </c>
      <c r="M18" s="5" t="s">
        <v>151</v>
      </c>
      <c r="N18" s="5" t="s">
        <v>167</v>
      </c>
      <c r="O18" s="5" t="s">
        <v>92</v>
      </c>
      <c r="P18" s="5" t="s">
        <v>145</v>
      </c>
      <c r="Q18" s="10" t="s">
        <v>94</v>
      </c>
      <c r="R18" s="10" t="s">
        <v>94</v>
      </c>
      <c r="S18" s="10" t="s">
        <v>94</v>
      </c>
      <c r="T18" s="10" t="s">
        <v>153</v>
      </c>
      <c r="U18" s="5" t="s">
        <v>154</v>
      </c>
      <c r="V18" s="10" t="s">
        <v>146</v>
      </c>
      <c r="W18" s="10" t="s">
        <v>147</v>
      </c>
      <c r="X18" s="10" t="s">
        <v>148</v>
      </c>
      <c r="Y18" s="10" t="s">
        <v>155</v>
      </c>
      <c r="Z18" s="10" t="s">
        <v>168</v>
      </c>
    </row>
    <row r="19" spans="1:26">
      <c r="A19" s="10" t="s">
        <v>81</v>
      </c>
      <c r="B19" s="10" t="s">
        <v>169</v>
      </c>
      <c r="C19" s="11">
        <v>16241</v>
      </c>
      <c r="D19" s="11">
        <v>17474</v>
      </c>
      <c r="E19" s="10" t="s">
        <v>83</v>
      </c>
      <c r="F19" s="10" t="s">
        <v>84</v>
      </c>
      <c r="G19" s="10" t="s">
        <v>85</v>
      </c>
      <c r="H19" s="10" t="s">
        <v>86</v>
      </c>
      <c r="I19" s="10" t="s">
        <v>87</v>
      </c>
      <c r="J19" s="6" t="s">
        <v>88</v>
      </c>
      <c r="K19" s="12">
        <v>56</v>
      </c>
      <c r="L19" s="10" t="s">
        <v>89</v>
      </c>
      <c r="M19" s="5" t="s">
        <v>170</v>
      </c>
      <c r="N19" s="5" t="s">
        <v>171</v>
      </c>
      <c r="O19" s="5" t="s">
        <v>92</v>
      </c>
      <c r="P19" s="5" t="s">
        <v>93</v>
      </c>
      <c r="Q19" s="10" t="s">
        <v>94</v>
      </c>
      <c r="R19" s="10" t="s">
        <v>94</v>
      </c>
      <c r="S19" s="10" t="s">
        <v>94</v>
      </c>
      <c r="T19" s="10" t="s">
        <v>172</v>
      </c>
      <c r="U19" s="5" t="s">
        <v>173</v>
      </c>
      <c r="V19" s="10" t="s">
        <v>97</v>
      </c>
      <c r="W19" s="10" t="s">
        <v>98</v>
      </c>
      <c r="X19" s="10" t="s">
        <v>99</v>
      </c>
      <c r="Y19" s="10" t="s">
        <v>174</v>
      </c>
      <c r="Z19" s="10" t="s">
        <v>175</v>
      </c>
    </row>
    <row r="20" spans="1:26">
      <c r="A20" s="10" t="s">
        <v>102</v>
      </c>
      <c r="B20" s="10" t="s">
        <v>169</v>
      </c>
      <c r="C20" s="11">
        <v>19962</v>
      </c>
      <c r="D20" s="11">
        <v>16241</v>
      </c>
      <c r="E20" s="10" t="s">
        <v>83</v>
      </c>
      <c r="F20" s="10" t="s">
        <v>84</v>
      </c>
      <c r="G20" s="10" t="s">
        <v>85</v>
      </c>
      <c r="H20" s="10" t="s">
        <v>86</v>
      </c>
      <c r="I20" s="10" t="s">
        <v>87</v>
      </c>
      <c r="J20" s="6" t="s">
        <v>103</v>
      </c>
      <c r="K20" s="12">
        <v>57</v>
      </c>
      <c r="L20" s="10" t="s">
        <v>89</v>
      </c>
      <c r="M20" s="5" t="s">
        <v>170</v>
      </c>
      <c r="N20" s="5" t="s">
        <v>176</v>
      </c>
      <c r="O20" s="5" t="s">
        <v>92</v>
      </c>
      <c r="P20" s="5" t="s">
        <v>105</v>
      </c>
      <c r="Q20" s="10" t="s">
        <v>94</v>
      </c>
      <c r="R20" s="10" t="s">
        <v>94</v>
      </c>
      <c r="S20" s="10" t="s">
        <v>94</v>
      </c>
      <c r="T20" s="10" t="s">
        <v>172</v>
      </c>
      <c r="U20" s="5" t="s">
        <v>173</v>
      </c>
      <c r="V20" s="10" t="s">
        <v>106</v>
      </c>
      <c r="W20" s="10" t="s">
        <v>107</v>
      </c>
      <c r="X20" s="10" t="s">
        <v>108</v>
      </c>
      <c r="Y20" s="10" t="s">
        <v>174</v>
      </c>
      <c r="Z20" s="10" t="s">
        <v>177</v>
      </c>
    </row>
    <row r="21" spans="1:26">
      <c r="A21" s="10" t="s">
        <v>110</v>
      </c>
      <c r="B21" s="10" t="s">
        <v>169</v>
      </c>
      <c r="C21" s="11">
        <v>21479</v>
      </c>
      <c r="D21" s="11">
        <v>19962</v>
      </c>
      <c r="E21" s="10" t="s">
        <v>83</v>
      </c>
      <c r="F21" s="10" t="s">
        <v>84</v>
      </c>
      <c r="G21" s="10" t="s">
        <v>85</v>
      </c>
      <c r="H21" s="10" t="s">
        <v>86</v>
      </c>
      <c r="I21" s="10" t="s">
        <v>87</v>
      </c>
      <c r="J21" s="6" t="s">
        <v>111</v>
      </c>
      <c r="K21" s="12">
        <v>56</v>
      </c>
      <c r="L21" s="10" t="s">
        <v>89</v>
      </c>
      <c r="M21" s="5" t="s">
        <v>170</v>
      </c>
      <c r="N21" s="5" t="s">
        <v>178</v>
      </c>
      <c r="O21" s="5" t="s">
        <v>92</v>
      </c>
      <c r="P21" s="5" t="s">
        <v>113</v>
      </c>
      <c r="Q21" s="10" t="s">
        <v>94</v>
      </c>
      <c r="R21" s="10" t="s">
        <v>94</v>
      </c>
      <c r="S21" s="10" t="s">
        <v>94</v>
      </c>
      <c r="T21" s="10" t="s">
        <v>172</v>
      </c>
      <c r="U21" s="5" t="s">
        <v>173</v>
      </c>
      <c r="V21" s="10" t="s">
        <v>114</v>
      </c>
      <c r="W21" s="10" t="s">
        <v>115</v>
      </c>
      <c r="X21" s="10" t="s">
        <v>116</v>
      </c>
      <c r="Y21" s="10" t="s">
        <v>174</v>
      </c>
      <c r="Z21" s="10" t="s">
        <v>179</v>
      </c>
    </row>
    <row r="22" spans="1:26">
      <c r="A22" s="10" t="s">
        <v>118</v>
      </c>
      <c r="B22" s="10" t="s">
        <v>169</v>
      </c>
      <c r="C22" s="11">
        <v>22292</v>
      </c>
      <c r="D22" s="11">
        <v>21479</v>
      </c>
      <c r="E22" s="10" t="s">
        <v>83</v>
      </c>
      <c r="F22" s="10" t="s">
        <v>84</v>
      </c>
      <c r="G22" s="10" t="s">
        <v>85</v>
      </c>
      <c r="H22" s="10" t="s">
        <v>86</v>
      </c>
      <c r="I22" s="10" t="s">
        <v>87</v>
      </c>
      <c r="J22" s="6" t="s">
        <v>119</v>
      </c>
      <c r="K22" s="12">
        <v>55</v>
      </c>
      <c r="L22" s="10" t="s">
        <v>89</v>
      </c>
      <c r="M22" s="5" t="s">
        <v>170</v>
      </c>
      <c r="N22" s="5" t="s">
        <v>180</v>
      </c>
      <c r="O22" s="5" t="s">
        <v>92</v>
      </c>
      <c r="P22" s="5" t="s">
        <v>121</v>
      </c>
      <c r="Q22" s="10" t="s">
        <v>94</v>
      </c>
      <c r="R22" s="10" t="s">
        <v>94</v>
      </c>
      <c r="S22" s="10" t="s">
        <v>94</v>
      </c>
      <c r="T22" s="10" t="s">
        <v>172</v>
      </c>
      <c r="U22" s="5" t="s">
        <v>173</v>
      </c>
      <c r="V22" s="10" t="s">
        <v>122</v>
      </c>
      <c r="W22" s="10" t="s">
        <v>123</v>
      </c>
      <c r="X22" s="10" t="s">
        <v>124</v>
      </c>
      <c r="Y22" s="10" t="s">
        <v>174</v>
      </c>
      <c r="Z22" s="10" t="s">
        <v>181</v>
      </c>
    </row>
    <row r="23" spans="1:26">
      <c r="A23" s="10" t="s">
        <v>126</v>
      </c>
      <c r="B23" s="10" t="s">
        <v>169</v>
      </c>
      <c r="C23" s="11">
        <v>22887</v>
      </c>
      <c r="D23" s="11">
        <v>22292</v>
      </c>
      <c r="E23" s="10" t="s">
        <v>83</v>
      </c>
      <c r="F23" s="10" t="s">
        <v>84</v>
      </c>
      <c r="G23" s="10" t="s">
        <v>85</v>
      </c>
      <c r="H23" s="10" t="s">
        <v>86</v>
      </c>
      <c r="I23" s="10" t="s">
        <v>87</v>
      </c>
      <c r="J23" s="6" t="s">
        <v>127</v>
      </c>
      <c r="K23" s="12">
        <v>57</v>
      </c>
      <c r="L23" s="10" t="s">
        <v>89</v>
      </c>
      <c r="M23" s="5" t="s">
        <v>170</v>
      </c>
      <c r="N23" s="5" t="s">
        <v>182</v>
      </c>
      <c r="O23" s="5" t="s">
        <v>92</v>
      </c>
      <c r="P23" s="5" t="s">
        <v>129</v>
      </c>
      <c r="Q23" s="10" t="s">
        <v>94</v>
      </c>
      <c r="R23" s="10" t="s">
        <v>94</v>
      </c>
      <c r="S23" s="10" t="s">
        <v>94</v>
      </c>
      <c r="T23" s="10" t="s">
        <v>172</v>
      </c>
      <c r="U23" s="5" t="s">
        <v>173</v>
      </c>
      <c r="V23" s="10" t="s">
        <v>130</v>
      </c>
      <c r="W23" s="10" t="s">
        <v>131</v>
      </c>
      <c r="X23" s="10" t="s">
        <v>132</v>
      </c>
      <c r="Y23" s="10" t="s">
        <v>174</v>
      </c>
      <c r="Z23" s="10" t="s">
        <v>183</v>
      </c>
    </row>
    <row r="24" spans="1:26">
      <c r="A24" s="10" t="s">
        <v>134</v>
      </c>
      <c r="B24" s="10" t="s">
        <v>169</v>
      </c>
      <c r="C24" s="11">
        <v>19790</v>
      </c>
      <c r="D24" s="11">
        <v>22887</v>
      </c>
      <c r="E24" s="10" t="s">
        <v>83</v>
      </c>
      <c r="F24" s="10" t="s">
        <v>84</v>
      </c>
      <c r="G24" s="10" t="s">
        <v>85</v>
      </c>
      <c r="H24" s="10" t="s">
        <v>86</v>
      </c>
      <c r="I24" s="10" t="s">
        <v>87</v>
      </c>
      <c r="J24" s="6" t="s">
        <v>135</v>
      </c>
      <c r="K24" s="12">
        <v>56</v>
      </c>
      <c r="L24" s="10" t="s">
        <v>89</v>
      </c>
      <c r="M24" s="5" t="s">
        <v>170</v>
      </c>
      <c r="N24" s="5" t="s">
        <v>184</v>
      </c>
      <c r="O24" s="5" t="s">
        <v>92</v>
      </c>
      <c r="P24" s="5" t="s">
        <v>137</v>
      </c>
      <c r="Q24" s="10" t="s">
        <v>94</v>
      </c>
      <c r="R24" s="10" t="s">
        <v>94</v>
      </c>
      <c r="S24" s="10" t="s">
        <v>94</v>
      </c>
      <c r="T24" s="10" t="s">
        <v>172</v>
      </c>
      <c r="U24" s="5" t="s">
        <v>173</v>
      </c>
      <c r="V24" s="10" t="s">
        <v>138</v>
      </c>
      <c r="W24" s="10" t="s">
        <v>139</v>
      </c>
      <c r="X24" s="10" t="s">
        <v>140</v>
      </c>
      <c r="Y24" s="10" t="s">
        <v>174</v>
      </c>
      <c r="Z24" s="10" t="s">
        <v>185</v>
      </c>
    </row>
    <row r="25" spans="1:26">
      <c r="A25" s="10" t="s">
        <v>142</v>
      </c>
      <c r="B25" s="10" t="s">
        <v>169</v>
      </c>
      <c r="C25" s="11">
        <v>19911</v>
      </c>
      <c r="D25" s="11">
        <v>19790</v>
      </c>
      <c r="E25" s="10" t="s">
        <v>83</v>
      </c>
      <c r="F25" s="10" t="s">
        <v>84</v>
      </c>
      <c r="G25" s="10" t="s">
        <v>85</v>
      </c>
      <c r="H25" s="10" t="s">
        <v>86</v>
      </c>
      <c r="I25" s="10" t="s">
        <v>87</v>
      </c>
      <c r="J25" s="6" t="s">
        <v>143</v>
      </c>
      <c r="K25" s="12">
        <v>55</v>
      </c>
      <c r="L25" s="10" t="s">
        <v>89</v>
      </c>
      <c r="M25" s="5" t="s">
        <v>170</v>
      </c>
      <c r="N25" s="5" t="s">
        <v>186</v>
      </c>
      <c r="O25" s="5" t="s">
        <v>92</v>
      </c>
      <c r="P25" s="5" t="s">
        <v>145</v>
      </c>
      <c r="Q25" s="10" t="s">
        <v>94</v>
      </c>
      <c r="R25" s="10" t="s">
        <v>94</v>
      </c>
      <c r="S25" s="10" t="s">
        <v>94</v>
      </c>
      <c r="T25" s="10" t="s">
        <v>172</v>
      </c>
      <c r="U25" s="5" t="s">
        <v>173</v>
      </c>
      <c r="V25" s="10" t="s">
        <v>146</v>
      </c>
      <c r="W25" s="10" t="s">
        <v>147</v>
      </c>
      <c r="X25" s="10" t="s">
        <v>148</v>
      </c>
      <c r="Y25" s="10" t="s">
        <v>174</v>
      </c>
      <c r="Z25" s="10" t="s">
        <v>187</v>
      </c>
    </row>
    <row r="26" spans="1:26">
      <c r="A26" s="10" t="s">
        <v>81</v>
      </c>
      <c r="B26" s="10" t="s">
        <v>188</v>
      </c>
      <c r="C26" s="11">
        <v>3592</v>
      </c>
      <c r="D26" s="11">
        <v>3753</v>
      </c>
      <c r="E26" s="10" t="s">
        <v>83</v>
      </c>
      <c r="F26" s="10" t="s">
        <v>84</v>
      </c>
      <c r="G26" s="10" t="s">
        <v>85</v>
      </c>
      <c r="H26" s="10" t="s">
        <v>86</v>
      </c>
      <c r="I26" s="10" t="s">
        <v>87</v>
      </c>
      <c r="J26" s="6" t="s">
        <v>88</v>
      </c>
      <c r="K26" s="12">
        <v>56</v>
      </c>
      <c r="L26" s="10" t="s">
        <v>89</v>
      </c>
      <c r="M26" s="5" t="s">
        <v>189</v>
      </c>
      <c r="N26" s="5" t="s">
        <v>190</v>
      </c>
      <c r="O26" s="5" t="s">
        <v>92</v>
      </c>
      <c r="P26" s="5" t="s">
        <v>93</v>
      </c>
      <c r="Q26" s="10" t="s">
        <v>94</v>
      </c>
      <c r="R26" s="10" t="s">
        <v>94</v>
      </c>
      <c r="S26" s="10" t="s">
        <v>94</v>
      </c>
      <c r="T26" s="10" t="s">
        <v>191</v>
      </c>
      <c r="U26" s="5" t="s">
        <v>192</v>
      </c>
      <c r="V26" s="10" t="s">
        <v>97</v>
      </c>
      <c r="W26" s="10" t="s">
        <v>98</v>
      </c>
      <c r="X26" s="10" t="s">
        <v>99</v>
      </c>
      <c r="Y26" s="10" t="s">
        <v>193</v>
      </c>
      <c r="Z26" s="10" t="s">
        <v>194</v>
      </c>
    </row>
    <row r="27" spans="1:26">
      <c r="A27" s="10" t="s">
        <v>102</v>
      </c>
      <c r="B27" s="10" t="s">
        <v>188</v>
      </c>
      <c r="C27" s="11">
        <v>3114</v>
      </c>
      <c r="D27" s="11">
        <v>3592</v>
      </c>
      <c r="E27" s="10" t="s">
        <v>83</v>
      </c>
      <c r="F27" s="10" t="s">
        <v>84</v>
      </c>
      <c r="G27" s="10" t="s">
        <v>85</v>
      </c>
      <c r="H27" s="10" t="s">
        <v>86</v>
      </c>
      <c r="I27" s="10" t="s">
        <v>87</v>
      </c>
      <c r="J27" s="6" t="s">
        <v>103</v>
      </c>
      <c r="K27" s="12">
        <v>57</v>
      </c>
      <c r="L27" s="10" t="s">
        <v>89</v>
      </c>
      <c r="M27" s="5" t="s">
        <v>189</v>
      </c>
      <c r="N27" s="5" t="s">
        <v>195</v>
      </c>
      <c r="O27" s="5" t="s">
        <v>92</v>
      </c>
      <c r="P27" s="5" t="s">
        <v>105</v>
      </c>
      <c r="Q27" s="10" t="s">
        <v>94</v>
      </c>
      <c r="R27" s="10" t="s">
        <v>94</v>
      </c>
      <c r="S27" s="10" t="s">
        <v>94</v>
      </c>
      <c r="T27" s="10" t="s">
        <v>191</v>
      </c>
      <c r="U27" s="5" t="s">
        <v>192</v>
      </c>
      <c r="V27" s="10" t="s">
        <v>106</v>
      </c>
      <c r="W27" s="10" t="s">
        <v>107</v>
      </c>
      <c r="X27" s="10" t="s">
        <v>108</v>
      </c>
      <c r="Y27" s="10" t="s">
        <v>193</v>
      </c>
      <c r="Z27" s="10" t="s">
        <v>196</v>
      </c>
    </row>
    <row r="28" spans="1:26">
      <c r="A28" s="10" t="s">
        <v>110</v>
      </c>
      <c r="B28" s="10" t="s">
        <v>188</v>
      </c>
      <c r="C28" s="11">
        <v>3850</v>
      </c>
      <c r="D28" s="11">
        <v>3114</v>
      </c>
      <c r="E28" s="10" t="s">
        <v>83</v>
      </c>
      <c r="F28" s="10" t="s">
        <v>84</v>
      </c>
      <c r="G28" s="10" t="s">
        <v>85</v>
      </c>
      <c r="H28" s="10" t="s">
        <v>86</v>
      </c>
      <c r="I28" s="10" t="s">
        <v>87</v>
      </c>
      <c r="J28" s="6" t="s">
        <v>111</v>
      </c>
      <c r="K28" s="12">
        <v>56</v>
      </c>
      <c r="L28" s="10" t="s">
        <v>89</v>
      </c>
      <c r="M28" s="5" t="s">
        <v>189</v>
      </c>
      <c r="N28" s="5" t="s">
        <v>197</v>
      </c>
      <c r="O28" s="5" t="s">
        <v>92</v>
      </c>
      <c r="P28" s="5" t="s">
        <v>113</v>
      </c>
      <c r="Q28" s="10" t="s">
        <v>94</v>
      </c>
      <c r="R28" s="10" t="s">
        <v>94</v>
      </c>
      <c r="S28" s="10" t="s">
        <v>94</v>
      </c>
      <c r="T28" s="10" t="s">
        <v>191</v>
      </c>
      <c r="U28" s="5" t="s">
        <v>192</v>
      </c>
      <c r="V28" s="10" t="s">
        <v>114</v>
      </c>
      <c r="W28" s="10" t="s">
        <v>115</v>
      </c>
      <c r="X28" s="10" t="s">
        <v>116</v>
      </c>
      <c r="Y28" s="10" t="s">
        <v>193</v>
      </c>
      <c r="Z28" s="10" t="s">
        <v>198</v>
      </c>
    </row>
    <row r="29" spans="1:26">
      <c r="A29" s="10" t="s">
        <v>118</v>
      </c>
      <c r="B29" s="10" t="s">
        <v>188</v>
      </c>
      <c r="C29" s="11">
        <v>4060</v>
      </c>
      <c r="D29" s="11">
        <v>3850</v>
      </c>
      <c r="E29" s="10" t="s">
        <v>83</v>
      </c>
      <c r="F29" s="10" t="s">
        <v>84</v>
      </c>
      <c r="G29" s="10" t="s">
        <v>85</v>
      </c>
      <c r="H29" s="10" t="s">
        <v>86</v>
      </c>
      <c r="I29" s="10" t="s">
        <v>87</v>
      </c>
      <c r="J29" s="6" t="s">
        <v>119</v>
      </c>
      <c r="K29" s="12">
        <v>55</v>
      </c>
      <c r="L29" s="10" t="s">
        <v>89</v>
      </c>
      <c r="M29" s="5" t="s">
        <v>189</v>
      </c>
      <c r="N29" s="5" t="s">
        <v>199</v>
      </c>
      <c r="O29" s="5" t="s">
        <v>92</v>
      </c>
      <c r="P29" s="5" t="s">
        <v>121</v>
      </c>
      <c r="Q29" s="10" t="s">
        <v>94</v>
      </c>
      <c r="R29" s="10" t="s">
        <v>94</v>
      </c>
      <c r="S29" s="10" t="s">
        <v>94</v>
      </c>
      <c r="T29" s="10" t="s">
        <v>191</v>
      </c>
      <c r="U29" s="5" t="s">
        <v>192</v>
      </c>
      <c r="V29" s="10" t="s">
        <v>122</v>
      </c>
      <c r="W29" s="10" t="s">
        <v>123</v>
      </c>
      <c r="X29" s="10" t="s">
        <v>124</v>
      </c>
      <c r="Y29" s="10" t="s">
        <v>193</v>
      </c>
      <c r="Z29" s="10" t="s">
        <v>200</v>
      </c>
    </row>
    <row r="30" spans="1:26">
      <c r="A30" s="10" t="s">
        <v>126</v>
      </c>
      <c r="B30" s="10" t="s">
        <v>188</v>
      </c>
      <c r="C30" s="11">
        <v>4285</v>
      </c>
      <c r="D30" s="11">
        <v>4060</v>
      </c>
      <c r="E30" s="10" t="s">
        <v>83</v>
      </c>
      <c r="F30" s="10" t="s">
        <v>84</v>
      </c>
      <c r="G30" s="10" t="s">
        <v>85</v>
      </c>
      <c r="H30" s="10" t="s">
        <v>86</v>
      </c>
      <c r="I30" s="10" t="s">
        <v>87</v>
      </c>
      <c r="J30" s="6" t="s">
        <v>127</v>
      </c>
      <c r="K30" s="12">
        <v>57</v>
      </c>
      <c r="L30" s="10" t="s">
        <v>89</v>
      </c>
      <c r="M30" s="5" t="s">
        <v>189</v>
      </c>
      <c r="N30" s="5" t="s">
        <v>201</v>
      </c>
      <c r="O30" s="5" t="s">
        <v>92</v>
      </c>
      <c r="P30" s="5" t="s">
        <v>129</v>
      </c>
      <c r="Q30" s="10" t="s">
        <v>94</v>
      </c>
      <c r="R30" s="10" t="s">
        <v>94</v>
      </c>
      <c r="S30" s="10" t="s">
        <v>94</v>
      </c>
      <c r="T30" s="10" t="s">
        <v>191</v>
      </c>
      <c r="U30" s="5" t="s">
        <v>192</v>
      </c>
      <c r="V30" s="10" t="s">
        <v>130</v>
      </c>
      <c r="W30" s="10" t="s">
        <v>131</v>
      </c>
      <c r="X30" s="10" t="s">
        <v>132</v>
      </c>
      <c r="Y30" s="10" t="s">
        <v>193</v>
      </c>
      <c r="Z30" s="10" t="s">
        <v>202</v>
      </c>
    </row>
    <row r="31" spans="1:26">
      <c r="A31" s="10" t="s">
        <v>134</v>
      </c>
      <c r="B31" s="10" t="s">
        <v>188</v>
      </c>
      <c r="C31" s="11">
        <v>4689</v>
      </c>
      <c r="D31" s="11">
        <v>4285</v>
      </c>
      <c r="E31" s="10" t="s">
        <v>83</v>
      </c>
      <c r="F31" s="10" t="s">
        <v>84</v>
      </c>
      <c r="G31" s="10" t="s">
        <v>85</v>
      </c>
      <c r="H31" s="10" t="s">
        <v>86</v>
      </c>
      <c r="I31" s="10" t="s">
        <v>87</v>
      </c>
      <c r="J31" s="6" t="s">
        <v>135</v>
      </c>
      <c r="K31" s="12">
        <v>56</v>
      </c>
      <c r="L31" s="10" t="s">
        <v>89</v>
      </c>
      <c r="M31" s="5" t="s">
        <v>189</v>
      </c>
      <c r="N31" s="5" t="s">
        <v>203</v>
      </c>
      <c r="O31" s="5" t="s">
        <v>92</v>
      </c>
      <c r="P31" s="5" t="s">
        <v>137</v>
      </c>
      <c r="Q31" s="10" t="s">
        <v>94</v>
      </c>
      <c r="R31" s="10" t="s">
        <v>94</v>
      </c>
      <c r="S31" s="10" t="s">
        <v>94</v>
      </c>
      <c r="T31" s="10" t="s">
        <v>191</v>
      </c>
      <c r="U31" s="5" t="s">
        <v>192</v>
      </c>
      <c r="V31" s="10" t="s">
        <v>138</v>
      </c>
      <c r="W31" s="10" t="s">
        <v>139</v>
      </c>
      <c r="X31" s="10" t="s">
        <v>140</v>
      </c>
      <c r="Y31" s="10" t="s">
        <v>193</v>
      </c>
      <c r="Z31" s="10" t="s">
        <v>204</v>
      </c>
    </row>
    <row r="32" spans="1:26">
      <c r="A32" s="10" t="s">
        <v>142</v>
      </c>
      <c r="B32" s="10" t="s">
        <v>188</v>
      </c>
      <c r="C32" s="11">
        <v>4754</v>
      </c>
      <c r="D32" s="11">
        <v>4689</v>
      </c>
      <c r="E32" s="10" t="s">
        <v>83</v>
      </c>
      <c r="F32" s="10" t="s">
        <v>84</v>
      </c>
      <c r="G32" s="10" t="s">
        <v>85</v>
      </c>
      <c r="H32" s="10" t="s">
        <v>86</v>
      </c>
      <c r="I32" s="10" t="s">
        <v>87</v>
      </c>
      <c r="J32" s="6" t="s">
        <v>143</v>
      </c>
      <c r="K32" s="12">
        <v>55</v>
      </c>
      <c r="L32" s="10" t="s">
        <v>89</v>
      </c>
      <c r="M32" s="5" t="s">
        <v>189</v>
      </c>
      <c r="N32" s="5" t="s">
        <v>205</v>
      </c>
      <c r="O32" s="5" t="s">
        <v>92</v>
      </c>
      <c r="P32" s="5" t="s">
        <v>145</v>
      </c>
      <c r="Q32" s="10" t="s">
        <v>94</v>
      </c>
      <c r="R32" s="10" t="s">
        <v>94</v>
      </c>
      <c r="S32" s="10" t="s">
        <v>94</v>
      </c>
      <c r="T32" s="10" t="s">
        <v>191</v>
      </c>
      <c r="U32" s="5" t="s">
        <v>192</v>
      </c>
      <c r="V32" s="10" t="s">
        <v>146</v>
      </c>
      <c r="W32" s="10" t="s">
        <v>147</v>
      </c>
      <c r="X32" s="10" t="s">
        <v>148</v>
      </c>
      <c r="Y32" s="10" t="s">
        <v>193</v>
      </c>
      <c r="Z32" s="10" t="s">
        <v>206</v>
      </c>
    </row>
    <row r="33" spans="1:26">
      <c r="A33" s="10" t="s">
        <v>81</v>
      </c>
      <c r="B33" s="10" t="s">
        <v>207</v>
      </c>
      <c r="C33" s="11">
        <v>9534</v>
      </c>
      <c r="D33" s="11">
        <v>8949</v>
      </c>
      <c r="E33" s="10" t="s">
        <v>83</v>
      </c>
      <c r="F33" s="10" t="s">
        <v>84</v>
      </c>
      <c r="G33" s="10" t="s">
        <v>85</v>
      </c>
      <c r="H33" s="10" t="s">
        <v>86</v>
      </c>
      <c r="I33" s="10" t="s">
        <v>87</v>
      </c>
      <c r="J33" s="6" t="s">
        <v>88</v>
      </c>
      <c r="K33" s="12">
        <v>56</v>
      </c>
      <c r="L33" s="10" t="s">
        <v>89</v>
      </c>
      <c r="M33" s="5" t="s">
        <v>208</v>
      </c>
      <c r="N33" s="5" t="s">
        <v>209</v>
      </c>
      <c r="O33" s="5" t="s">
        <v>92</v>
      </c>
      <c r="P33" s="5" t="s">
        <v>93</v>
      </c>
      <c r="Q33" s="10" t="s">
        <v>94</v>
      </c>
      <c r="R33" s="10" t="s">
        <v>94</v>
      </c>
      <c r="S33" s="10" t="s">
        <v>94</v>
      </c>
      <c r="T33" s="10" t="s">
        <v>210</v>
      </c>
      <c r="U33" s="5" t="s">
        <v>211</v>
      </c>
      <c r="V33" s="10" t="s">
        <v>97</v>
      </c>
      <c r="W33" s="10" t="s">
        <v>98</v>
      </c>
      <c r="X33" s="10" t="s">
        <v>99</v>
      </c>
      <c r="Y33" s="10" t="s">
        <v>212</v>
      </c>
      <c r="Z33" s="10" t="s">
        <v>213</v>
      </c>
    </row>
    <row r="34" spans="1:26">
      <c r="A34" s="10" t="s">
        <v>102</v>
      </c>
      <c r="B34" s="10" t="s">
        <v>207</v>
      </c>
      <c r="C34" s="11">
        <v>9911</v>
      </c>
      <c r="D34" s="11">
        <v>9534</v>
      </c>
      <c r="E34" s="10" t="s">
        <v>83</v>
      </c>
      <c r="F34" s="10" t="s">
        <v>84</v>
      </c>
      <c r="G34" s="10" t="s">
        <v>85</v>
      </c>
      <c r="H34" s="10" t="s">
        <v>86</v>
      </c>
      <c r="I34" s="10" t="s">
        <v>87</v>
      </c>
      <c r="J34" s="6" t="s">
        <v>103</v>
      </c>
      <c r="K34" s="12">
        <v>57</v>
      </c>
      <c r="L34" s="10" t="s">
        <v>89</v>
      </c>
      <c r="M34" s="5" t="s">
        <v>208</v>
      </c>
      <c r="N34" s="5" t="s">
        <v>214</v>
      </c>
      <c r="O34" s="5" t="s">
        <v>92</v>
      </c>
      <c r="P34" s="5" t="s">
        <v>105</v>
      </c>
      <c r="Q34" s="10" t="s">
        <v>94</v>
      </c>
      <c r="R34" s="10" t="s">
        <v>94</v>
      </c>
      <c r="S34" s="10" t="s">
        <v>94</v>
      </c>
      <c r="T34" s="10" t="s">
        <v>210</v>
      </c>
      <c r="U34" s="5" t="s">
        <v>211</v>
      </c>
      <c r="V34" s="10" t="s">
        <v>106</v>
      </c>
      <c r="W34" s="10" t="s">
        <v>107</v>
      </c>
      <c r="X34" s="10" t="s">
        <v>108</v>
      </c>
      <c r="Y34" s="10" t="s">
        <v>212</v>
      </c>
      <c r="Z34" s="10" t="s">
        <v>215</v>
      </c>
    </row>
    <row r="35" spans="1:26">
      <c r="A35" s="10" t="s">
        <v>110</v>
      </c>
      <c r="B35" s="10" t="s">
        <v>207</v>
      </c>
      <c r="C35" s="11">
        <v>10954</v>
      </c>
      <c r="D35" s="11">
        <v>9911</v>
      </c>
      <c r="E35" s="10" t="s">
        <v>83</v>
      </c>
      <c r="F35" s="10" t="s">
        <v>84</v>
      </c>
      <c r="G35" s="10" t="s">
        <v>85</v>
      </c>
      <c r="H35" s="10" t="s">
        <v>86</v>
      </c>
      <c r="I35" s="10" t="s">
        <v>87</v>
      </c>
      <c r="J35" s="6" t="s">
        <v>111</v>
      </c>
      <c r="K35" s="12">
        <v>56</v>
      </c>
      <c r="L35" s="10" t="s">
        <v>89</v>
      </c>
      <c r="M35" s="5" t="s">
        <v>208</v>
      </c>
      <c r="N35" s="5" t="s">
        <v>216</v>
      </c>
      <c r="O35" s="5" t="s">
        <v>92</v>
      </c>
      <c r="P35" s="5" t="s">
        <v>113</v>
      </c>
      <c r="Q35" s="10" t="s">
        <v>94</v>
      </c>
      <c r="R35" s="10" t="s">
        <v>94</v>
      </c>
      <c r="S35" s="10" t="s">
        <v>94</v>
      </c>
      <c r="T35" s="10" t="s">
        <v>210</v>
      </c>
      <c r="U35" s="5" t="s">
        <v>211</v>
      </c>
      <c r="V35" s="10" t="s">
        <v>114</v>
      </c>
      <c r="W35" s="10" t="s">
        <v>115</v>
      </c>
      <c r="X35" s="10" t="s">
        <v>116</v>
      </c>
      <c r="Y35" s="10" t="s">
        <v>212</v>
      </c>
      <c r="Z35" s="10" t="s">
        <v>217</v>
      </c>
    </row>
    <row r="36" spans="1:26">
      <c r="A36" s="10" t="s">
        <v>118</v>
      </c>
      <c r="B36" s="10" t="s">
        <v>207</v>
      </c>
      <c r="C36" s="11">
        <v>12317</v>
      </c>
      <c r="D36" s="11">
        <v>10954</v>
      </c>
      <c r="E36" s="10" t="s">
        <v>83</v>
      </c>
      <c r="F36" s="10" t="s">
        <v>84</v>
      </c>
      <c r="G36" s="10" t="s">
        <v>85</v>
      </c>
      <c r="H36" s="10" t="s">
        <v>86</v>
      </c>
      <c r="I36" s="10" t="s">
        <v>87</v>
      </c>
      <c r="J36" s="6" t="s">
        <v>119</v>
      </c>
      <c r="K36" s="12">
        <v>55</v>
      </c>
      <c r="L36" s="10" t="s">
        <v>89</v>
      </c>
      <c r="M36" s="5" t="s">
        <v>208</v>
      </c>
      <c r="N36" s="5" t="s">
        <v>218</v>
      </c>
      <c r="O36" s="5" t="s">
        <v>92</v>
      </c>
      <c r="P36" s="5" t="s">
        <v>121</v>
      </c>
      <c r="Q36" s="10" t="s">
        <v>94</v>
      </c>
      <c r="R36" s="10" t="s">
        <v>94</v>
      </c>
      <c r="S36" s="10" t="s">
        <v>94</v>
      </c>
      <c r="T36" s="10" t="s">
        <v>210</v>
      </c>
      <c r="U36" s="5" t="s">
        <v>211</v>
      </c>
      <c r="V36" s="10" t="s">
        <v>122</v>
      </c>
      <c r="W36" s="10" t="s">
        <v>123</v>
      </c>
      <c r="X36" s="10" t="s">
        <v>124</v>
      </c>
      <c r="Y36" s="10" t="s">
        <v>212</v>
      </c>
      <c r="Z36" s="10" t="s">
        <v>219</v>
      </c>
    </row>
    <row r="37" spans="1:26">
      <c r="A37" s="10" t="s">
        <v>126</v>
      </c>
      <c r="B37" s="10" t="s">
        <v>207</v>
      </c>
      <c r="C37" s="11">
        <v>12291</v>
      </c>
      <c r="D37" s="11">
        <v>12317</v>
      </c>
      <c r="E37" s="10" t="s">
        <v>83</v>
      </c>
      <c r="F37" s="10" t="s">
        <v>84</v>
      </c>
      <c r="G37" s="10" t="s">
        <v>85</v>
      </c>
      <c r="H37" s="10" t="s">
        <v>86</v>
      </c>
      <c r="I37" s="10" t="s">
        <v>87</v>
      </c>
      <c r="J37" s="6" t="s">
        <v>127</v>
      </c>
      <c r="K37" s="12">
        <v>57</v>
      </c>
      <c r="L37" s="10" t="s">
        <v>89</v>
      </c>
      <c r="M37" s="5" t="s">
        <v>208</v>
      </c>
      <c r="N37" s="5" t="s">
        <v>220</v>
      </c>
      <c r="O37" s="5" t="s">
        <v>92</v>
      </c>
      <c r="P37" s="5" t="s">
        <v>129</v>
      </c>
      <c r="Q37" s="10" t="s">
        <v>94</v>
      </c>
      <c r="R37" s="10" t="s">
        <v>94</v>
      </c>
      <c r="S37" s="10" t="s">
        <v>94</v>
      </c>
      <c r="T37" s="10" t="s">
        <v>210</v>
      </c>
      <c r="U37" s="5" t="s">
        <v>211</v>
      </c>
      <c r="V37" s="10" t="s">
        <v>130</v>
      </c>
      <c r="W37" s="10" t="s">
        <v>131</v>
      </c>
      <c r="X37" s="10" t="s">
        <v>132</v>
      </c>
      <c r="Y37" s="10" t="s">
        <v>212</v>
      </c>
      <c r="Z37" s="10" t="s">
        <v>221</v>
      </c>
    </row>
    <row r="38" spans="1:26">
      <c r="A38" s="10" t="s">
        <v>134</v>
      </c>
      <c r="B38" s="10" t="s">
        <v>207</v>
      </c>
      <c r="C38" s="11">
        <v>11399</v>
      </c>
      <c r="D38" s="11">
        <v>12291</v>
      </c>
      <c r="E38" s="10" t="s">
        <v>83</v>
      </c>
      <c r="F38" s="10" t="s">
        <v>84</v>
      </c>
      <c r="G38" s="10" t="s">
        <v>85</v>
      </c>
      <c r="H38" s="10" t="s">
        <v>86</v>
      </c>
      <c r="I38" s="10" t="s">
        <v>87</v>
      </c>
      <c r="J38" s="6" t="s">
        <v>135</v>
      </c>
      <c r="K38" s="12">
        <v>56</v>
      </c>
      <c r="L38" s="10" t="s">
        <v>89</v>
      </c>
      <c r="M38" s="5" t="s">
        <v>208</v>
      </c>
      <c r="N38" s="5" t="s">
        <v>222</v>
      </c>
      <c r="O38" s="5" t="s">
        <v>92</v>
      </c>
      <c r="P38" s="5" t="s">
        <v>137</v>
      </c>
      <c r="Q38" s="10" t="s">
        <v>94</v>
      </c>
      <c r="R38" s="10" t="s">
        <v>94</v>
      </c>
      <c r="S38" s="10" t="s">
        <v>94</v>
      </c>
      <c r="T38" s="10" t="s">
        <v>210</v>
      </c>
      <c r="U38" s="5" t="s">
        <v>211</v>
      </c>
      <c r="V38" s="10" t="s">
        <v>138</v>
      </c>
      <c r="W38" s="10" t="s">
        <v>139</v>
      </c>
      <c r="X38" s="10" t="s">
        <v>140</v>
      </c>
      <c r="Y38" s="10" t="s">
        <v>212</v>
      </c>
      <c r="Z38" s="10" t="s">
        <v>223</v>
      </c>
    </row>
    <row r="39" spans="1:26">
      <c r="A39" s="10" t="s">
        <v>142</v>
      </c>
      <c r="B39" s="10" t="s">
        <v>207</v>
      </c>
      <c r="C39" s="11">
        <v>11360</v>
      </c>
      <c r="D39" s="11">
        <v>11399</v>
      </c>
      <c r="E39" s="10" t="s">
        <v>83</v>
      </c>
      <c r="F39" s="10" t="s">
        <v>84</v>
      </c>
      <c r="G39" s="10" t="s">
        <v>85</v>
      </c>
      <c r="H39" s="10" t="s">
        <v>86</v>
      </c>
      <c r="I39" s="10" t="s">
        <v>87</v>
      </c>
      <c r="J39" s="6" t="s">
        <v>143</v>
      </c>
      <c r="K39" s="12">
        <v>55</v>
      </c>
      <c r="L39" s="10" t="s">
        <v>89</v>
      </c>
      <c r="M39" s="5" t="s">
        <v>208</v>
      </c>
      <c r="N39" s="5" t="s">
        <v>224</v>
      </c>
      <c r="O39" s="5" t="s">
        <v>92</v>
      </c>
      <c r="P39" s="5" t="s">
        <v>145</v>
      </c>
      <c r="Q39" s="10" t="s">
        <v>94</v>
      </c>
      <c r="R39" s="10" t="s">
        <v>94</v>
      </c>
      <c r="S39" s="10" t="s">
        <v>94</v>
      </c>
      <c r="T39" s="10" t="s">
        <v>210</v>
      </c>
      <c r="U39" s="5" t="s">
        <v>211</v>
      </c>
      <c r="V39" s="10" t="s">
        <v>146</v>
      </c>
      <c r="W39" s="10" t="s">
        <v>147</v>
      </c>
      <c r="X39" s="10" t="s">
        <v>148</v>
      </c>
      <c r="Y39" s="10" t="s">
        <v>212</v>
      </c>
      <c r="Z39" s="10" t="s">
        <v>225</v>
      </c>
    </row>
    <row r="40" spans="1:26">
      <c r="A40" s="10" t="s">
        <v>81</v>
      </c>
      <c r="B40" s="10" t="s">
        <v>226</v>
      </c>
      <c r="C40" s="11">
        <v>13126</v>
      </c>
      <c r="D40" s="11">
        <v>12702</v>
      </c>
      <c r="E40" s="10" t="s">
        <v>83</v>
      </c>
      <c r="F40" s="10" t="s">
        <v>84</v>
      </c>
      <c r="G40" s="10" t="s">
        <v>85</v>
      </c>
      <c r="H40" s="10" t="s">
        <v>86</v>
      </c>
      <c r="I40" s="10" t="s">
        <v>87</v>
      </c>
      <c r="J40" s="6" t="s">
        <v>88</v>
      </c>
      <c r="K40" s="12">
        <v>56</v>
      </c>
      <c r="L40" s="10" t="s">
        <v>89</v>
      </c>
      <c r="M40" s="5" t="s">
        <v>227</v>
      </c>
      <c r="N40" s="5" t="s">
        <v>228</v>
      </c>
      <c r="O40" s="5" t="s">
        <v>92</v>
      </c>
      <c r="P40" s="5" t="s">
        <v>93</v>
      </c>
      <c r="Q40" s="10" t="s">
        <v>94</v>
      </c>
      <c r="R40" s="10" t="s">
        <v>94</v>
      </c>
      <c r="S40" s="10" t="s">
        <v>94</v>
      </c>
      <c r="T40" s="10" t="s">
        <v>229</v>
      </c>
      <c r="U40" s="5" t="s">
        <v>230</v>
      </c>
      <c r="V40" s="10" t="s">
        <v>97</v>
      </c>
      <c r="W40" s="10" t="s">
        <v>98</v>
      </c>
      <c r="X40" s="10" t="s">
        <v>99</v>
      </c>
      <c r="Y40" s="10" t="s">
        <v>231</v>
      </c>
      <c r="Z40" s="10" t="s">
        <v>232</v>
      </c>
    </row>
    <row r="41" spans="1:26">
      <c r="A41" s="10" t="s">
        <v>102</v>
      </c>
      <c r="B41" s="10" t="s">
        <v>226</v>
      </c>
      <c r="C41" s="11">
        <v>13025</v>
      </c>
      <c r="D41" s="11">
        <v>13126</v>
      </c>
      <c r="E41" s="10" t="s">
        <v>83</v>
      </c>
      <c r="F41" s="10" t="s">
        <v>84</v>
      </c>
      <c r="G41" s="10" t="s">
        <v>85</v>
      </c>
      <c r="H41" s="10" t="s">
        <v>86</v>
      </c>
      <c r="I41" s="10" t="s">
        <v>87</v>
      </c>
      <c r="J41" s="6" t="s">
        <v>103</v>
      </c>
      <c r="K41" s="12">
        <v>57</v>
      </c>
      <c r="L41" s="10" t="s">
        <v>89</v>
      </c>
      <c r="M41" s="5" t="s">
        <v>227</v>
      </c>
      <c r="N41" s="5" t="s">
        <v>233</v>
      </c>
      <c r="O41" s="5" t="s">
        <v>92</v>
      </c>
      <c r="P41" s="5" t="s">
        <v>105</v>
      </c>
      <c r="Q41" s="10" t="s">
        <v>94</v>
      </c>
      <c r="R41" s="10" t="s">
        <v>94</v>
      </c>
      <c r="S41" s="10" t="s">
        <v>94</v>
      </c>
      <c r="T41" s="10" t="s">
        <v>229</v>
      </c>
      <c r="U41" s="5" t="s">
        <v>230</v>
      </c>
      <c r="V41" s="10" t="s">
        <v>106</v>
      </c>
      <c r="W41" s="10" t="s">
        <v>107</v>
      </c>
      <c r="X41" s="10" t="s">
        <v>108</v>
      </c>
      <c r="Y41" s="10" t="s">
        <v>231</v>
      </c>
      <c r="Z41" s="10" t="s">
        <v>234</v>
      </c>
    </row>
    <row r="42" spans="1:26">
      <c r="A42" s="10" t="s">
        <v>110</v>
      </c>
      <c r="B42" s="10" t="s">
        <v>226</v>
      </c>
      <c r="C42" s="11">
        <v>14804</v>
      </c>
      <c r="D42" s="11">
        <v>13025</v>
      </c>
      <c r="E42" s="10" t="s">
        <v>83</v>
      </c>
      <c r="F42" s="10" t="s">
        <v>84</v>
      </c>
      <c r="G42" s="10" t="s">
        <v>85</v>
      </c>
      <c r="H42" s="10" t="s">
        <v>86</v>
      </c>
      <c r="I42" s="10" t="s">
        <v>87</v>
      </c>
      <c r="J42" s="6" t="s">
        <v>111</v>
      </c>
      <c r="K42" s="12">
        <v>56</v>
      </c>
      <c r="L42" s="10" t="s">
        <v>89</v>
      </c>
      <c r="M42" s="5" t="s">
        <v>227</v>
      </c>
      <c r="N42" s="5" t="s">
        <v>235</v>
      </c>
      <c r="O42" s="5" t="s">
        <v>92</v>
      </c>
      <c r="P42" s="5" t="s">
        <v>113</v>
      </c>
      <c r="Q42" s="10" t="s">
        <v>94</v>
      </c>
      <c r="R42" s="10" t="s">
        <v>94</v>
      </c>
      <c r="S42" s="10" t="s">
        <v>94</v>
      </c>
      <c r="T42" s="10" t="s">
        <v>229</v>
      </c>
      <c r="U42" s="5" t="s">
        <v>230</v>
      </c>
      <c r="V42" s="10" t="s">
        <v>114</v>
      </c>
      <c r="W42" s="10" t="s">
        <v>115</v>
      </c>
      <c r="X42" s="10" t="s">
        <v>116</v>
      </c>
      <c r="Y42" s="10" t="s">
        <v>231</v>
      </c>
      <c r="Z42" s="10" t="s">
        <v>236</v>
      </c>
    </row>
    <row r="43" spans="1:26">
      <c r="A43" s="10" t="s">
        <v>118</v>
      </c>
      <c r="B43" s="10" t="s">
        <v>226</v>
      </c>
      <c r="C43" s="11">
        <v>16377</v>
      </c>
      <c r="D43" s="11">
        <v>14804</v>
      </c>
      <c r="E43" s="10" t="s">
        <v>83</v>
      </c>
      <c r="F43" s="10" t="s">
        <v>84</v>
      </c>
      <c r="G43" s="10" t="s">
        <v>85</v>
      </c>
      <c r="H43" s="10" t="s">
        <v>86</v>
      </c>
      <c r="I43" s="10" t="s">
        <v>87</v>
      </c>
      <c r="J43" s="6" t="s">
        <v>119</v>
      </c>
      <c r="K43" s="12">
        <v>55</v>
      </c>
      <c r="L43" s="10" t="s">
        <v>89</v>
      </c>
      <c r="M43" s="5" t="s">
        <v>227</v>
      </c>
      <c r="N43" s="5" t="s">
        <v>237</v>
      </c>
      <c r="O43" s="5" t="s">
        <v>92</v>
      </c>
      <c r="P43" s="5" t="s">
        <v>121</v>
      </c>
      <c r="Q43" s="10" t="s">
        <v>94</v>
      </c>
      <c r="R43" s="10" t="s">
        <v>94</v>
      </c>
      <c r="S43" s="10" t="s">
        <v>94</v>
      </c>
      <c r="T43" s="10" t="s">
        <v>229</v>
      </c>
      <c r="U43" s="5" t="s">
        <v>230</v>
      </c>
      <c r="V43" s="10" t="s">
        <v>122</v>
      </c>
      <c r="W43" s="10" t="s">
        <v>123</v>
      </c>
      <c r="X43" s="10" t="s">
        <v>124</v>
      </c>
      <c r="Y43" s="10" t="s">
        <v>231</v>
      </c>
      <c r="Z43" s="10" t="s">
        <v>238</v>
      </c>
    </row>
    <row r="44" spans="1:26">
      <c r="A44" s="10" t="s">
        <v>126</v>
      </c>
      <c r="B44" s="10" t="s">
        <v>226</v>
      </c>
      <c r="C44" s="11">
        <v>16576</v>
      </c>
      <c r="D44" s="11">
        <v>16377</v>
      </c>
      <c r="E44" s="10" t="s">
        <v>83</v>
      </c>
      <c r="F44" s="10" t="s">
        <v>84</v>
      </c>
      <c r="G44" s="10" t="s">
        <v>85</v>
      </c>
      <c r="H44" s="10" t="s">
        <v>86</v>
      </c>
      <c r="I44" s="10" t="s">
        <v>87</v>
      </c>
      <c r="J44" s="6" t="s">
        <v>127</v>
      </c>
      <c r="K44" s="12">
        <v>57</v>
      </c>
      <c r="L44" s="10" t="s">
        <v>89</v>
      </c>
      <c r="M44" s="5" t="s">
        <v>227</v>
      </c>
      <c r="N44" s="5" t="s">
        <v>239</v>
      </c>
      <c r="O44" s="5" t="s">
        <v>92</v>
      </c>
      <c r="P44" s="5" t="s">
        <v>129</v>
      </c>
      <c r="Q44" s="10" t="s">
        <v>94</v>
      </c>
      <c r="R44" s="10" t="s">
        <v>94</v>
      </c>
      <c r="S44" s="10" t="s">
        <v>94</v>
      </c>
      <c r="T44" s="10" t="s">
        <v>229</v>
      </c>
      <c r="U44" s="5" t="s">
        <v>230</v>
      </c>
      <c r="V44" s="10" t="s">
        <v>130</v>
      </c>
      <c r="W44" s="10" t="s">
        <v>131</v>
      </c>
      <c r="X44" s="10" t="s">
        <v>132</v>
      </c>
      <c r="Y44" s="10" t="s">
        <v>231</v>
      </c>
      <c r="Z44" s="10" t="s">
        <v>240</v>
      </c>
    </row>
    <row r="45" spans="1:26">
      <c r="A45" s="10" t="s">
        <v>134</v>
      </c>
      <c r="B45" s="10" t="s">
        <v>226</v>
      </c>
      <c r="C45" s="11">
        <v>16088</v>
      </c>
      <c r="D45" s="11">
        <v>16576</v>
      </c>
      <c r="E45" s="10" t="s">
        <v>83</v>
      </c>
      <c r="F45" s="10" t="s">
        <v>84</v>
      </c>
      <c r="G45" s="10" t="s">
        <v>85</v>
      </c>
      <c r="H45" s="10" t="s">
        <v>86</v>
      </c>
      <c r="I45" s="10" t="s">
        <v>87</v>
      </c>
      <c r="J45" s="6" t="s">
        <v>135</v>
      </c>
      <c r="K45" s="12">
        <v>56</v>
      </c>
      <c r="L45" s="10" t="s">
        <v>89</v>
      </c>
      <c r="M45" s="5" t="s">
        <v>227</v>
      </c>
      <c r="N45" s="5" t="s">
        <v>241</v>
      </c>
      <c r="O45" s="5" t="s">
        <v>92</v>
      </c>
      <c r="P45" s="5" t="s">
        <v>137</v>
      </c>
      <c r="Q45" s="10" t="s">
        <v>94</v>
      </c>
      <c r="R45" s="10" t="s">
        <v>94</v>
      </c>
      <c r="S45" s="10" t="s">
        <v>94</v>
      </c>
      <c r="T45" s="10" t="s">
        <v>229</v>
      </c>
      <c r="U45" s="5" t="s">
        <v>230</v>
      </c>
      <c r="V45" s="10" t="s">
        <v>138</v>
      </c>
      <c r="W45" s="10" t="s">
        <v>139</v>
      </c>
      <c r="X45" s="10" t="s">
        <v>140</v>
      </c>
      <c r="Y45" s="10" t="s">
        <v>231</v>
      </c>
      <c r="Z45" s="10" t="s">
        <v>242</v>
      </c>
    </row>
    <row r="46" spans="1:26">
      <c r="A46" s="10" t="s">
        <v>142</v>
      </c>
      <c r="B46" s="10" t="s">
        <v>226</v>
      </c>
      <c r="C46" s="11">
        <v>16114</v>
      </c>
      <c r="D46" s="11">
        <v>16088</v>
      </c>
      <c r="E46" s="10" t="s">
        <v>83</v>
      </c>
      <c r="F46" s="10" t="s">
        <v>84</v>
      </c>
      <c r="G46" s="10" t="s">
        <v>85</v>
      </c>
      <c r="H46" s="10" t="s">
        <v>86</v>
      </c>
      <c r="I46" s="10" t="s">
        <v>87</v>
      </c>
      <c r="J46" s="6" t="s">
        <v>143</v>
      </c>
      <c r="K46" s="12">
        <v>55</v>
      </c>
      <c r="L46" s="10" t="s">
        <v>89</v>
      </c>
      <c r="M46" s="5" t="s">
        <v>227</v>
      </c>
      <c r="N46" s="5" t="s">
        <v>243</v>
      </c>
      <c r="O46" s="5" t="s">
        <v>92</v>
      </c>
      <c r="P46" s="5" t="s">
        <v>145</v>
      </c>
      <c r="Q46" s="10" t="s">
        <v>94</v>
      </c>
      <c r="R46" s="10" t="s">
        <v>94</v>
      </c>
      <c r="S46" s="10" t="s">
        <v>94</v>
      </c>
      <c r="T46" s="10" t="s">
        <v>229</v>
      </c>
      <c r="U46" s="5" t="s">
        <v>230</v>
      </c>
      <c r="V46" s="10" t="s">
        <v>146</v>
      </c>
      <c r="W46" s="10" t="s">
        <v>147</v>
      </c>
      <c r="X46" s="10" t="s">
        <v>148</v>
      </c>
      <c r="Y46" s="10" t="s">
        <v>231</v>
      </c>
      <c r="Z46" s="10" t="s">
        <v>244</v>
      </c>
    </row>
    <row r="47" spans="1:26">
      <c r="A47" s="10" t="s">
        <v>81</v>
      </c>
      <c r="B47" s="10" t="s">
        <v>245</v>
      </c>
      <c r="C47" s="11">
        <v>89</v>
      </c>
      <c r="D47" s="11">
        <v>49</v>
      </c>
      <c r="E47" s="10" t="s">
        <v>83</v>
      </c>
      <c r="F47" s="10" t="s">
        <v>84</v>
      </c>
      <c r="G47" s="10" t="s">
        <v>85</v>
      </c>
      <c r="H47" s="10" t="s">
        <v>86</v>
      </c>
      <c r="I47" s="10" t="s">
        <v>87</v>
      </c>
      <c r="J47" s="6" t="s">
        <v>88</v>
      </c>
      <c r="K47" s="12">
        <v>56</v>
      </c>
      <c r="L47" s="10" t="s">
        <v>89</v>
      </c>
      <c r="M47" s="5" t="s">
        <v>246</v>
      </c>
      <c r="N47" s="5" t="s">
        <v>247</v>
      </c>
      <c r="O47" s="5" t="s">
        <v>92</v>
      </c>
      <c r="P47" s="5" t="s">
        <v>93</v>
      </c>
      <c r="Q47" s="10" t="s">
        <v>94</v>
      </c>
      <c r="R47" s="10" t="s">
        <v>94</v>
      </c>
      <c r="S47" s="10" t="s">
        <v>94</v>
      </c>
      <c r="T47" s="10" t="s">
        <v>248</v>
      </c>
      <c r="U47" s="5" t="s">
        <v>249</v>
      </c>
      <c r="V47" s="10" t="s">
        <v>97</v>
      </c>
      <c r="W47" s="10" t="s">
        <v>98</v>
      </c>
      <c r="X47" s="10" t="s">
        <v>99</v>
      </c>
      <c r="Y47" s="10" t="s">
        <v>250</v>
      </c>
      <c r="Z47" s="10" t="s">
        <v>251</v>
      </c>
    </row>
    <row r="48" spans="1:26">
      <c r="A48" s="10" t="s">
        <v>102</v>
      </c>
      <c r="B48" s="10" t="s">
        <v>245</v>
      </c>
      <c r="C48" s="11">
        <v>262</v>
      </c>
      <c r="D48" s="11">
        <v>89</v>
      </c>
      <c r="E48" s="10" t="s">
        <v>83</v>
      </c>
      <c r="F48" s="10" t="s">
        <v>84</v>
      </c>
      <c r="G48" s="10" t="s">
        <v>85</v>
      </c>
      <c r="H48" s="10" t="s">
        <v>86</v>
      </c>
      <c r="I48" s="10" t="s">
        <v>87</v>
      </c>
      <c r="J48" s="6" t="s">
        <v>103</v>
      </c>
      <c r="K48" s="12">
        <v>57</v>
      </c>
      <c r="L48" s="10" t="s">
        <v>89</v>
      </c>
      <c r="M48" s="5" t="s">
        <v>246</v>
      </c>
      <c r="N48" s="5" t="s">
        <v>252</v>
      </c>
      <c r="O48" s="5" t="s">
        <v>92</v>
      </c>
      <c r="P48" s="5" t="s">
        <v>105</v>
      </c>
      <c r="Q48" s="10" t="s">
        <v>94</v>
      </c>
      <c r="R48" s="10" t="s">
        <v>94</v>
      </c>
      <c r="S48" s="10" t="s">
        <v>94</v>
      </c>
      <c r="T48" s="10" t="s">
        <v>248</v>
      </c>
      <c r="U48" s="5" t="s">
        <v>249</v>
      </c>
      <c r="V48" s="10" t="s">
        <v>106</v>
      </c>
      <c r="W48" s="10" t="s">
        <v>107</v>
      </c>
      <c r="X48" s="10" t="s">
        <v>108</v>
      </c>
      <c r="Y48" s="10" t="s">
        <v>250</v>
      </c>
      <c r="Z48" s="10" t="s">
        <v>253</v>
      </c>
    </row>
    <row r="49" spans="1:26">
      <c r="A49" s="10" t="s">
        <v>110</v>
      </c>
      <c r="B49" s="10" t="s">
        <v>245</v>
      </c>
      <c r="C49" s="11">
        <v>205</v>
      </c>
      <c r="D49" s="11">
        <v>262</v>
      </c>
      <c r="E49" s="10" t="s">
        <v>83</v>
      </c>
      <c r="F49" s="10" t="s">
        <v>84</v>
      </c>
      <c r="G49" s="10" t="s">
        <v>85</v>
      </c>
      <c r="H49" s="10" t="s">
        <v>86</v>
      </c>
      <c r="I49" s="10" t="s">
        <v>87</v>
      </c>
      <c r="J49" s="6" t="s">
        <v>111</v>
      </c>
      <c r="K49" s="12">
        <v>56</v>
      </c>
      <c r="L49" s="10" t="s">
        <v>89</v>
      </c>
      <c r="M49" s="5" t="s">
        <v>246</v>
      </c>
      <c r="N49" s="5" t="s">
        <v>254</v>
      </c>
      <c r="O49" s="5" t="s">
        <v>92</v>
      </c>
      <c r="P49" s="5" t="s">
        <v>113</v>
      </c>
      <c r="Q49" s="10" t="s">
        <v>94</v>
      </c>
      <c r="R49" s="10" t="s">
        <v>94</v>
      </c>
      <c r="S49" s="10" t="s">
        <v>94</v>
      </c>
      <c r="T49" s="10" t="s">
        <v>248</v>
      </c>
      <c r="U49" s="5" t="s">
        <v>249</v>
      </c>
      <c r="V49" s="10" t="s">
        <v>114</v>
      </c>
      <c r="W49" s="10" t="s">
        <v>115</v>
      </c>
      <c r="X49" s="10" t="s">
        <v>116</v>
      </c>
      <c r="Y49" s="10" t="s">
        <v>250</v>
      </c>
      <c r="Z49" s="10" t="s">
        <v>255</v>
      </c>
    </row>
    <row r="50" spans="1:26">
      <c r="A50" s="10" t="s">
        <v>118</v>
      </c>
      <c r="B50" s="10" t="s">
        <v>245</v>
      </c>
      <c r="C50" s="11">
        <v>-6</v>
      </c>
      <c r="D50" s="11">
        <v>205</v>
      </c>
      <c r="E50" s="10" t="s">
        <v>83</v>
      </c>
      <c r="F50" s="10" t="s">
        <v>84</v>
      </c>
      <c r="G50" s="10" t="s">
        <v>85</v>
      </c>
      <c r="H50" s="10" t="s">
        <v>86</v>
      </c>
      <c r="I50" s="10" t="s">
        <v>87</v>
      </c>
      <c r="J50" s="6" t="s">
        <v>119</v>
      </c>
      <c r="K50" s="12">
        <v>55</v>
      </c>
      <c r="L50" s="10" t="s">
        <v>89</v>
      </c>
      <c r="M50" s="5" t="s">
        <v>246</v>
      </c>
      <c r="N50" s="5" t="s">
        <v>256</v>
      </c>
      <c r="O50" s="5" t="s">
        <v>92</v>
      </c>
      <c r="P50" s="5" t="s">
        <v>121</v>
      </c>
      <c r="Q50" s="10" t="s">
        <v>94</v>
      </c>
      <c r="R50" s="10" t="s">
        <v>94</v>
      </c>
      <c r="S50" s="10" t="s">
        <v>94</v>
      </c>
      <c r="T50" s="10" t="s">
        <v>248</v>
      </c>
      <c r="U50" s="5" t="s">
        <v>249</v>
      </c>
      <c r="V50" s="10" t="s">
        <v>122</v>
      </c>
      <c r="W50" s="10" t="s">
        <v>123</v>
      </c>
      <c r="X50" s="10" t="s">
        <v>124</v>
      </c>
      <c r="Y50" s="10" t="s">
        <v>250</v>
      </c>
      <c r="Z50" s="10" t="s">
        <v>257</v>
      </c>
    </row>
    <row r="51" spans="1:26">
      <c r="A51" s="10" t="s">
        <v>126</v>
      </c>
      <c r="B51" s="10" t="s">
        <v>245</v>
      </c>
      <c r="C51" s="11">
        <v>-161</v>
      </c>
      <c r="D51" s="11">
        <v>-6</v>
      </c>
      <c r="E51" s="10" t="s">
        <v>83</v>
      </c>
      <c r="F51" s="10" t="s">
        <v>84</v>
      </c>
      <c r="G51" s="10" t="s">
        <v>85</v>
      </c>
      <c r="H51" s="10" t="s">
        <v>86</v>
      </c>
      <c r="I51" s="10" t="s">
        <v>87</v>
      </c>
      <c r="J51" s="6" t="s">
        <v>127</v>
      </c>
      <c r="K51" s="12">
        <v>57</v>
      </c>
      <c r="L51" s="10" t="s">
        <v>89</v>
      </c>
      <c r="M51" s="5" t="s">
        <v>246</v>
      </c>
      <c r="N51" s="5" t="s">
        <v>258</v>
      </c>
      <c r="O51" s="5" t="s">
        <v>92</v>
      </c>
      <c r="P51" s="5" t="s">
        <v>129</v>
      </c>
      <c r="Q51" s="10" t="s">
        <v>94</v>
      </c>
      <c r="R51" s="10" t="s">
        <v>94</v>
      </c>
      <c r="S51" s="10" t="s">
        <v>94</v>
      </c>
      <c r="T51" s="10" t="s">
        <v>248</v>
      </c>
      <c r="U51" s="5" t="s">
        <v>249</v>
      </c>
      <c r="V51" s="10" t="s">
        <v>130</v>
      </c>
      <c r="W51" s="10" t="s">
        <v>131</v>
      </c>
      <c r="X51" s="10" t="s">
        <v>132</v>
      </c>
      <c r="Y51" s="10" t="s">
        <v>250</v>
      </c>
      <c r="Z51" s="10" t="s">
        <v>259</v>
      </c>
    </row>
    <row r="52" spans="1:26">
      <c r="A52" s="10" t="s">
        <v>134</v>
      </c>
      <c r="B52" s="10" t="s">
        <v>245</v>
      </c>
      <c r="C52" s="11">
        <v>-107</v>
      </c>
      <c r="D52" s="11">
        <v>-161</v>
      </c>
      <c r="E52" s="10" t="s">
        <v>83</v>
      </c>
      <c r="F52" s="10" t="s">
        <v>84</v>
      </c>
      <c r="G52" s="10" t="s">
        <v>85</v>
      </c>
      <c r="H52" s="10" t="s">
        <v>86</v>
      </c>
      <c r="I52" s="10" t="s">
        <v>87</v>
      </c>
      <c r="J52" s="6" t="s">
        <v>135</v>
      </c>
      <c r="K52" s="12">
        <v>56</v>
      </c>
      <c r="L52" s="10" t="s">
        <v>89</v>
      </c>
      <c r="M52" s="5" t="s">
        <v>246</v>
      </c>
      <c r="N52" s="5" t="s">
        <v>260</v>
      </c>
      <c r="O52" s="5" t="s">
        <v>92</v>
      </c>
      <c r="P52" s="5" t="s">
        <v>137</v>
      </c>
      <c r="Q52" s="10" t="s">
        <v>94</v>
      </c>
      <c r="R52" s="10" t="s">
        <v>94</v>
      </c>
      <c r="S52" s="10" t="s">
        <v>94</v>
      </c>
      <c r="T52" s="10" t="s">
        <v>248</v>
      </c>
      <c r="U52" s="5" t="s">
        <v>249</v>
      </c>
      <c r="V52" s="10" t="s">
        <v>138</v>
      </c>
      <c r="W52" s="10" t="s">
        <v>139</v>
      </c>
      <c r="X52" s="10" t="s">
        <v>140</v>
      </c>
      <c r="Y52" s="10" t="s">
        <v>250</v>
      </c>
      <c r="Z52" s="10" t="s">
        <v>261</v>
      </c>
    </row>
    <row r="53" spans="1:26">
      <c r="A53" s="10" t="s">
        <v>142</v>
      </c>
      <c r="B53" s="10" t="s">
        <v>245</v>
      </c>
      <c r="C53" s="11">
        <v>-50</v>
      </c>
      <c r="D53" s="11">
        <v>-107</v>
      </c>
      <c r="E53" s="10" t="s">
        <v>83</v>
      </c>
      <c r="F53" s="10" t="s">
        <v>84</v>
      </c>
      <c r="G53" s="10" t="s">
        <v>85</v>
      </c>
      <c r="H53" s="10" t="s">
        <v>86</v>
      </c>
      <c r="I53" s="10" t="s">
        <v>87</v>
      </c>
      <c r="J53" s="6" t="s">
        <v>143</v>
      </c>
      <c r="K53" s="12">
        <v>55</v>
      </c>
      <c r="L53" s="10" t="s">
        <v>89</v>
      </c>
      <c r="M53" s="5" t="s">
        <v>246</v>
      </c>
      <c r="N53" s="5" t="s">
        <v>262</v>
      </c>
      <c r="O53" s="5" t="s">
        <v>92</v>
      </c>
      <c r="P53" s="5" t="s">
        <v>145</v>
      </c>
      <c r="Q53" s="10" t="s">
        <v>94</v>
      </c>
      <c r="R53" s="10" t="s">
        <v>94</v>
      </c>
      <c r="S53" s="10" t="s">
        <v>94</v>
      </c>
      <c r="T53" s="10" t="s">
        <v>248</v>
      </c>
      <c r="U53" s="5" t="s">
        <v>249</v>
      </c>
      <c r="V53" s="10" t="s">
        <v>146</v>
      </c>
      <c r="W53" s="10" t="s">
        <v>147</v>
      </c>
      <c r="X53" s="10" t="s">
        <v>148</v>
      </c>
      <c r="Y53" s="10" t="s">
        <v>250</v>
      </c>
      <c r="Z53" s="10" t="s">
        <v>263</v>
      </c>
    </row>
    <row r="54" spans="1:26">
      <c r="A54" s="10" t="s">
        <v>81</v>
      </c>
      <c r="B54" s="10" t="s">
        <v>264</v>
      </c>
      <c r="C54" s="11">
        <v>139</v>
      </c>
      <c r="D54" s="11">
        <v>-78</v>
      </c>
      <c r="E54" s="10" t="s">
        <v>83</v>
      </c>
      <c r="F54" s="10" t="s">
        <v>84</v>
      </c>
      <c r="G54" s="10" t="s">
        <v>85</v>
      </c>
      <c r="H54" s="10" t="s">
        <v>86</v>
      </c>
      <c r="I54" s="10" t="s">
        <v>87</v>
      </c>
      <c r="J54" s="6" t="s">
        <v>88</v>
      </c>
      <c r="K54" s="12">
        <v>56</v>
      </c>
      <c r="L54" s="10" t="s">
        <v>89</v>
      </c>
      <c r="M54" s="5" t="s">
        <v>265</v>
      </c>
      <c r="N54" s="5" t="s">
        <v>266</v>
      </c>
      <c r="O54" s="5" t="s">
        <v>92</v>
      </c>
      <c r="P54" s="5" t="s">
        <v>93</v>
      </c>
      <c r="Q54" s="10" t="s">
        <v>94</v>
      </c>
      <c r="R54" s="10" t="s">
        <v>94</v>
      </c>
      <c r="S54" s="10" t="s">
        <v>94</v>
      </c>
      <c r="T54" s="10" t="s">
        <v>267</v>
      </c>
      <c r="U54" s="5" t="s">
        <v>268</v>
      </c>
      <c r="V54" s="10" t="s">
        <v>97</v>
      </c>
      <c r="W54" s="10" t="s">
        <v>98</v>
      </c>
      <c r="X54" s="10" t="s">
        <v>99</v>
      </c>
      <c r="Y54" s="10" t="s">
        <v>269</v>
      </c>
      <c r="Z54" s="10" t="s">
        <v>270</v>
      </c>
    </row>
    <row r="55" spans="1:26">
      <c r="A55" s="10" t="s">
        <v>102</v>
      </c>
      <c r="B55" s="10" t="s">
        <v>264</v>
      </c>
      <c r="C55" s="11">
        <v>14</v>
      </c>
      <c r="D55" s="11">
        <v>139</v>
      </c>
      <c r="E55" s="10" t="s">
        <v>83</v>
      </c>
      <c r="F55" s="10" t="s">
        <v>84</v>
      </c>
      <c r="G55" s="10" t="s">
        <v>85</v>
      </c>
      <c r="H55" s="10" t="s">
        <v>86</v>
      </c>
      <c r="I55" s="10" t="s">
        <v>87</v>
      </c>
      <c r="J55" s="6" t="s">
        <v>103</v>
      </c>
      <c r="K55" s="12">
        <v>57</v>
      </c>
      <c r="L55" s="10" t="s">
        <v>89</v>
      </c>
      <c r="M55" s="5" t="s">
        <v>265</v>
      </c>
      <c r="N55" s="5" t="s">
        <v>271</v>
      </c>
      <c r="O55" s="5" t="s">
        <v>92</v>
      </c>
      <c r="P55" s="5" t="s">
        <v>105</v>
      </c>
      <c r="Q55" s="10" t="s">
        <v>94</v>
      </c>
      <c r="R55" s="10" t="s">
        <v>94</v>
      </c>
      <c r="S55" s="10" t="s">
        <v>94</v>
      </c>
      <c r="T55" s="10" t="s">
        <v>267</v>
      </c>
      <c r="U55" s="5" t="s">
        <v>268</v>
      </c>
      <c r="V55" s="10" t="s">
        <v>106</v>
      </c>
      <c r="W55" s="10" t="s">
        <v>107</v>
      </c>
      <c r="X55" s="10" t="s">
        <v>108</v>
      </c>
      <c r="Y55" s="10" t="s">
        <v>269</v>
      </c>
      <c r="Z55" s="10" t="s">
        <v>272</v>
      </c>
    </row>
    <row r="56" spans="1:26">
      <c r="A56" s="10" t="s">
        <v>110</v>
      </c>
      <c r="B56" s="10" t="s">
        <v>264</v>
      </c>
      <c r="C56" s="11">
        <v>-181</v>
      </c>
      <c r="D56" s="11">
        <v>14</v>
      </c>
      <c r="E56" s="10" t="s">
        <v>83</v>
      </c>
      <c r="F56" s="10" t="s">
        <v>84</v>
      </c>
      <c r="G56" s="10" t="s">
        <v>85</v>
      </c>
      <c r="H56" s="10" t="s">
        <v>86</v>
      </c>
      <c r="I56" s="10" t="s">
        <v>87</v>
      </c>
      <c r="J56" s="6" t="s">
        <v>111</v>
      </c>
      <c r="K56" s="12">
        <v>56</v>
      </c>
      <c r="L56" s="10" t="s">
        <v>89</v>
      </c>
      <c r="M56" s="5" t="s">
        <v>265</v>
      </c>
      <c r="N56" s="5" t="s">
        <v>273</v>
      </c>
      <c r="O56" s="5" t="s">
        <v>92</v>
      </c>
      <c r="P56" s="5" t="s">
        <v>113</v>
      </c>
      <c r="Q56" s="10" t="s">
        <v>94</v>
      </c>
      <c r="R56" s="10" t="s">
        <v>94</v>
      </c>
      <c r="S56" s="10" t="s">
        <v>94</v>
      </c>
      <c r="T56" s="10" t="s">
        <v>267</v>
      </c>
      <c r="U56" s="5" t="s">
        <v>268</v>
      </c>
      <c r="V56" s="10" t="s">
        <v>114</v>
      </c>
      <c r="W56" s="10" t="s">
        <v>115</v>
      </c>
      <c r="X56" s="10" t="s">
        <v>116</v>
      </c>
      <c r="Y56" s="10" t="s">
        <v>269</v>
      </c>
      <c r="Z56" s="10" t="s">
        <v>274</v>
      </c>
    </row>
    <row r="57" spans="1:26">
      <c r="A57" s="10" t="s">
        <v>118</v>
      </c>
      <c r="B57" s="10" t="s">
        <v>264</v>
      </c>
      <c r="C57" s="11">
        <v>-280</v>
      </c>
      <c r="D57" s="11">
        <v>-181</v>
      </c>
      <c r="E57" s="10" t="s">
        <v>83</v>
      </c>
      <c r="F57" s="10" t="s">
        <v>84</v>
      </c>
      <c r="G57" s="10" t="s">
        <v>85</v>
      </c>
      <c r="H57" s="10" t="s">
        <v>86</v>
      </c>
      <c r="I57" s="10" t="s">
        <v>87</v>
      </c>
      <c r="J57" s="6" t="s">
        <v>119</v>
      </c>
      <c r="K57" s="12">
        <v>55</v>
      </c>
      <c r="L57" s="10" t="s">
        <v>89</v>
      </c>
      <c r="M57" s="5" t="s">
        <v>265</v>
      </c>
      <c r="N57" s="5" t="s">
        <v>275</v>
      </c>
      <c r="O57" s="5" t="s">
        <v>92</v>
      </c>
      <c r="P57" s="5" t="s">
        <v>121</v>
      </c>
      <c r="Q57" s="10" t="s">
        <v>94</v>
      </c>
      <c r="R57" s="10" t="s">
        <v>94</v>
      </c>
      <c r="S57" s="10" t="s">
        <v>94</v>
      </c>
      <c r="T57" s="10" t="s">
        <v>267</v>
      </c>
      <c r="U57" s="5" t="s">
        <v>268</v>
      </c>
      <c r="V57" s="10" t="s">
        <v>122</v>
      </c>
      <c r="W57" s="10" t="s">
        <v>123</v>
      </c>
      <c r="X57" s="10" t="s">
        <v>124</v>
      </c>
      <c r="Y57" s="10" t="s">
        <v>269</v>
      </c>
      <c r="Z57" s="10" t="s">
        <v>276</v>
      </c>
    </row>
    <row r="58" spans="1:26">
      <c r="A58" s="10" t="s">
        <v>126</v>
      </c>
      <c r="B58" s="10" t="s">
        <v>264</v>
      </c>
      <c r="C58" s="11">
        <v>-228</v>
      </c>
      <c r="D58" s="11">
        <v>-280</v>
      </c>
      <c r="E58" s="10" t="s">
        <v>83</v>
      </c>
      <c r="F58" s="10" t="s">
        <v>84</v>
      </c>
      <c r="G58" s="10" t="s">
        <v>85</v>
      </c>
      <c r="H58" s="10" t="s">
        <v>86</v>
      </c>
      <c r="I58" s="10" t="s">
        <v>87</v>
      </c>
      <c r="J58" s="6" t="s">
        <v>127</v>
      </c>
      <c r="K58" s="12">
        <v>57</v>
      </c>
      <c r="L58" s="10" t="s">
        <v>89</v>
      </c>
      <c r="M58" s="5" t="s">
        <v>265</v>
      </c>
      <c r="N58" s="5" t="s">
        <v>277</v>
      </c>
      <c r="O58" s="5" t="s">
        <v>92</v>
      </c>
      <c r="P58" s="5" t="s">
        <v>129</v>
      </c>
      <c r="Q58" s="10" t="s">
        <v>94</v>
      </c>
      <c r="R58" s="10" t="s">
        <v>94</v>
      </c>
      <c r="S58" s="10" t="s">
        <v>94</v>
      </c>
      <c r="T58" s="10" t="s">
        <v>267</v>
      </c>
      <c r="U58" s="5" t="s">
        <v>268</v>
      </c>
      <c r="V58" s="10" t="s">
        <v>130</v>
      </c>
      <c r="W58" s="10" t="s">
        <v>131</v>
      </c>
      <c r="X58" s="10" t="s">
        <v>132</v>
      </c>
      <c r="Y58" s="10" t="s">
        <v>269</v>
      </c>
      <c r="Z58" s="10" t="s">
        <v>278</v>
      </c>
    </row>
    <row r="59" spans="1:26">
      <c r="A59" s="10" t="s">
        <v>134</v>
      </c>
      <c r="B59" s="10" t="s">
        <v>264</v>
      </c>
      <c r="C59" s="11">
        <v>-76</v>
      </c>
      <c r="D59" s="11">
        <v>-228</v>
      </c>
      <c r="E59" s="10" t="s">
        <v>83</v>
      </c>
      <c r="F59" s="10" t="s">
        <v>84</v>
      </c>
      <c r="G59" s="10" t="s">
        <v>85</v>
      </c>
      <c r="H59" s="10" t="s">
        <v>86</v>
      </c>
      <c r="I59" s="10" t="s">
        <v>87</v>
      </c>
      <c r="J59" s="6" t="s">
        <v>135</v>
      </c>
      <c r="K59" s="12">
        <v>56</v>
      </c>
      <c r="L59" s="10" t="s">
        <v>89</v>
      </c>
      <c r="M59" s="5" t="s">
        <v>265</v>
      </c>
      <c r="N59" s="5" t="s">
        <v>279</v>
      </c>
      <c r="O59" s="5" t="s">
        <v>92</v>
      </c>
      <c r="P59" s="5" t="s">
        <v>137</v>
      </c>
      <c r="Q59" s="10" t="s">
        <v>94</v>
      </c>
      <c r="R59" s="10" t="s">
        <v>94</v>
      </c>
      <c r="S59" s="10" t="s">
        <v>94</v>
      </c>
      <c r="T59" s="10" t="s">
        <v>267</v>
      </c>
      <c r="U59" s="5" t="s">
        <v>268</v>
      </c>
      <c r="V59" s="10" t="s">
        <v>138</v>
      </c>
      <c r="W59" s="10" t="s">
        <v>139</v>
      </c>
      <c r="X59" s="10" t="s">
        <v>140</v>
      </c>
      <c r="Y59" s="10" t="s">
        <v>269</v>
      </c>
      <c r="Z59" s="10" t="s">
        <v>280</v>
      </c>
    </row>
    <row r="60" spans="1:26">
      <c r="A60" s="10" t="s">
        <v>142</v>
      </c>
      <c r="B60" s="10" t="s">
        <v>264</v>
      </c>
      <c r="C60" s="11">
        <v>-53</v>
      </c>
      <c r="D60" s="11">
        <v>-76</v>
      </c>
      <c r="E60" s="10" t="s">
        <v>83</v>
      </c>
      <c r="F60" s="10" t="s">
        <v>84</v>
      </c>
      <c r="G60" s="10" t="s">
        <v>85</v>
      </c>
      <c r="H60" s="10" t="s">
        <v>86</v>
      </c>
      <c r="I60" s="10" t="s">
        <v>87</v>
      </c>
      <c r="J60" s="6" t="s">
        <v>143</v>
      </c>
      <c r="K60" s="12">
        <v>55</v>
      </c>
      <c r="L60" s="10" t="s">
        <v>89</v>
      </c>
      <c r="M60" s="5" t="s">
        <v>265</v>
      </c>
      <c r="N60" s="5" t="s">
        <v>281</v>
      </c>
      <c r="O60" s="5" t="s">
        <v>92</v>
      </c>
      <c r="P60" s="5" t="s">
        <v>145</v>
      </c>
      <c r="Q60" s="10" t="s">
        <v>94</v>
      </c>
      <c r="R60" s="10" t="s">
        <v>94</v>
      </c>
      <c r="S60" s="10" t="s">
        <v>94</v>
      </c>
      <c r="T60" s="10" t="s">
        <v>267</v>
      </c>
      <c r="U60" s="5" t="s">
        <v>268</v>
      </c>
      <c r="V60" s="10" t="s">
        <v>146</v>
      </c>
      <c r="W60" s="10" t="s">
        <v>147</v>
      </c>
      <c r="X60" s="10" t="s">
        <v>148</v>
      </c>
      <c r="Y60" s="10" t="s">
        <v>269</v>
      </c>
      <c r="Z60" s="10" t="s">
        <v>282</v>
      </c>
    </row>
    <row r="61" spans="1:26">
      <c r="A61" s="10" t="s">
        <v>81</v>
      </c>
      <c r="B61" s="10" t="s">
        <v>283</v>
      </c>
      <c r="C61" s="11">
        <v>2887</v>
      </c>
      <c r="D61" s="11">
        <v>4801</v>
      </c>
      <c r="E61" s="10" t="s">
        <v>83</v>
      </c>
      <c r="F61" s="10" t="s">
        <v>84</v>
      </c>
      <c r="G61" s="10" t="s">
        <v>85</v>
      </c>
      <c r="H61" s="10" t="s">
        <v>86</v>
      </c>
      <c r="I61" s="10" t="s">
        <v>87</v>
      </c>
      <c r="J61" s="6" t="s">
        <v>88</v>
      </c>
      <c r="K61" s="12">
        <v>56</v>
      </c>
      <c r="L61" s="10" t="s">
        <v>89</v>
      </c>
      <c r="M61" s="5" t="s">
        <v>284</v>
      </c>
      <c r="N61" s="5" t="s">
        <v>285</v>
      </c>
      <c r="O61" s="5" t="s">
        <v>92</v>
      </c>
      <c r="P61" s="5" t="s">
        <v>93</v>
      </c>
      <c r="Q61" s="10" t="s">
        <v>94</v>
      </c>
      <c r="R61" s="10" t="s">
        <v>94</v>
      </c>
      <c r="S61" s="10" t="s">
        <v>94</v>
      </c>
      <c r="T61" s="10" t="s">
        <v>286</v>
      </c>
      <c r="U61" s="5" t="s">
        <v>287</v>
      </c>
      <c r="V61" s="10" t="s">
        <v>97</v>
      </c>
      <c r="W61" s="10" t="s">
        <v>98</v>
      </c>
      <c r="X61" s="10" t="s">
        <v>99</v>
      </c>
      <c r="Y61" s="10" t="s">
        <v>288</v>
      </c>
      <c r="Z61" s="10" t="s">
        <v>289</v>
      </c>
    </row>
    <row r="62" spans="1:26">
      <c r="A62" s="10" t="s">
        <v>102</v>
      </c>
      <c r="B62" s="10" t="s">
        <v>283</v>
      </c>
      <c r="C62" s="11">
        <v>6661</v>
      </c>
      <c r="D62" s="11">
        <v>2887</v>
      </c>
      <c r="E62" s="10" t="s">
        <v>83</v>
      </c>
      <c r="F62" s="10" t="s">
        <v>84</v>
      </c>
      <c r="G62" s="10" t="s">
        <v>85</v>
      </c>
      <c r="H62" s="10" t="s">
        <v>86</v>
      </c>
      <c r="I62" s="10" t="s">
        <v>87</v>
      </c>
      <c r="J62" s="6" t="s">
        <v>103</v>
      </c>
      <c r="K62" s="12">
        <v>57</v>
      </c>
      <c r="L62" s="10" t="s">
        <v>89</v>
      </c>
      <c r="M62" s="5" t="s">
        <v>284</v>
      </c>
      <c r="N62" s="5" t="s">
        <v>290</v>
      </c>
      <c r="O62" s="5" t="s">
        <v>92</v>
      </c>
      <c r="P62" s="5" t="s">
        <v>105</v>
      </c>
      <c r="Q62" s="10" t="s">
        <v>94</v>
      </c>
      <c r="R62" s="10" t="s">
        <v>94</v>
      </c>
      <c r="S62" s="10" t="s">
        <v>94</v>
      </c>
      <c r="T62" s="10" t="s">
        <v>286</v>
      </c>
      <c r="U62" s="5" t="s">
        <v>287</v>
      </c>
      <c r="V62" s="10" t="s">
        <v>106</v>
      </c>
      <c r="W62" s="10" t="s">
        <v>107</v>
      </c>
      <c r="X62" s="10" t="s">
        <v>108</v>
      </c>
      <c r="Y62" s="10" t="s">
        <v>288</v>
      </c>
      <c r="Z62" s="10" t="s">
        <v>291</v>
      </c>
    </row>
    <row r="63" spans="1:26">
      <c r="A63" s="10" t="s">
        <v>110</v>
      </c>
      <c r="B63" s="10" t="s">
        <v>283</v>
      </c>
      <c r="C63" s="11">
        <v>6651</v>
      </c>
      <c r="D63" s="11">
        <v>6661</v>
      </c>
      <c r="E63" s="10" t="s">
        <v>83</v>
      </c>
      <c r="F63" s="10" t="s">
        <v>84</v>
      </c>
      <c r="G63" s="10" t="s">
        <v>85</v>
      </c>
      <c r="H63" s="10" t="s">
        <v>86</v>
      </c>
      <c r="I63" s="10" t="s">
        <v>87</v>
      </c>
      <c r="J63" s="6" t="s">
        <v>111</v>
      </c>
      <c r="K63" s="12">
        <v>56</v>
      </c>
      <c r="L63" s="10" t="s">
        <v>89</v>
      </c>
      <c r="M63" s="5" t="s">
        <v>284</v>
      </c>
      <c r="N63" s="5" t="s">
        <v>292</v>
      </c>
      <c r="O63" s="5" t="s">
        <v>92</v>
      </c>
      <c r="P63" s="5" t="s">
        <v>113</v>
      </c>
      <c r="Q63" s="10" t="s">
        <v>94</v>
      </c>
      <c r="R63" s="10" t="s">
        <v>94</v>
      </c>
      <c r="S63" s="10" t="s">
        <v>94</v>
      </c>
      <c r="T63" s="10" t="s">
        <v>286</v>
      </c>
      <c r="U63" s="5" t="s">
        <v>293</v>
      </c>
      <c r="V63" s="10" t="s">
        <v>114</v>
      </c>
      <c r="W63" s="10" t="s">
        <v>115</v>
      </c>
      <c r="X63" s="10" t="s">
        <v>116</v>
      </c>
      <c r="Y63" s="10" t="s">
        <v>288</v>
      </c>
      <c r="Z63" s="10" t="s">
        <v>294</v>
      </c>
    </row>
    <row r="64" spans="1:26">
      <c r="A64" s="10" t="s">
        <v>118</v>
      </c>
      <c r="B64" s="10" t="s">
        <v>283</v>
      </c>
      <c r="C64" s="11">
        <v>6201</v>
      </c>
      <c r="D64" s="11">
        <v>6651</v>
      </c>
      <c r="E64" s="10" t="s">
        <v>83</v>
      </c>
      <c r="F64" s="10" t="s">
        <v>84</v>
      </c>
      <c r="G64" s="10" t="s">
        <v>85</v>
      </c>
      <c r="H64" s="10" t="s">
        <v>86</v>
      </c>
      <c r="I64" s="10" t="s">
        <v>87</v>
      </c>
      <c r="J64" s="6" t="s">
        <v>119</v>
      </c>
      <c r="K64" s="12">
        <v>55</v>
      </c>
      <c r="L64" s="10" t="s">
        <v>89</v>
      </c>
      <c r="M64" s="5" t="s">
        <v>284</v>
      </c>
      <c r="N64" s="5" t="s">
        <v>295</v>
      </c>
      <c r="O64" s="5" t="s">
        <v>92</v>
      </c>
      <c r="P64" s="5" t="s">
        <v>121</v>
      </c>
      <c r="Q64" s="10" t="s">
        <v>94</v>
      </c>
      <c r="R64" s="10" t="s">
        <v>94</v>
      </c>
      <c r="S64" s="10" t="s">
        <v>94</v>
      </c>
      <c r="T64" s="10" t="s">
        <v>286</v>
      </c>
      <c r="U64" s="5" t="s">
        <v>293</v>
      </c>
      <c r="V64" s="10" t="s">
        <v>122</v>
      </c>
      <c r="W64" s="10" t="s">
        <v>123</v>
      </c>
      <c r="X64" s="10" t="s">
        <v>124</v>
      </c>
      <c r="Y64" s="10" t="s">
        <v>288</v>
      </c>
      <c r="Z64" s="10" t="s">
        <v>296</v>
      </c>
    </row>
    <row r="65" spans="1:26">
      <c r="A65" s="10" t="s">
        <v>126</v>
      </c>
      <c r="B65" s="10" t="s">
        <v>283</v>
      </c>
      <c r="C65" s="11">
        <v>6700</v>
      </c>
      <c r="D65" s="11">
        <v>6201</v>
      </c>
      <c r="E65" s="10" t="s">
        <v>83</v>
      </c>
      <c r="F65" s="10" t="s">
        <v>84</v>
      </c>
      <c r="G65" s="10" t="s">
        <v>85</v>
      </c>
      <c r="H65" s="10" t="s">
        <v>86</v>
      </c>
      <c r="I65" s="10" t="s">
        <v>87</v>
      </c>
      <c r="J65" s="6" t="s">
        <v>127</v>
      </c>
      <c r="K65" s="12">
        <v>57</v>
      </c>
      <c r="L65" s="10" t="s">
        <v>89</v>
      </c>
      <c r="M65" s="5" t="s">
        <v>284</v>
      </c>
      <c r="N65" s="5" t="s">
        <v>297</v>
      </c>
      <c r="O65" s="5" t="s">
        <v>92</v>
      </c>
      <c r="P65" s="5" t="s">
        <v>129</v>
      </c>
      <c r="Q65" s="10" t="s">
        <v>94</v>
      </c>
      <c r="R65" s="10" t="s">
        <v>94</v>
      </c>
      <c r="S65" s="10" t="s">
        <v>94</v>
      </c>
      <c r="T65" s="10" t="s">
        <v>286</v>
      </c>
      <c r="U65" s="5" t="s">
        <v>293</v>
      </c>
      <c r="V65" s="10" t="s">
        <v>130</v>
      </c>
      <c r="W65" s="10" t="s">
        <v>131</v>
      </c>
      <c r="X65" s="10" t="s">
        <v>132</v>
      </c>
      <c r="Y65" s="10" t="s">
        <v>288</v>
      </c>
      <c r="Z65" s="10" t="s">
        <v>298</v>
      </c>
    </row>
    <row r="66" spans="1:26">
      <c r="A66" s="10" t="s">
        <v>134</v>
      </c>
      <c r="B66" s="10" t="s">
        <v>283</v>
      </c>
      <c r="C66" s="11">
        <v>3885</v>
      </c>
      <c r="D66" s="11">
        <v>6700</v>
      </c>
      <c r="E66" s="10" t="s">
        <v>83</v>
      </c>
      <c r="F66" s="10" t="s">
        <v>84</v>
      </c>
      <c r="G66" s="10" t="s">
        <v>85</v>
      </c>
      <c r="H66" s="10" t="s">
        <v>86</v>
      </c>
      <c r="I66" s="10" t="s">
        <v>87</v>
      </c>
      <c r="J66" s="6" t="s">
        <v>135</v>
      </c>
      <c r="K66" s="12">
        <v>56</v>
      </c>
      <c r="L66" s="10" t="s">
        <v>89</v>
      </c>
      <c r="M66" s="5" t="s">
        <v>284</v>
      </c>
      <c r="N66" s="5" t="s">
        <v>299</v>
      </c>
      <c r="O66" s="5" t="s">
        <v>92</v>
      </c>
      <c r="P66" s="5" t="s">
        <v>137</v>
      </c>
      <c r="Q66" s="10" t="s">
        <v>94</v>
      </c>
      <c r="R66" s="10" t="s">
        <v>94</v>
      </c>
      <c r="S66" s="10" t="s">
        <v>94</v>
      </c>
      <c r="T66" s="10" t="s">
        <v>286</v>
      </c>
      <c r="U66" s="5" t="s">
        <v>293</v>
      </c>
      <c r="V66" s="10" t="s">
        <v>138</v>
      </c>
      <c r="W66" s="10" t="s">
        <v>139</v>
      </c>
      <c r="X66" s="10" t="s">
        <v>140</v>
      </c>
      <c r="Y66" s="10" t="s">
        <v>288</v>
      </c>
      <c r="Z66" s="10" t="s">
        <v>300</v>
      </c>
    </row>
    <row r="67" spans="1:26">
      <c r="A67" s="10" t="s">
        <v>142</v>
      </c>
      <c r="B67" s="10" t="s">
        <v>283</v>
      </c>
      <c r="C67" s="11">
        <v>3900</v>
      </c>
      <c r="D67" s="11">
        <v>3885</v>
      </c>
      <c r="E67" s="10" t="s">
        <v>83</v>
      </c>
      <c r="F67" s="10" t="s">
        <v>84</v>
      </c>
      <c r="G67" s="10" t="s">
        <v>85</v>
      </c>
      <c r="H67" s="10" t="s">
        <v>86</v>
      </c>
      <c r="I67" s="10" t="s">
        <v>87</v>
      </c>
      <c r="J67" s="6" t="s">
        <v>143</v>
      </c>
      <c r="K67" s="12">
        <v>55</v>
      </c>
      <c r="L67" s="10" t="s">
        <v>89</v>
      </c>
      <c r="M67" s="5" t="s">
        <v>284</v>
      </c>
      <c r="N67" s="5" t="s">
        <v>301</v>
      </c>
      <c r="O67" s="5" t="s">
        <v>92</v>
      </c>
      <c r="P67" s="5" t="s">
        <v>145</v>
      </c>
      <c r="Q67" s="10" t="s">
        <v>94</v>
      </c>
      <c r="R67" s="10" t="s">
        <v>94</v>
      </c>
      <c r="S67" s="10" t="s">
        <v>94</v>
      </c>
      <c r="T67" s="10" t="s">
        <v>286</v>
      </c>
      <c r="U67" s="5" t="s">
        <v>293</v>
      </c>
      <c r="V67" s="10" t="s">
        <v>146</v>
      </c>
      <c r="W67" s="10" t="s">
        <v>147</v>
      </c>
      <c r="X67" s="10" t="s">
        <v>148</v>
      </c>
      <c r="Y67" s="10" t="s">
        <v>288</v>
      </c>
      <c r="Z67" s="10" t="s">
        <v>302</v>
      </c>
    </row>
    <row r="68" spans="1:26">
      <c r="A68" s="10" t="s">
        <v>81</v>
      </c>
      <c r="B68" s="10" t="s">
        <v>303</v>
      </c>
      <c r="C68" s="11">
        <v>348</v>
      </c>
      <c r="D68" s="11">
        <v>772</v>
      </c>
      <c r="E68" s="10" t="s">
        <v>83</v>
      </c>
      <c r="F68" s="10" t="s">
        <v>84</v>
      </c>
      <c r="G68" s="10" t="s">
        <v>85</v>
      </c>
      <c r="H68" s="10" t="s">
        <v>86</v>
      </c>
      <c r="I68" s="10" t="s">
        <v>87</v>
      </c>
      <c r="J68" s="6" t="s">
        <v>88</v>
      </c>
      <c r="K68" s="12">
        <v>56</v>
      </c>
      <c r="L68" s="10" t="s">
        <v>89</v>
      </c>
      <c r="M68" s="5" t="s">
        <v>304</v>
      </c>
      <c r="N68" s="5" t="s">
        <v>305</v>
      </c>
      <c r="O68" s="5" t="s">
        <v>92</v>
      </c>
      <c r="P68" s="5" t="s">
        <v>93</v>
      </c>
      <c r="Q68" s="10" t="s">
        <v>94</v>
      </c>
      <c r="R68" s="10" t="s">
        <v>94</v>
      </c>
      <c r="S68" s="10" t="s">
        <v>94</v>
      </c>
      <c r="T68" s="10" t="s">
        <v>306</v>
      </c>
      <c r="U68" s="5" t="s">
        <v>307</v>
      </c>
      <c r="V68" s="10" t="s">
        <v>97</v>
      </c>
      <c r="W68" s="10" t="s">
        <v>98</v>
      </c>
      <c r="X68" s="10" t="s">
        <v>99</v>
      </c>
      <c r="Y68" s="10" t="s">
        <v>308</v>
      </c>
      <c r="Z68" s="10" t="s">
        <v>309</v>
      </c>
    </row>
    <row r="69" spans="1:26">
      <c r="A69" s="10" t="s">
        <v>102</v>
      </c>
      <c r="B69" s="10" t="s">
        <v>303</v>
      </c>
      <c r="C69" s="11">
        <v>934</v>
      </c>
      <c r="D69" s="11">
        <v>348</v>
      </c>
      <c r="E69" s="10" t="s">
        <v>83</v>
      </c>
      <c r="F69" s="10" t="s">
        <v>84</v>
      </c>
      <c r="G69" s="10" t="s">
        <v>85</v>
      </c>
      <c r="H69" s="10" t="s">
        <v>86</v>
      </c>
      <c r="I69" s="10" t="s">
        <v>87</v>
      </c>
      <c r="J69" s="6" t="s">
        <v>103</v>
      </c>
      <c r="K69" s="12">
        <v>57</v>
      </c>
      <c r="L69" s="10" t="s">
        <v>89</v>
      </c>
      <c r="M69" s="5" t="s">
        <v>304</v>
      </c>
      <c r="N69" s="5" t="s">
        <v>310</v>
      </c>
      <c r="O69" s="5" t="s">
        <v>92</v>
      </c>
      <c r="P69" s="5" t="s">
        <v>105</v>
      </c>
      <c r="Q69" s="10" t="s">
        <v>94</v>
      </c>
      <c r="R69" s="10" t="s">
        <v>94</v>
      </c>
      <c r="S69" s="10" t="s">
        <v>94</v>
      </c>
      <c r="T69" s="10" t="s">
        <v>306</v>
      </c>
      <c r="U69" s="5" t="s">
        <v>307</v>
      </c>
      <c r="V69" s="10" t="s">
        <v>106</v>
      </c>
      <c r="W69" s="10" t="s">
        <v>107</v>
      </c>
      <c r="X69" s="10" t="s">
        <v>108</v>
      </c>
      <c r="Y69" s="10" t="s">
        <v>308</v>
      </c>
      <c r="Z69" s="10" t="s">
        <v>311</v>
      </c>
    </row>
    <row r="70" spans="1:26">
      <c r="A70" s="10" t="s">
        <v>110</v>
      </c>
      <c r="B70" s="10" t="s">
        <v>303</v>
      </c>
      <c r="C70" s="11">
        <v>605</v>
      </c>
      <c r="D70" s="11">
        <v>934</v>
      </c>
      <c r="E70" s="10" t="s">
        <v>83</v>
      </c>
      <c r="F70" s="10" t="s">
        <v>84</v>
      </c>
      <c r="G70" s="10" t="s">
        <v>85</v>
      </c>
      <c r="H70" s="10" t="s">
        <v>86</v>
      </c>
      <c r="I70" s="10" t="s">
        <v>87</v>
      </c>
      <c r="J70" s="6" t="s">
        <v>111</v>
      </c>
      <c r="K70" s="12">
        <v>56</v>
      </c>
      <c r="L70" s="10" t="s">
        <v>89</v>
      </c>
      <c r="M70" s="5" t="s">
        <v>304</v>
      </c>
      <c r="N70" s="5" t="s">
        <v>312</v>
      </c>
      <c r="O70" s="5" t="s">
        <v>92</v>
      </c>
      <c r="P70" s="5" t="s">
        <v>113</v>
      </c>
      <c r="Q70" s="10" t="s">
        <v>94</v>
      </c>
      <c r="R70" s="10" t="s">
        <v>94</v>
      </c>
      <c r="S70" s="10" t="s">
        <v>94</v>
      </c>
      <c r="T70" s="10" t="s">
        <v>306</v>
      </c>
      <c r="U70" s="5" t="s">
        <v>307</v>
      </c>
      <c r="V70" s="10" t="s">
        <v>114</v>
      </c>
      <c r="W70" s="10" t="s">
        <v>115</v>
      </c>
      <c r="X70" s="10" t="s">
        <v>116</v>
      </c>
      <c r="Y70" s="10" t="s">
        <v>308</v>
      </c>
      <c r="Z70" s="10" t="s">
        <v>313</v>
      </c>
    </row>
    <row r="71" spans="1:26">
      <c r="A71" s="10" t="s">
        <v>118</v>
      </c>
      <c r="B71" s="10" t="s">
        <v>303</v>
      </c>
      <c r="C71" s="11">
        <v>1131</v>
      </c>
      <c r="D71" s="11">
        <v>605</v>
      </c>
      <c r="E71" s="10" t="s">
        <v>83</v>
      </c>
      <c r="F71" s="10" t="s">
        <v>84</v>
      </c>
      <c r="G71" s="10" t="s">
        <v>85</v>
      </c>
      <c r="H71" s="10" t="s">
        <v>86</v>
      </c>
      <c r="I71" s="10" t="s">
        <v>87</v>
      </c>
      <c r="J71" s="6" t="s">
        <v>119</v>
      </c>
      <c r="K71" s="12">
        <v>55</v>
      </c>
      <c r="L71" s="10" t="s">
        <v>89</v>
      </c>
      <c r="M71" s="5" t="s">
        <v>304</v>
      </c>
      <c r="N71" s="5" t="s">
        <v>314</v>
      </c>
      <c r="O71" s="5" t="s">
        <v>92</v>
      </c>
      <c r="P71" s="5" t="s">
        <v>121</v>
      </c>
      <c r="Q71" s="10" t="s">
        <v>94</v>
      </c>
      <c r="R71" s="10" t="s">
        <v>94</v>
      </c>
      <c r="S71" s="10" t="s">
        <v>94</v>
      </c>
      <c r="T71" s="10" t="s">
        <v>306</v>
      </c>
      <c r="U71" s="5" t="s">
        <v>307</v>
      </c>
      <c r="V71" s="10" t="s">
        <v>122</v>
      </c>
      <c r="W71" s="10" t="s">
        <v>123</v>
      </c>
      <c r="X71" s="10" t="s">
        <v>124</v>
      </c>
      <c r="Y71" s="10" t="s">
        <v>308</v>
      </c>
      <c r="Z71" s="10" t="s">
        <v>315</v>
      </c>
    </row>
    <row r="72" spans="1:26">
      <c r="A72" s="10" t="s">
        <v>126</v>
      </c>
      <c r="B72" s="10" t="s">
        <v>303</v>
      </c>
      <c r="C72" s="11">
        <v>1000</v>
      </c>
      <c r="D72" s="11">
        <v>1131</v>
      </c>
      <c r="E72" s="10" t="s">
        <v>83</v>
      </c>
      <c r="F72" s="10" t="s">
        <v>84</v>
      </c>
      <c r="G72" s="10" t="s">
        <v>85</v>
      </c>
      <c r="H72" s="10" t="s">
        <v>86</v>
      </c>
      <c r="I72" s="10" t="s">
        <v>87</v>
      </c>
      <c r="J72" s="6" t="s">
        <v>127</v>
      </c>
      <c r="K72" s="12">
        <v>57</v>
      </c>
      <c r="L72" s="10" t="s">
        <v>89</v>
      </c>
      <c r="M72" s="5" t="s">
        <v>304</v>
      </c>
      <c r="N72" s="5" t="s">
        <v>316</v>
      </c>
      <c r="O72" s="5" t="s">
        <v>92</v>
      </c>
      <c r="P72" s="5" t="s">
        <v>129</v>
      </c>
      <c r="Q72" s="10" t="s">
        <v>94</v>
      </c>
      <c r="R72" s="10" t="s">
        <v>94</v>
      </c>
      <c r="S72" s="10" t="s">
        <v>94</v>
      </c>
      <c r="T72" s="10" t="s">
        <v>306</v>
      </c>
      <c r="U72" s="5" t="s">
        <v>307</v>
      </c>
      <c r="V72" s="10" t="s">
        <v>130</v>
      </c>
      <c r="W72" s="10" t="s">
        <v>131</v>
      </c>
      <c r="X72" s="10" t="s">
        <v>132</v>
      </c>
      <c r="Y72" s="10" t="s">
        <v>308</v>
      </c>
      <c r="Z72" s="10" t="s">
        <v>317</v>
      </c>
    </row>
    <row r="73" spans="1:26">
      <c r="A73" s="10" t="s">
        <v>134</v>
      </c>
      <c r="B73" s="10" t="s">
        <v>303</v>
      </c>
      <c r="C73" s="11">
        <v>666</v>
      </c>
      <c r="D73" s="11">
        <v>1000</v>
      </c>
      <c r="E73" s="10" t="s">
        <v>83</v>
      </c>
      <c r="F73" s="10" t="s">
        <v>84</v>
      </c>
      <c r="G73" s="10" t="s">
        <v>85</v>
      </c>
      <c r="H73" s="10" t="s">
        <v>86</v>
      </c>
      <c r="I73" s="10" t="s">
        <v>87</v>
      </c>
      <c r="J73" s="6" t="s">
        <v>135</v>
      </c>
      <c r="K73" s="12">
        <v>56</v>
      </c>
      <c r="L73" s="10" t="s">
        <v>89</v>
      </c>
      <c r="M73" s="5" t="s">
        <v>304</v>
      </c>
      <c r="N73" s="5" t="s">
        <v>318</v>
      </c>
      <c r="O73" s="5" t="s">
        <v>92</v>
      </c>
      <c r="P73" s="5" t="s">
        <v>137</v>
      </c>
      <c r="Q73" s="10" t="s">
        <v>94</v>
      </c>
      <c r="R73" s="10" t="s">
        <v>94</v>
      </c>
      <c r="S73" s="10" t="s">
        <v>94</v>
      </c>
      <c r="T73" s="10" t="s">
        <v>306</v>
      </c>
      <c r="U73" s="5" t="s">
        <v>307</v>
      </c>
      <c r="V73" s="10" t="s">
        <v>138</v>
      </c>
      <c r="W73" s="10" t="s">
        <v>139</v>
      </c>
      <c r="X73" s="10" t="s">
        <v>140</v>
      </c>
      <c r="Y73" s="10" t="s">
        <v>308</v>
      </c>
      <c r="Z73" s="10" t="s">
        <v>319</v>
      </c>
    </row>
    <row r="74" spans="1:26">
      <c r="A74" s="10" t="s">
        <v>142</v>
      </c>
      <c r="B74" s="10" t="s">
        <v>303</v>
      </c>
      <c r="C74" s="11">
        <v>792</v>
      </c>
      <c r="D74" s="11">
        <v>666</v>
      </c>
      <c r="E74" s="10" t="s">
        <v>83</v>
      </c>
      <c r="F74" s="10" t="s">
        <v>84</v>
      </c>
      <c r="G74" s="10" t="s">
        <v>85</v>
      </c>
      <c r="H74" s="10" t="s">
        <v>86</v>
      </c>
      <c r="I74" s="10" t="s">
        <v>87</v>
      </c>
      <c r="J74" s="6" t="s">
        <v>143</v>
      </c>
      <c r="K74" s="12">
        <v>55</v>
      </c>
      <c r="L74" s="10" t="s">
        <v>89</v>
      </c>
      <c r="M74" s="5" t="s">
        <v>304</v>
      </c>
      <c r="N74" s="5" t="s">
        <v>320</v>
      </c>
      <c r="O74" s="5" t="s">
        <v>92</v>
      </c>
      <c r="P74" s="5" t="s">
        <v>145</v>
      </c>
      <c r="Q74" s="10" t="s">
        <v>94</v>
      </c>
      <c r="R74" s="10" t="s">
        <v>94</v>
      </c>
      <c r="S74" s="10" t="s">
        <v>94</v>
      </c>
      <c r="T74" s="10" t="s">
        <v>306</v>
      </c>
      <c r="U74" s="5" t="s">
        <v>307</v>
      </c>
      <c r="V74" s="10" t="s">
        <v>146</v>
      </c>
      <c r="W74" s="10" t="s">
        <v>147</v>
      </c>
      <c r="X74" s="10" t="s">
        <v>148</v>
      </c>
      <c r="Y74" s="10" t="s">
        <v>308</v>
      </c>
      <c r="Z74" s="10" t="s">
        <v>321</v>
      </c>
    </row>
    <row r="75" spans="1:26">
      <c r="A75" s="10" t="s">
        <v>81</v>
      </c>
      <c r="B75" s="10" t="s">
        <v>322</v>
      </c>
      <c r="C75" s="11">
        <v>2539</v>
      </c>
      <c r="D75" s="11">
        <v>4029</v>
      </c>
      <c r="E75" s="10" t="s">
        <v>83</v>
      </c>
      <c r="F75" s="10" t="s">
        <v>84</v>
      </c>
      <c r="G75" s="10" t="s">
        <v>85</v>
      </c>
      <c r="H75" s="10" t="s">
        <v>86</v>
      </c>
      <c r="I75" s="10" t="s">
        <v>87</v>
      </c>
      <c r="J75" s="6" t="s">
        <v>88</v>
      </c>
      <c r="K75" s="12">
        <v>56</v>
      </c>
      <c r="L75" s="10" t="s">
        <v>89</v>
      </c>
      <c r="M75" s="5" t="s">
        <v>323</v>
      </c>
      <c r="N75" s="5" t="s">
        <v>324</v>
      </c>
      <c r="O75" s="5" t="s">
        <v>92</v>
      </c>
      <c r="P75" s="5" t="s">
        <v>93</v>
      </c>
      <c r="Q75" s="10" t="s">
        <v>94</v>
      </c>
      <c r="R75" s="10" t="s">
        <v>94</v>
      </c>
      <c r="S75" s="10" t="s">
        <v>94</v>
      </c>
      <c r="T75" s="10" t="s">
        <v>325</v>
      </c>
      <c r="U75" s="5" t="s">
        <v>326</v>
      </c>
      <c r="V75" s="10" t="s">
        <v>97</v>
      </c>
      <c r="W75" s="10" t="s">
        <v>98</v>
      </c>
      <c r="X75" s="10" t="s">
        <v>99</v>
      </c>
      <c r="Y75" s="10" t="s">
        <v>327</v>
      </c>
      <c r="Z75" s="10" t="s">
        <v>328</v>
      </c>
    </row>
    <row r="76" spans="1:26">
      <c r="A76" s="10" t="s">
        <v>102</v>
      </c>
      <c r="B76" s="10" t="s">
        <v>322</v>
      </c>
      <c r="C76" s="11">
        <v>5727</v>
      </c>
      <c r="D76" s="11">
        <v>2539</v>
      </c>
      <c r="E76" s="10" t="s">
        <v>83</v>
      </c>
      <c r="F76" s="10" t="s">
        <v>84</v>
      </c>
      <c r="G76" s="10" t="s">
        <v>85</v>
      </c>
      <c r="H76" s="10" t="s">
        <v>86</v>
      </c>
      <c r="I76" s="10" t="s">
        <v>87</v>
      </c>
      <c r="J76" s="6" t="s">
        <v>103</v>
      </c>
      <c r="K76" s="12">
        <v>57</v>
      </c>
      <c r="L76" s="10" t="s">
        <v>89</v>
      </c>
      <c r="M76" s="5" t="s">
        <v>323</v>
      </c>
      <c r="N76" s="5" t="s">
        <v>329</v>
      </c>
      <c r="O76" s="5" t="s">
        <v>92</v>
      </c>
      <c r="P76" s="5" t="s">
        <v>105</v>
      </c>
      <c r="Q76" s="10" t="s">
        <v>94</v>
      </c>
      <c r="R76" s="10" t="s">
        <v>94</v>
      </c>
      <c r="S76" s="10" t="s">
        <v>94</v>
      </c>
      <c r="T76" s="10" t="s">
        <v>325</v>
      </c>
      <c r="U76" s="5" t="s">
        <v>326</v>
      </c>
      <c r="V76" s="10" t="s">
        <v>106</v>
      </c>
      <c r="W76" s="10" t="s">
        <v>107</v>
      </c>
      <c r="X76" s="10" t="s">
        <v>108</v>
      </c>
      <c r="Y76" s="10" t="s">
        <v>327</v>
      </c>
      <c r="Z76" s="10" t="s">
        <v>330</v>
      </c>
    </row>
    <row r="77" spans="1:26">
      <c r="A77" s="10" t="s">
        <v>110</v>
      </c>
      <c r="B77" s="10" t="s">
        <v>322</v>
      </c>
      <c r="C77" s="11">
        <v>6046</v>
      </c>
      <c r="D77" s="11">
        <v>5727</v>
      </c>
      <c r="E77" s="10" t="s">
        <v>83</v>
      </c>
      <c r="F77" s="10" t="s">
        <v>84</v>
      </c>
      <c r="G77" s="10" t="s">
        <v>85</v>
      </c>
      <c r="H77" s="10" t="s">
        <v>86</v>
      </c>
      <c r="I77" s="10" t="s">
        <v>87</v>
      </c>
      <c r="J77" s="6" t="s">
        <v>111</v>
      </c>
      <c r="K77" s="12">
        <v>56</v>
      </c>
      <c r="L77" s="10" t="s">
        <v>89</v>
      </c>
      <c r="M77" s="5" t="s">
        <v>323</v>
      </c>
      <c r="N77" s="5" t="s">
        <v>331</v>
      </c>
      <c r="O77" s="5" t="s">
        <v>92</v>
      </c>
      <c r="P77" s="5" t="s">
        <v>113</v>
      </c>
      <c r="Q77" s="10" t="s">
        <v>94</v>
      </c>
      <c r="R77" s="10" t="s">
        <v>94</v>
      </c>
      <c r="S77" s="10" t="s">
        <v>94</v>
      </c>
      <c r="T77" s="10" t="s">
        <v>325</v>
      </c>
      <c r="U77" s="5" t="s">
        <v>326</v>
      </c>
      <c r="V77" s="10" t="s">
        <v>114</v>
      </c>
      <c r="W77" s="10" t="s">
        <v>115</v>
      </c>
      <c r="X77" s="10" t="s">
        <v>116</v>
      </c>
      <c r="Y77" s="10" t="s">
        <v>327</v>
      </c>
      <c r="Z77" s="10" t="s">
        <v>332</v>
      </c>
    </row>
    <row r="78" spans="1:26">
      <c r="A78" s="10" t="s">
        <v>118</v>
      </c>
      <c r="B78" s="10" t="s">
        <v>322</v>
      </c>
      <c r="C78" s="11">
        <v>5070</v>
      </c>
      <c r="D78" s="11">
        <v>6046</v>
      </c>
      <c r="E78" s="10" t="s">
        <v>83</v>
      </c>
      <c r="F78" s="10" t="s">
        <v>84</v>
      </c>
      <c r="G78" s="10" t="s">
        <v>85</v>
      </c>
      <c r="H78" s="10" t="s">
        <v>86</v>
      </c>
      <c r="I78" s="10" t="s">
        <v>87</v>
      </c>
      <c r="J78" s="6" t="s">
        <v>119</v>
      </c>
      <c r="K78" s="12">
        <v>55</v>
      </c>
      <c r="L78" s="10" t="s">
        <v>89</v>
      </c>
      <c r="M78" s="5" t="s">
        <v>323</v>
      </c>
      <c r="N78" s="5" t="s">
        <v>333</v>
      </c>
      <c r="O78" s="5" t="s">
        <v>92</v>
      </c>
      <c r="P78" s="5" t="s">
        <v>121</v>
      </c>
      <c r="Q78" s="10" t="s">
        <v>94</v>
      </c>
      <c r="R78" s="10" t="s">
        <v>94</v>
      </c>
      <c r="S78" s="10" t="s">
        <v>94</v>
      </c>
      <c r="T78" s="10" t="s">
        <v>325</v>
      </c>
      <c r="U78" s="5" t="s">
        <v>326</v>
      </c>
      <c r="V78" s="10" t="s">
        <v>122</v>
      </c>
      <c r="W78" s="10" t="s">
        <v>123</v>
      </c>
      <c r="X78" s="10" t="s">
        <v>124</v>
      </c>
      <c r="Y78" s="10" t="s">
        <v>327</v>
      </c>
      <c r="Z78" s="10" t="s">
        <v>334</v>
      </c>
    </row>
    <row r="79" spans="1:26">
      <c r="A79" s="10" t="s">
        <v>126</v>
      </c>
      <c r="B79" s="10" t="s">
        <v>322</v>
      </c>
      <c r="C79" s="11">
        <v>5700</v>
      </c>
      <c r="D79" s="11">
        <v>5070</v>
      </c>
      <c r="E79" s="10" t="s">
        <v>83</v>
      </c>
      <c r="F79" s="10" t="s">
        <v>84</v>
      </c>
      <c r="G79" s="10" t="s">
        <v>85</v>
      </c>
      <c r="H79" s="10" t="s">
        <v>86</v>
      </c>
      <c r="I79" s="10" t="s">
        <v>87</v>
      </c>
      <c r="J79" s="6" t="s">
        <v>127</v>
      </c>
      <c r="K79" s="12">
        <v>57</v>
      </c>
      <c r="L79" s="10" t="s">
        <v>89</v>
      </c>
      <c r="M79" s="5" t="s">
        <v>323</v>
      </c>
      <c r="N79" s="5" t="s">
        <v>335</v>
      </c>
      <c r="O79" s="5" t="s">
        <v>92</v>
      </c>
      <c r="P79" s="5" t="s">
        <v>129</v>
      </c>
      <c r="Q79" s="10" t="s">
        <v>94</v>
      </c>
      <c r="R79" s="10" t="s">
        <v>94</v>
      </c>
      <c r="S79" s="10" t="s">
        <v>94</v>
      </c>
      <c r="T79" s="10" t="s">
        <v>325</v>
      </c>
      <c r="U79" s="5" t="s">
        <v>326</v>
      </c>
      <c r="V79" s="10" t="s">
        <v>130</v>
      </c>
      <c r="W79" s="10" t="s">
        <v>131</v>
      </c>
      <c r="X79" s="10" t="s">
        <v>132</v>
      </c>
      <c r="Y79" s="10" t="s">
        <v>327</v>
      </c>
      <c r="Z79" s="10" t="s">
        <v>336</v>
      </c>
    </row>
    <row r="80" spans="1:26">
      <c r="A80" s="10" t="s">
        <v>134</v>
      </c>
      <c r="B80" s="10" t="s">
        <v>322</v>
      </c>
      <c r="C80" s="11">
        <v>3219</v>
      </c>
      <c r="D80" s="11">
        <v>5700</v>
      </c>
      <c r="E80" s="10" t="s">
        <v>83</v>
      </c>
      <c r="F80" s="10" t="s">
        <v>84</v>
      </c>
      <c r="G80" s="10" t="s">
        <v>85</v>
      </c>
      <c r="H80" s="10" t="s">
        <v>86</v>
      </c>
      <c r="I80" s="10" t="s">
        <v>87</v>
      </c>
      <c r="J80" s="6" t="s">
        <v>135</v>
      </c>
      <c r="K80" s="12">
        <v>56</v>
      </c>
      <c r="L80" s="10" t="s">
        <v>89</v>
      </c>
      <c r="M80" s="5" t="s">
        <v>323</v>
      </c>
      <c r="N80" s="5" t="s">
        <v>337</v>
      </c>
      <c r="O80" s="5" t="s">
        <v>92</v>
      </c>
      <c r="P80" s="5" t="s">
        <v>137</v>
      </c>
      <c r="Q80" s="10" t="s">
        <v>94</v>
      </c>
      <c r="R80" s="10" t="s">
        <v>94</v>
      </c>
      <c r="S80" s="10" t="s">
        <v>94</v>
      </c>
      <c r="T80" s="10" t="s">
        <v>325</v>
      </c>
      <c r="U80" s="5" t="s">
        <v>326</v>
      </c>
      <c r="V80" s="10" t="s">
        <v>138</v>
      </c>
      <c r="W80" s="10" t="s">
        <v>139</v>
      </c>
      <c r="X80" s="10" t="s">
        <v>140</v>
      </c>
      <c r="Y80" s="10" t="s">
        <v>327</v>
      </c>
      <c r="Z80" s="10" t="s">
        <v>338</v>
      </c>
    </row>
    <row r="81" spans="1:26">
      <c r="A81" s="10" t="s">
        <v>142</v>
      </c>
      <c r="B81" s="10" t="s">
        <v>322</v>
      </c>
      <c r="C81" s="11">
        <v>3108</v>
      </c>
      <c r="D81" s="11">
        <v>3219</v>
      </c>
      <c r="E81" s="10" t="s">
        <v>83</v>
      </c>
      <c r="F81" s="10" t="s">
        <v>84</v>
      </c>
      <c r="G81" s="10" t="s">
        <v>85</v>
      </c>
      <c r="H81" s="10" t="s">
        <v>86</v>
      </c>
      <c r="I81" s="10" t="s">
        <v>87</v>
      </c>
      <c r="J81" s="6" t="s">
        <v>143</v>
      </c>
      <c r="K81" s="12">
        <v>55</v>
      </c>
      <c r="L81" s="10" t="s">
        <v>89</v>
      </c>
      <c r="M81" s="5" t="s">
        <v>323</v>
      </c>
      <c r="N81" s="5" t="s">
        <v>339</v>
      </c>
      <c r="O81" s="5" t="s">
        <v>92</v>
      </c>
      <c r="P81" s="5" t="s">
        <v>145</v>
      </c>
      <c r="Q81" s="10" t="s">
        <v>94</v>
      </c>
      <c r="R81" s="10" t="s">
        <v>94</v>
      </c>
      <c r="S81" s="10" t="s">
        <v>94</v>
      </c>
      <c r="T81" s="10" t="s">
        <v>325</v>
      </c>
      <c r="U81" s="5" t="s">
        <v>326</v>
      </c>
      <c r="V81" s="10" t="s">
        <v>146</v>
      </c>
      <c r="W81" s="10" t="s">
        <v>147</v>
      </c>
      <c r="X81" s="10" t="s">
        <v>148</v>
      </c>
      <c r="Y81" s="10" t="s">
        <v>327</v>
      </c>
      <c r="Z81" s="10" t="s">
        <v>340</v>
      </c>
    </row>
    <row r="82" spans="1:26">
      <c r="A82" s="10" t="s">
        <v>81</v>
      </c>
      <c r="B82" s="10" t="s">
        <v>341</v>
      </c>
      <c r="C82" s="11">
        <v>7367</v>
      </c>
      <c r="D82" s="11">
        <v>5622</v>
      </c>
      <c r="E82" s="10" t="s">
        <v>83</v>
      </c>
      <c r="F82" s="10" t="s">
        <v>84</v>
      </c>
      <c r="G82" s="10" t="s">
        <v>85</v>
      </c>
      <c r="H82" s="10" t="s">
        <v>86</v>
      </c>
      <c r="I82" s="10" t="s">
        <v>87</v>
      </c>
      <c r="J82" s="6" t="s">
        <v>88</v>
      </c>
      <c r="K82" s="12">
        <v>58</v>
      </c>
      <c r="L82" s="10" t="s">
        <v>342</v>
      </c>
      <c r="M82" s="5" t="s">
        <v>343</v>
      </c>
      <c r="N82" s="5" t="s">
        <v>344</v>
      </c>
      <c r="O82" s="5" t="s">
        <v>92</v>
      </c>
      <c r="P82" s="5" t="s">
        <v>345</v>
      </c>
      <c r="Q82" s="10" t="s">
        <v>94</v>
      </c>
      <c r="R82" s="10" t="s">
        <v>94</v>
      </c>
      <c r="S82" s="10" t="s">
        <v>94</v>
      </c>
      <c r="T82" s="10" t="s">
        <v>346</v>
      </c>
      <c r="U82" s="5" t="s">
        <v>347</v>
      </c>
      <c r="V82" s="10" t="s">
        <v>348</v>
      </c>
      <c r="W82" s="10" t="s">
        <v>98</v>
      </c>
      <c r="X82" s="10" t="s">
        <v>99</v>
      </c>
      <c r="Y82" s="10" t="s">
        <v>349</v>
      </c>
      <c r="Z82" s="10" t="s">
        <v>350</v>
      </c>
    </row>
    <row r="83" spans="1:26">
      <c r="A83" s="10" t="s">
        <v>102</v>
      </c>
      <c r="B83" s="10" t="s">
        <v>341</v>
      </c>
      <c r="C83" s="11">
        <v>6854</v>
      </c>
      <c r="D83" s="11">
        <v>7367</v>
      </c>
      <c r="E83" s="10" t="s">
        <v>83</v>
      </c>
      <c r="F83" s="10" t="s">
        <v>84</v>
      </c>
      <c r="G83" s="10" t="s">
        <v>85</v>
      </c>
      <c r="H83" s="10" t="s">
        <v>86</v>
      </c>
      <c r="I83" s="10" t="s">
        <v>87</v>
      </c>
      <c r="J83" s="6" t="s">
        <v>103</v>
      </c>
      <c r="K83" s="12">
        <v>59</v>
      </c>
      <c r="L83" s="10" t="s">
        <v>342</v>
      </c>
      <c r="M83" s="5" t="s">
        <v>343</v>
      </c>
      <c r="N83" s="5" t="s">
        <v>351</v>
      </c>
      <c r="O83" s="5" t="s">
        <v>92</v>
      </c>
      <c r="P83" s="5" t="s">
        <v>352</v>
      </c>
      <c r="Q83" s="10" t="s">
        <v>94</v>
      </c>
      <c r="R83" s="10" t="s">
        <v>94</v>
      </c>
      <c r="S83" s="10" t="s">
        <v>94</v>
      </c>
      <c r="T83" s="10" t="s">
        <v>346</v>
      </c>
      <c r="U83" s="5" t="s">
        <v>347</v>
      </c>
      <c r="V83" s="10" t="s">
        <v>353</v>
      </c>
      <c r="W83" s="10" t="s">
        <v>107</v>
      </c>
      <c r="X83" s="10" t="s">
        <v>108</v>
      </c>
      <c r="Y83" s="10" t="s">
        <v>349</v>
      </c>
      <c r="Z83" s="10" t="s">
        <v>354</v>
      </c>
    </row>
    <row r="84" spans="1:26">
      <c r="A84" s="10" t="s">
        <v>110</v>
      </c>
      <c r="B84" s="10" t="s">
        <v>341</v>
      </c>
      <c r="C84" s="11">
        <v>8420</v>
      </c>
      <c r="D84" s="11">
        <v>6854</v>
      </c>
      <c r="E84" s="10" t="s">
        <v>83</v>
      </c>
      <c r="F84" s="10" t="s">
        <v>84</v>
      </c>
      <c r="G84" s="10" t="s">
        <v>85</v>
      </c>
      <c r="H84" s="10" t="s">
        <v>86</v>
      </c>
      <c r="I84" s="10" t="s">
        <v>87</v>
      </c>
      <c r="J84" s="6" t="s">
        <v>111</v>
      </c>
      <c r="K84" s="12">
        <v>58</v>
      </c>
      <c r="L84" s="10" t="s">
        <v>342</v>
      </c>
      <c r="M84" s="5" t="s">
        <v>343</v>
      </c>
      <c r="N84" s="5" t="s">
        <v>355</v>
      </c>
      <c r="O84" s="5" t="s">
        <v>92</v>
      </c>
      <c r="P84" s="5" t="s">
        <v>356</v>
      </c>
      <c r="Q84" s="10" t="s">
        <v>94</v>
      </c>
      <c r="R84" s="10" t="s">
        <v>94</v>
      </c>
      <c r="S84" s="10" t="s">
        <v>94</v>
      </c>
      <c r="T84" s="10" t="s">
        <v>346</v>
      </c>
      <c r="U84" s="5" t="s">
        <v>347</v>
      </c>
      <c r="V84" s="10" t="s">
        <v>357</v>
      </c>
      <c r="W84" s="10" t="s">
        <v>115</v>
      </c>
      <c r="X84" s="10" t="s">
        <v>116</v>
      </c>
      <c r="Y84" s="10" t="s">
        <v>349</v>
      </c>
      <c r="Z84" s="10" t="s">
        <v>358</v>
      </c>
    </row>
    <row r="85" spans="1:26">
      <c r="A85" s="10" t="s">
        <v>118</v>
      </c>
      <c r="B85" s="10" t="s">
        <v>341</v>
      </c>
      <c r="C85" s="11">
        <v>8454</v>
      </c>
      <c r="D85" s="11">
        <v>8420</v>
      </c>
      <c r="E85" s="10" t="s">
        <v>83</v>
      </c>
      <c r="F85" s="10" t="s">
        <v>84</v>
      </c>
      <c r="G85" s="10" t="s">
        <v>85</v>
      </c>
      <c r="H85" s="10" t="s">
        <v>86</v>
      </c>
      <c r="I85" s="10" t="s">
        <v>87</v>
      </c>
      <c r="J85" s="6" t="s">
        <v>119</v>
      </c>
      <c r="K85" s="12">
        <v>57</v>
      </c>
      <c r="L85" s="10" t="s">
        <v>342</v>
      </c>
      <c r="M85" s="5" t="s">
        <v>343</v>
      </c>
      <c r="N85" s="5" t="s">
        <v>359</v>
      </c>
      <c r="O85" s="5" t="s">
        <v>92</v>
      </c>
      <c r="P85" s="5" t="s">
        <v>121</v>
      </c>
      <c r="Q85" s="10" t="s">
        <v>94</v>
      </c>
      <c r="R85" s="10" t="s">
        <v>94</v>
      </c>
      <c r="S85" s="10" t="s">
        <v>94</v>
      </c>
      <c r="T85" s="10" t="s">
        <v>346</v>
      </c>
      <c r="U85" s="5" t="s">
        <v>347</v>
      </c>
      <c r="V85" s="10" t="s">
        <v>360</v>
      </c>
      <c r="W85" s="10" t="s">
        <v>123</v>
      </c>
      <c r="X85" s="10" t="s">
        <v>124</v>
      </c>
      <c r="Y85" s="10" t="s">
        <v>349</v>
      </c>
      <c r="Z85" s="10" t="s">
        <v>361</v>
      </c>
    </row>
    <row r="86" spans="1:26">
      <c r="A86" s="10" t="s">
        <v>126</v>
      </c>
      <c r="B86" s="10" t="s">
        <v>341</v>
      </c>
      <c r="C86" s="11">
        <v>7519</v>
      </c>
      <c r="D86" s="11">
        <v>8454</v>
      </c>
      <c r="E86" s="10" t="s">
        <v>83</v>
      </c>
      <c r="F86" s="10" t="s">
        <v>84</v>
      </c>
      <c r="G86" s="10" t="s">
        <v>85</v>
      </c>
      <c r="H86" s="10" t="s">
        <v>86</v>
      </c>
      <c r="I86" s="10" t="s">
        <v>87</v>
      </c>
      <c r="J86" s="6" t="s">
        <v>127</v>
      </c>
      <c r="K86" s="12">
        <v>59</v>
      </c>
      <c r="L86" s="10" t="s">
        <v>342</v>
      </c>
      <c r="M86" s="5" t="s">
        <v>343</v>
      </c>
      <c r="N86" s="5" t="s">
        <v>362</v>
      </c>
      <c r="O86" s="5" t="s">
        <v>92</v>
      </c>
      <c r="P86" s="5" t="s">
        <v>129</v>
      </c>
      <c r="Q86" s="10" t="s">
        <v>94</v>
      </c>
      <c r="R86" s="10" t="s">
        <v>94</v>
      </c>
      <c r="S86" s="10" t="s">
        <v>94</v>
      </c>
      <c r="T86" s="10" t="s">
        <v>346</v>
      </c>
      <c r="U86" s="5" t="s">
        <v>347</v>
      </c>
      <c r="V86" s="10" t="s">
        <v>363</v>
      </c>
      <c r="W86" s="10" t="s">
        <v>131</v>
      </c>
      <c r="X86" s="10" t="s">
        <v>132</v>
      </c>
      <c r="Y86" s="10" t="s">
        <v>349</v>
      </c>
      <c r="Z86" s="10" t="s">
        <v>364</v>
      </c>
    </row>
    <row r="87" spans="1:26">
      <c r="A87" s="10" t="s">
        <v>134</v>
      </c>
      <c r="B87" s="10" t="s">
        <v>341</v>
      </c>
      <c r="C87" s="11">
        <v>7489</v>
      </c>
      <c r="D87" s="11">
        <v>7519</v>
      </c>
      <c r="E87" s="10" t="s">
        <v>83</v>
      </c>
      <c r="F87" s="10" t="s">
        <v>84</v>
      </c>
      <c r="G87" s="10" t="s">
        <v>85</v>
      </c>
      <c r="H87" s="10" t="s">
        <v>86</v>
      </c>
      <c r="I87" s="10" t="s">
        <v>87</v>
      </c>
      <c r="J87" s="6" t="s">
        <v>135</v>
      </c>
      <c r="K87" s="12">
        <v>58</v>
      </c>
      <c r="L87" s="10" t="s">
        <v>342</v>
      </c>
      <c r="M87" s="5" t="s">
        <v>343</v>
      </c>
      <c r="N87" s="5" t="s">
        <v>365</v>
      </c>
      <c r="O87" s="5" t="s">
        <v>92</v>
      </c>
      <c r="P87" s="5" t="s">
        <v>137</v>
      </c>
      <c r="Q87" s="10" t="s">
        <v>94</v>
      </c>
      <c r="R87" s="10" t="s">
        <v>94</v>
      </c>
      <c r="S87" s="10" t="s">
        <v>94</v>
      </c>
      <c r="T87" s="10" t="s">
        <v>346</v>
      </c>
      <c r="U87" s="5" t="s">
        <v>347</v>
      </c>
      <c r="V87" s="10" t="s">
        <v>366</v>
      </c>
      <c r="W87" s="10" t="s">
        <v>139</v>
      </c>
      <c r="X87" s="10" t="s">
        <v>140</v>
      </c>
      <c r="Y87" s="10" t="s">
        <v>349</v>
      </c>
      <c r="Z87" s="10" t="s">
        <v>367</v>
      </c>
    </row>
    <row r="88" spans="1:26">
      <c r="A88" s="10" t="s">
        <v>142</v>
      </c>
      <c r="B88" s="10" t="s">
        <v>341</v>
      </c>
      <c r="C88" s="11">
        <v>7501</v>
      </c>
      <c r="D88" s="11">
        <v>7489</v>
      </c>
      <c r="E88" s="10" t="s">
        <v>83</v>
      </c>
      <c r="F88" s="10" t="s">
        <v>84</v>
      </c>
      <c r="G88" s="10" t="s">
        <v>85</v>
      </c>
      <c r="H88" s="10" t="s">
        <v>86</v>
      </c>
      <c r="I88" s="10" t="s">
        <v>87</v>
      </c>
      <c r="J88" s="6" t="s">
        <v>143</v>
      </c>
      <c r="K88" s="12">
        <v>57</v>
      </c>
      <c r="L88" s="10" t="s">
        <v>342</v>
      </c>
      <c r="M88" s="5" t="s">
        <v>343</v>
      </c>
      <c r="N88" s="5" t="s">
        <v>368</v>
      </c>
      <c r="O88" s="5" t="s">
        <v>92</v>
      </c>
      <c r="P88" s="5" t="s">
        <v>145</v>
      </c>
      <c r="Q88" s="10" t="s">
        <v>94</v>
      </c>
      <c r="R88" s="10" t="s">
        <v>94</v>
      </c>
      <c r="S88" s="10" t="s">
        <v>94</v>
      </c>
      <c r="T88" s="10" t="s">
        <v>346</v>
      </c>
      <c r="U88" s="5" t="s">
        <v>347</v>
      </c>
      <c r="V88" s="10" t="s">
        <v>369</v>
      </c>
      <c r="W88" s="10" t="s">
        <v>147</v>
      </c>
      <c r="X88" s="10" t="s">
        <v>148</v>
      </c>
      <c r="Y88" s="10" t="s">
        <v>349</v>
      </c>
      <c r="Z88" s="10" t="s">
        <v>370</v>
      </c>
    </row>
    <row r="89" spans="1:26">
      <c r="A89" s="10" t="s">
        <v>81</v>
      </c>
      <c r="B89" s="10" t="s">
        <v>371</v>
      </c>
      <c r="C89" s="11">
        <v>2976</v>
      </c>
      <c r="D89" s="11">
        <v>4850</v>
      </c>
      <c r="E89" s="10" t="s">
        <v>83</v>
      </c>
      <c r="F89" s="10" t="s">
        <v>84</v>
      </c>
      <c r="G89" s="10" t="s">
        <v>85</v>
      </c>
      <c r="H89" s="10" t="s">
        <v>372</v>
      </c>
      <c r="I89" s="10" t="s">
        <v>87</v>
      </c>
      <c r="J89" s="6" t="s">
        <v>88</v>
      </c>
      <c r="K89" s="12">
        <v>35</v>
      </c>
      <c r="L89" s="10" t="s">
        <v>373</v>
      </c>
      <c r="M89" s="5" t="s">
        <v>374</v>
      </c>
      <c r="N89" s="5" t="s">
        <v>375</v>
      </c>
      <c r="O89" s="5" t="s">
        <v>376</v>
      </c>
      <c r="P89" s="5" t="s">
        <v>345</v>
      </c>
      <c r="Q89" s="10" t="s">
        <v>94</v>
      </c>
      <c r="R89" s="10" t="s">
        <v>94</v>
      </c>
      <c r="S89" s="10" t="s">
        <v>94</v>
      </c>
      <c r="T89" s="10" t="s">
        <v>377</v>
      </c>
      <c r="U89" s="5" t="s">
        <v>378</v>
      </c>
      <c r="V89" s="10" t="s">
        <v>97</v>
      </c>
      <c r="W89" s="10" t="s">
        <v>98</v>
      </c>
      <c r="X89" s="10" t="s">
        <v>99</v>
      </c>
      <c r="Y89" s="10" t="s">
        <v>379</v>
      </c>
      <c r="Z89" s="10" t="s">
        <v>380</v>
      </c>
    </row>
    <row r="90" spans="1:26">
      <c r="A90" s="10" t="s">
        <v>102</v>
      </c>
      <c r="B90" s="10" t="s">
        <v>371</v>
      </c>
      <c r="C90" s="11">
        <v>6923</v>
      </c>
      <c r="D90" s="11">
        <v>2976</v>
      </c>
      <c r="E90" s="10" t="s">
        <v>83</v>
      </c>
      <c r="F90" s="10" t="s">
        <v>84</v>
      </c>
      <c r="G90" s="10" t="s">
        <v>85</v>
      </c>
      <c r="H90" s="10" t="s">
        <v>372</v>
      </c>
      <c r="I90" s="10" t="s">
        <v>87</v>
      </c>
      <c r="J90" s="6" t="s">
        <v>103</v>
      </c>
      <c r="K90" s="12">
        <v>36</v>
      </c>
      <c r="L90" s="10" t="s">
        <v>373</v>
      </c>
      <c r="M90" s="5" t="s">
        <v>374</v>
      </c>
      <c r="N90" s="5" t="s">
        <v>381</v>
      </c>
      <c r="O90" s="5" t="s">
        <v>376</v>
      </c>
      <c r="P90" s="5" t="s">
        <v>352</v>
      </c>
      <c r="Q90" s="10" t="s">
        <v>94</v>
      </c>
      <c r="R90" s="10" t="s">
        <v>94</v>
      </c>
      <c r="S90" s="10" t="s">
        <v>94</v>
      </c>
      <c r="T90" s="10" t="s">
        <v>377</v>
      </c>
      <c r="U90" s="5" t="s">
        <v>378</v>
      </c>
      <c r="V90" s="10" t="s">
        <v>106</v>
      </c>
      <c r="W90" s="10" t="s">
        <v>107</v>
      </c>
      <c r="X90" s="10" t="s">
        <v>108</v>
      </c>
      <c r="Y90" s="10" t="s">
        <v>379</v>
      </c>
      <c r="Z90" s="10" t="s">
        <v>382</v>
      </c>
    </row>
    <row r="91" spans="1:26">
      <c r="A91" s="10" t="s">
        <v>110</v>
      </c>
      <c r="B91" s="10" t="s">
        <v>371</v>
      </c>
      <c r="C91" s="11">
        <v>6856</v>
      </c>
      <c r="D91" s="11">
        <v>6923</v>
      </c>
      <c r="E91" s="10" t="s">
        <v>83</v>
      </c>
      <c r="F91" s="10" t="s">
        <v>84</v>
      </c>
      <c r="G91" s="10" t="s">
        <v>85</v>
      </c>
      <c r="H91" s="10" t="s">
        <v>372</v>
      </c>
      <c r="I91" s="10" t="s">
        <v>87</v>
      </c>
      <c r="J91" s="6" t="s">
        <v>111</v>
      </c>
      <c r="K91" s="12">
        <v>36</v>
      </c>
      <c r="L91" s="10" t="s">
        <v>373</v>
      </c>
      <c r="M91" s="5" t="s">
        <v>374</v>
      </c>
      <c r="N91" s="5" t="s">
        <v>383</v>
      </c>
      <c r="O91" s="5" t="s">
        <v>376</v>
      </c>
      <c r="P91" s="5" t="s">
        <v>356</v>
      </c>
      <c r="Q91" s="10" t="s">
        <v>94</v>
      </c>
      <c r="R91" s="10" t="s">
        <v>94</v>
      </c>
      <c r="S91" s="10" t="s">
        <v>94</v>
      </c>
      <c r="T91" s="10" t="s">
        <v>377</v>
      </c>
      <c r="U91" s="5" t="s">
        <v>378</v>
      </c>
      <c r="V91" s="10" t="s">
        <v>114</v>
      </c>
      <c r="W91" s="10" t="s">
        <v>115</v>
      </c>
      <c r="X91" s="10" t="s">
        <v>116</v>
      </c>
      <c r="Y91" s="10" t="s">
        <v>379</v>
      </c>
      <c r="Z91" s="10" t="s">
        <v>384</v>
      </c>
    </row>
    <row r="92" spans="1:26">
      <c r="A92" s="10" t="s">
        <v>118</v>
      </c>
      <c r="B92" s="10" t="s">
        <v>371</v>
      </c>
      <c r="C92" s="11">
        <v>6195</v>
      </c>
      <c r="D92" s="11">
        <v>6856</v>
      </c>
      <c r="E92" s="10" t="s">
        <v>83</v>
      </c>
      <c r="F92" s="10" t="s">
        <v>84</v>
      </c>
      <c r="G92" s="10" t="s">
        <v>85</v>
      </c>
      <c r="H92" s="10" t="s">
        <v>372</v>
      </c>
      <c r="I92" s="10" t="s">
        <v>87</v>
      </c>
      <c r="J92" s="6" t="s">
        <v>119</v>
      </c>
      <c r="K92" s="12">
        <v>36</v>
      </c>
      <c r="L92" s="10" t="s">
        <v>373</v>
      </c>
      <c r="M92" s="5" t="s">
        <v>374</v>
      </c>
      <c r="N92" s="5" t="s">
        <v>385</v>
      </c>
      <c r="O92" s="5" t="s">
        <v>376</v>
      </c>
      <c r="P92" s="5" t="s">
        <v>386</v>
      </c>
      <c r="Q92" s="10" t="s">
        <v>94</v>
      </c>
      <c r="R92" s="10" t="s">
        <v>94</v>
      </c>
      <c r="S92" s="10" t="s">
        <v>94</v>
      </c>
      <c r="T92" s="10" t="s">
        <v>377</v>
      </c>
      <c r="U92" s="5" t="s">
        <v>378</v>
      </c>
      <c r="V92" s="10" t="s">
        <v>122</v>
      </c>
      <c r="W92" s="10" t="s">
        <v>123</v>
      </c>
      <c r="X92" s="10" t="s">
        <v>124</v>
      </c>
      <c r="Y92" s="10" t="s">
        <v>379</v>
      </c>
      <c r="Z92" s="10" t="s">
        <v>387</v>
      </c>
    </row>
    <row r="93" spans="1:26">
      <c r="A93" s="10" t="s">
        <v>126</v>
      </c>
      <c r="B93" s="10" t="s">
        <v>371</v>
      </c>
      <c r="C93" s="11">
        <v>6539</v>
      </c>
      <c r="D93" s="11">
        <v>6195</v>
      </c>
      <c r="E93" s="10" t="s">
        <v>83</v>
      </c>
      <c r="F93" s="10" t="s">
        <v>84</v>
      </c>
      <c r="G93" s="10" t="s">
        <v>85</v>
      </c>
      <c r="H93" s="10" t="s">
        <v>372</v>
      </c>
      <c r="I93" s="10" t="s">
        <v>87</v>
      </c>
      <c r="J93" s="6" t="s">
        <v>127</v>
      </c>
      <c r="K93" s="12">
        <v>38</v>
      </c>
      <c r="L93" s="10" t="s">
        <v>373</v>
      </c>
      <c r="M93" s="5" t="s">
        <v>374</v>
      </c>
      <c r="N93" s="5" t="s">
        <v>388</v>
      </c>
      <c r="O93" s="5" t="s">
        <v>376</v>
      </c>
      <c r="P93" s="5" t="s">
        <v>389</v>
      </c>
      <c r="Q93" s="10" t="s">
        <v>94</v>
      </c>
      <c r="R93" s="10" t="s">
        <v>94</v>
      </c>
      <c r="S93" s="10" t="s">
        <v>94</v>
      </c>
      <c r="T93" s="10" t="s">
        <v>377</v>
      </c>
      <c r="U93" s="5" t="s">
        <v>378</v>
      </c>
      <c r="V93" s="10" t="s">
        <v>130</v>
      </c>
      <c r="W93" s="10" t="s">
        <v>131</v>
      </c>
      <c r="X93" s="10" t="s">
        <v>132</v>
      </c>
      <c r="Y93" s="10" t="s">
        <v>379</v>
      </c>
      <c r="Z93" s="10" t="s">
        <v>390</v>
      </c>
    </row>
    <row r="94" spans="1:26">
      <c r="A94" s="10" t="s">
        <v>134</v>
      </c>
      <c r="B94" s="10" t="s">
        <v>371</v>
      </c>
      <c r="C94" s="11">
        <v>3778</v>
      </c>
      <c r="D94" s="11">
        <v>6539</v>
      </c>
      <c r="E94" s="10" t="s">
        <v>83</v>
      </c>
      <c r="F94" s="10" t="s">
        <v>84</v>
      </c>
      <c r="G94" s="10" t="s">
        <v>85</v>
      </c>
      <c r="H94" s="10" t="s">
        <v>372</v>
      </c>
      <c r="I94" s="10" t="s">
        <v>87</v>
      </c>
      <c r="J94" s="6" t="s">
        <v>135</v>
      </c>
      <c r="K94" s="12">
        <v>37</v>
      </c>
      <c r="L94" s="10" t="s">
        <v>373</v>
      </c>
      <c r="M94" s="5" t="s">
        <v>374</v>
      </c>
      <c r="N94" s="5" t="s">
        <v>391</v>
      </c>
      <c r="O94" s="5" t="s">
        <v>376</v>
      </c>
      <c r="P94" s="5" t="s">
        <v>137</v>
      </c>
      <c r="Q94" s="10" t="s">
        <v>94</v>
      </c>
      <c r="R94" s="10" t="s">
        <v>94</v>
      </c>
      <c r="S94" s="10" t="s">
        <v>94</v>
      </c>
      <c r="T94" s="10" t="s">
        <v>377</v>
      </c>
      <c r="U94" s="5" t="s">
        <v>378</v>
      </c>
      <c r="V94" s="10" t="s">
        <v>138</v>
      </c>
      <c r="W94" s="10" t="s">
        <v>139</v>
      </c>
      <c r="X94" s="10" t="s">
        <v>140</v>
      </c>
      <c r="Y94" s="10" t="s">
        <v>379</v>
      </c>
      <c r="Z94" s="10" t="s">
        <v>392</v>
      </c>
    </row>
    <row r="95" spans="1:26">
      <c r="A95" s="10" t="s">
        <v>142</v>
      </c>
      <c r="B95" s="10" t="s">
        <v>371</v>
      </c>
      <c r="C95" s="11">
        <v>3850</v>
      </c>
      <c r="D95" s="11">
        <v>3778</v>
      </c>
      <c r="E95" s="10" t="s">
        <v>83</v>
      </c>
      <c r="F95" s="10" t="s">
        <v>84</v>
      </c>
      <c r="G95" s="10" t="s">
        <v>85</v>
      </c>
      <c r="H95" s="10" t="s">
        <v>372</v>
      </c>
      <c r="I95" s="10" t="s">
        <v>87</v>
      </c>
      <c r="J95" s="6" t="s">
        <v>143</v>
      </c>
      <c r="K95" s="12">
        <v>36</v>
      </c>
      <c r="L95" s="10" t="s">
        <v>373</v>
      </c>
      <c r="M95" s="5" t="s">
        <v>374</v>
      </c>
      <c r="N95" s="5" t="s">
        <v>393</v>
      </c>
      <c r="O95" s="5" t="s">
        <v>376</v>
      </c>
      <c r="P95" s="5" t="s">
        <v>145</v>
      </c>
      <c r="Q95" s="10" t="s">
        <v>94</v>
      </c>
      <c r="R95" s="10" t="s">
        <v>94</v>
      </c>
      <c r="S95" s="10" t="s">
        <v>94</v>
      </c>
      <c r="T95" s="10" t="s">
        <v>377</v>
      </c>
      <c r="U95" s="5" t="s">
        <v>378</v>
      </c>
      <c r="V95" s="10" t="s">
        <v>146</v>
      </c>
      <c r="W95" s="10" t="s">
        <v>147</v>
      </c>
      <c r="X95" s="10" t="s">
        <v>148</v>
      </c>
      <c r="Y95" s="10" t="s">
        <v>379</v>
      </c>
      <c r="Z95" s="10" t="s">
        <v>394</v>
      </c>
    </row>
    <row r="96" spans="1:26">
      <c r="A96" s="10" t="s">
        <v>81</v>
      </c>
      <c r="B96" s="10" t="s">
        <v>395</v>
      </c>
      <c r="C96" s="13">
        <v>-0.04</v>
      </c>
      <c r="D96" s="13"/>
      <c r="E96" s="10" t="s">
        <v>396</v>
      </c>
      <c r="F96" s="10" t="s">
        <v>84</v>
      </c>
      <c r="G96" s="10" t="s">
        <v>85</v>
      </c>
      <c r="H96" s="10" t="s">
        <v>397</v>
      </c>
      <c r="I96" s="10" t="s">
        <v>87</v>
      </c>
      <c r="J96" s="6" t="s">
        <v>88</v>
      </c>
      <c r="K96" s="12">
        <v>31</v>
      </c>
      <c r="L96" s="10" t="s">
        <v>373</v>
      </c>
      <c r="M96" s="5" t="s">
        <v>398</v>
      </c>
      <c r="N96" s="5" t="s">
        <v>399</v>
      </c>
      <c r="O96" s="5" t="s">
        <v>400</v>
      </c>
      <c r="P96" s="5" t="s">
        <v>401</v>
      </c>
      <c r="Q96" s="10" t="s">
        <v>94</v>
      </c>
      <c r="R96" s="10" t="s">
        <v>94</v>
      </c>
      <c r="S96" s="10" t="s">
        <v>94</v>
      </c>
      <c r="T96" s="10" t="s">
        <v>402</v>
      </c>
      <c r="U96" s="5" t="s">
        <v>378</v>
      </c>
      <c r="V96" s="10" t="s">
        <v>97</v>
      </c>
      <c r="W96" s="10" t="s">
        <v>98</v>
      </c>
      <c r="X96" s="10" t="s">
        <v>99</v>
      </c>
      <c r="Y96" s="10" t="s">
        <v>403</v>
      </c>
      <c r="Z96" s="10" t="s">
        <v>404</v>
      </c>
    </row>
    <row r="97" spans="1:26">
      <c r="A97" s="10" t="s">
        <v>102</v>
      </c>
      <c r="B97" s="10" t="s">
        <v>395</v>
      </c>
      <c r="C97" s="13">
        <v>0.19</v>
      </c>
      <c r="D97" s="13"/>
      <c r="E97" s="10" t="s">
        <v>396</v>
      </c>
      <c r="F97" s="10" t="s">
        <v>84</v>
      </c>
      <c r="G97" s="10" t="s">
        <v>85</v>
      </c>
      <c r="H97" s="10" t="s">
        <v>397</v>
      </c>
      <c r="I97" s="10" t="s">
        <v>87</v>
      </c>
      <c r="J97" s="6" t="s">
        <v>103</v>
      </c>
      <c r="K97" s="12">
        <v>32</v>
      </c>
      <c r="L97" s="10" t="s">
        <v>373</v>
      </c>
      <c r="M97" s="5" t="s">
        <v>398</v>
      </c>
      <c r="N97" s="5" t="s">
        <v>405</v>
      </c>
      <c r="O97" s="5" t="s">
        <v>406</v>
      </c>
      <c r="P97" s="5" t="s">
        <v>401</v>
      </c>
      <c r="Q97" s="10" t="s">
        <v>94</v>
      </c>
      <c r="R97" s="10" t="s">
        <v>94</v>
      </c>
      <c r="S97" s="10" t="s">
        <v>94</v>
      </c>
      <c r="T97" s="10" t="s">
        <v>402</v>
      </c>
      <c r="U97" s="5" t="s">
        <v>378</v>
      </c>
      <c r="V97" s="10" t="s">
        <v>106</v>
      </c>
      <c r="W97" s="10" t="s">
        <v>107</v>
      </c>
      <c r="X97" s="10" t="s">
        <v>108</v>
      </c>
      <c r="Y97" s="10" t="s">
        <v>403</v>
      </c>
      <c r="Z97" s="10" t="s">
        <v>407</v>
      </c>
    </row>
    <row r="98" spans="1:26">
      <c r="A98" s="10" t="s">
        <v>110</v>
      </c>
      <c r="B98" s="10" t="s">
        <v>395</v>
      </c>
      <c r="C98" s="13">
        <v>0.05</v>
      </c>
      <c r="D98" s="13"/>
      <c r="E98" s="10" t="s">
        <v>396</v>
      </c>
      <c r="F98" s="10" t="s">
        <v>84</v>
      </c>
      <c r="G98" s="10" t="s">
        <v>85</v>
      </c>
      <c r="H98" s="10" t="s">
        <v>397</v>
      </c>
      <c r="I98" s="10" t="s">
        <v>87</v>
      </c>
      <c r="J98" s="6" t="s">
        <v>111</v>
      </c>
      <c r="K98" s="12">
        <v>32</v>
      </c>
      <c r="L98" s="10" t="s">
        <v>373</v>
      </c>
      <c r="M98" s="5" t="s">
        <v>398</v>
      </c>
      <c r="N98" s="5" t="s">
        <v>408</v>
      </c>
      <c r="O98" s="5" t="s">
        <v>409</v>
      </c>
      <c r="P98" s="5" t="s">
        <v>401</v>
      </c>
      <c r="Q98" s="10" t="s">
        <v>94</v>
      </c>
      <c r="R98" s="10" t="s">
        <v>94</v>
      </c>
      <c r="S98" s="10" t="s">
        <v>94</v>
      </c>
      <c r="T98" s="10" t="s">
        <v>402</v>
      </c>
      <c r="U98" s="5" t="s">
        <v>378</v>
      </c>
      <c r="V98" s="10" t="s">
        <v>114</v>
      </c>
      <c r="W98" s="10" t="s">
        <v>115</v>
      </c>
      <c r="X98" s="10" t="s">
        <v>116</v>
      </c>
      <c r="Y98" s="10" t="s">
        <v>403</v>
      </c>
      <c r="Z98" s="10" t="s">
        <v>410</v>
      </c>
    </row>
    <row r="99" spans="1:26">
      <c r="A99" s="10" t="s">
        <v>118</v>
      </c>
      <c r="B99" s="10" t="s">
        <v>395</v>
      </c>
      <c r="C99" s="13">
        <v>0.1</v>
      </c>
      <c r="D99" s="13"/>
      <c r="E99" s="10" t="s">
        <v>396</v>
      </c>
      <c r="F99" s="10" t="s">
        <v>84</v>
      </c>
      <c r="G99" s="10" t="s">
        <v>85</v>
      </c>
      <c r="H99" s="10" t="s">
        <v>397</v>
      </c>
      <c r="I99" s="10" t="s">
        <v>87</v>
      </c>
      <c r="J99" s="6" t="s">
        <v>119</v>
      </c>
      <c r="K99" s="12">
        <v>32</v>
      </c>
      <c r="L99" s="10" t="s">
        <v>373</v>
      </c>
      <c r="M99" s="5" t="s">
        <v>398</v>
      </c>
      <c r="N99" s="5" t="s">
        <v>411</v>
      </c>
      <c r="O99" s="5" t="s">
        <v>412</v>
      </c>
      <c r="P99" s="5" t="s">
        <v>401</v>
      </c>
      <c r="Q99" s="10" t="s">
        <v>94</v>
      </c>
      <c r="R99" s="10" t="s">
        <v>94</v>
      </c>
      <c r="S99" s="10" t="s">
        <v>94</v>
      </c>
      <c r="T99" s="10" t="s">
        <v>402</v>
      </c>
      <c r="U99" s="5" t="s">
        <v>378</v>
      </c>
      <c r="V99" s="10" t="s">
        <v>122</v>
      </c>
      <c r="W99" s="10" t="s">
        <v>123</v>
      </c>
      <c r="X99" s="10" t="s">
        <v>124</v>
      </c>
      <c r="Y99" s="10" t="s">
        <v>403</v>
      </c>
      <c r="Z99" s="10" t="s">
        <v>413</v>
      </c>
    </row>
    <row r="100" spans="1:26">
      <c r="A100" s="10" t="s">
        <v>126</v>
      </c>
      <c r="B100" s="10" t="s">
        <v>395</v>
      </c>
      <c r="C100" s="13">
        <v>0</v>
      </c>
      <c r="D100" s="13"/>
      <c r="E100" s="10" t="s">
        <v>396</v>
      </c>
      <c r="F100" s="10" t="s">
        <v>84</v>
      </c>
      <c r="G100" s="10" t="s">
        <v>85</v>
      </c>
      <c r="H100" s="10" t="s">
        <v>397</v>
      </c>
      <c r="I100" s="10" t="s">
        <v>87</v>
      </c>
      <c r="J100" s="6" t="s">
        <v>127</v>
      </c>
      <c r="K100" s="12">
        <v>34</v>
      </c>
      <c r="L100" s="10" t="s">
        <v>373</v>
      </c>
      <c r="M100" s="5" t="s">
        <v>398</v>
      </c>
      <c r="N100" s="5" t="s">
        <v>414</v>
      </c>
      <c r="O100" s="5" t="s">
        <v>415</v>
      </c>
      <c r="P100" s="5" t="s">
        <v>401</v>
      </c>
      <c r="Q100" s="10" t="s">
        <v>94</v>
      </c>
      <c r="R100" s="10" t="s">
        <v>94</v>
      </c>
      <c r="S100" s="10" t="s">
        <v>94</v>
      </c>
      <c r="T100" s="10" t="s">
        <v>402</v>
      </c>
      <c r="U100" s="5" t="s">
        <v>378</v>
      </c>
      <c r="V100" s="10" t="s">
        <v>130</v>
      </c>
      <c r="W100" s="10" t="s">
        <v>131</v>
      </c>
      <c r="X100" s="10" t="s">
        <v>132</v>
      </c>
      <c r="Y100" s="10" t="s">
        <v>403</v>
      </c>
      <c r="Z100" s="10" t="s">
        <v>416</v>
      </c>
    </row>
    <row r="101" spans="1:26">
      <c r="A101" s="10" t="s">
        <v>134</v>
      </c>
      <c r="B101" s="10" t="s">
        <v>395</v>
      </c>
      <c r="C101" s="13">
        <v>-0.1</v>
      </c>
      <c r="D101" s="13"/>
      <c r="E101" s="10" t="s">
        <v>396</v>
      </c>
      <c r="F101" s="10" t="s">
        <v>84</v>
      </c>
      <c r="G101" s="10" t="s">
        <v>85</v>
      </c>
      <c r="H101" s="10" t="s">
        <v>397</v>
      </c>
      <c r="I101" s="10" t="s">
        <v>87</v>
      </c>
      <c r="J101" s="6" t="s">
        <v>135</v>
      </c>
      <c r="K101" s="12">
        <v>33</v>
      </c>
      <c r="L101" s="10" t="s">
        <v>373</v>
      </c>
      <c r="M101" s="5" t="s">
        <v>398</v>
      </c>
      <c r="N101" s="5" t="s">
        <v>417</v>
      </c>
      <c r="O101" s="5" t="s">
        <v>418</v>
      </c>
      <c r="P101" s="5" t="s">
        <v>401</v>
      </c>
      <c r="Q101" s="10" t="s">
        <v>94</v>
      </c>
      <c r="R101" s="10" t="s">
        <v>94</v>
      </c>
      <c r="S101" s="10" t="s">
        <v>94</v>
      </c>
      <c r="T101" s="10" t="s">
        <v>402</v>
      </c>
      <c r="U101" s="5" t="s">
        <v>378</v>
      </c>
      <c r="V101" s="10" t="s">
        <v>138</v>
      </c>
      <c r="W101" s="10" t="s">
        <v>139</v>
      </c>
      <c r="X101" s="10" t="s">
        <v>140</v>
      </c>
      <c r="Y101" s="10" t="s">
        <v>403</v>
      </c>
      <c r="Z101" s="10" t="s">
        <v>419</v>
      </c>
    </row>
    <row r="102" spans="1:26">
      <c r="A102" s="10" t="s">
        <v>142</v>
      </c>
      <c r="B102" s="10" t="s">
        <v>395</v>
      </c>
      <c r="C102" s="13">
        <v>0</v>
      </c>
      <c r="D102" s="13"/>
      <c r="E102" s="10" t="s">
        <v>396</v>
      </c>
      <c r="F102" s="10" t="s">
        <v>84</v>
      </c>
      <c r="G102" s="10" t="s">
        <v>85</v>
      </c>
      <c r="H102" s="10" t="s">
        <v>397</v>
      </c>
      <c r="I102" s="10" t="s">
        <v>87</v>
      </c>
      <c r="J102" s="6" t="s">
        <v>143</v>
      </c>
      <c r="K102" s="12">
        <v>32</v>
      </c>
      <c r="L102" s="10" t="s">
        <v>373</v>
      </c>
      <c r="M102" s="5" t="s">
        <v>398</v>
      </c>
      <c r="N102" s="5" t="s">
        <v>420</v>
      </c>
      <c r="O102" s="5" t="s">
        <v>421</v>
      </c>
      <c r="P102" s="5" t="s">
        <v>401</v>
      </c>
      <c r="Q102" s="10" t="s">
        <v>94</v>
      </c>
      <c r="R102" s="10" t="s">
        <v>94</v>
      </c>
      <c r="S102" s="10" t="s">
        <v>94</v>
      </c>
      <c r="T102" s="10" t="s">
        <v>402</v>
      </c>
      <c r="U102" s="5" t="s">
        <v>378</v>
      </c>
      <c r="V102" s="10" t="s">
        <v>146</v>
      </c>
      <c r="W102" s="10" t="s">
        <v>147</v>
      </c>
      <c r="X102" s="10" t="s">
        <v>148</v>
      </c>
      <c r="Y102" s="10" t="s">
        <v>403</v>
      </c>
      <c r="Z102" s="10" t="s">
        <v>422</v>
      </c>
    </row>
    <row r="103" spans="1:26">
      <c r="A103" s="10" t="s">
        <v>81</v>
      </c>
      <c r="B103" s="10" t="s">
        <v>423</v>
      </c>
      <c r="C103" s="13">
        <v>-0.02</v>
      </c>
      <c r="D103" s="13"/>
      <c r="E103" s="10" t="s">
        <v>396</v>
      </c>
      <c r="F103" s="10" t="s">
        <v>84</v>
      </c>
      <c r="G103" s="10" t="s">
        <v>85</v>
      </c>
      <c r="H103" s="10" t="s">
        <v>372</v>
      </c>
      <c r="I103" s="10" t="s">
        <v>87</v>
      </c>
      <c r="J103" s="6" t="s">
        <v>88</v>
      </c>
      <c r="K103" s="12">
        <v>31</v>
      </c>
      <c r="L103" s="10" t="s">
        <v>373</v>
      </c>
      <c r="M103" s="5" t="s">
        <v>424</v>
      </c>
      <c r="N103" s="5" t="s">
        <v>399</v>
      </c>
      <c r="O103" s="5" t="s">
        <v>425</v>
      </c>
      <c r="P103" s="5" t="s">
        <v>401</v>
      </c>
      <c r="Q103" s="10" t="s">
        <v>94</v>
      </c>
      <c r="R103" s="10" t="s">
        <v>94</v>
      </c>
      <c r="S103" s="10" t="s">
        <v>94</v>
      </c>
      <c r="T103" s="10" t="s">
        <v>426</v>
      </c>
      <c r="U103" s="5" t="s">
        <v>378</v>
      </c>
      <c r="V103" s="10" t="s">
        <v>97</v>
      </c>
      <c r="W103" s="10" t="s">
        <v>98</v>
      </c>
      <c r="X103" s="10" t="s">
        <v>99</v>
      </c>
      <c r="Y103" s="10" t="s">
        <v>427</v>
      </c>
      <c r="Z103" s="10" t="s">
        <v>428</v>
      </c>
    </row>
    <row r="104" spans="1:26">
      <c r="A104" s="10" t="s">
        <v>102</v>
      </c>
      <c r="B104" s="10" t="s">
        <v>423</v>
      </c>
      <c r="C104" s="13">
        <v>0.17</v>
      </c>
      <c r="D104" s="13"/>
      <c r="E104" s="10" t="s">
        <v>396</v>
      </c>
      <c r="F104" s="10" t="s">
        <v>84</v>
      </c>
      <c r="G104" s="10" t="s">
        <v>85</v>
      </c>
      <c r="H104" s="10" t="s">
        <v>372</v>
      </c>
      <c r="I104" s="10" t="s">
        <v>87</v>
      </c>
      <c r="J104" s="6" t="s">
        <v>103</v>
      </c>
      <c r="K104" s="12">
        <v>32</v>
      </c>
      <c r="L104" s="10" t="s">
        <v>373</v>
      </c>
      <c r="M104" s="5" t="s">
        <v>424</v>
      </c>
      <c r="N104" s="5" t="s">
        <v>405</v>
      </c>
      <c r="O104" s="5" t="s">
        <v>429</v>
      </c>
      <c r="P104" s="5" t="s">
        <v>401</v>
      </c>
      <c r="Q104" s="10" t="s">
        <v>94</v>
      </c>
      <c r="R104" s="10" t="s">
        <v>94</v>
      </c>
      <c r="S104" s="10" t="s">
        <v>94</v>
      </c>
      <c r="T104" s="10" t="s">
        <v>426</v>
      </c>
      <c r="U104" s="5" t="s">
        <v>378</v>
      </c>
      <c r="V104" s="10" t="s">
        <v>106</v>
      </c>
      <c r="W104" s="10" t="s">
        <v>107</v>
      </c>
      <c r="X104" s="10" t="s">
        <v>108</v>
      </c>
      <c r="Y104" s="10" t="s">
        <v>427</v>
      </c>
      <c r="Z104" s="10" t="s">
        <v>430</v>
      </c>
    </row>
    <row r="105" spans="1:26">
      <c r="A105" s="10" t="s">
        <v>110</v>
      </c>
      <c r="B105" s="10" t="s">
        <v>423</v>
      </c>
      <c r="C105" s="13">
        <v>0.06</v>
      </c>
      <c r="D105" s="13"/>
      <c r="E105" s="10" t="s">
        <v>396</v>
      </c>
      <c r="F105" s="10" t="s">
        <v>84</v>
      </c>
      <c r="G105" s="10" t="s">
        <v>85</v>
      </c>
      <c r="H105" s="10" t="s">
        <v>372</v>
      </c>
      <c r="I105" s="10" t="s">
        <v>87</v>
      </c>
      <c r="J105" s="6" t="s">
        <v>111</v>
      </c>
      <c r="K105" s="12">
        <v>32</v>
      </c>
      <c r="L105" s="10" t="s">
        <v>373</v>
      </c>
      <c r="M105" s="5" t="s">
        <v>424</v>
      </c>
      <c r="N105" s="5" t="s">
        <v>408</v>
      </c>
      <c r="O105" s="5" t="s">
        <v>431</v>
      </c>
      <c r="P105" s="5" t="s">
        <v>401</v>
      </c>
      <c r="Q105" s="10" t="s">
        <v>94</v>
      </c>
      <c r="R105" s="10" t="s">
        <v>94</v>
      </c>
      <c r="S105" s="10" t="s">
        <v>94</v>
      </c>
      <c r="T105" s="10" t="s">
        <v>426</v>
      </c>
      <c r="U105" s="5" t="s">
        <v>378</v>
      </c>
      <c r="V105" s="10" t="s">
        <v>114</v>
      </c>
      <c r="W105" s="10" t="s">
        <v>115</v>
      </c>
      <c r="X105" s="10" t="s">
        <v>116</v>
      </c>
      <c r="Y105" s="10" t="s">
        <v>427</v>
      </c>
      <c r="Z105" s="10" t="s">
        <v>432</v>
      </c>
    </row>
    <row r="106" spans="1:26">
      <c r="A106" s="10" t="s">
        <v>118</v>
      </c>
      <c r="B106" s="10" t="s">
        <v>423</v>
      </c>
      <c r="C106" s="13">
        <v>0.16</v>
      </c>
      <c r="D106" s="13"/>
      <c r="E106" s="10" t="s">
        <v>396</v>
      </c>
      <c r="F106" s="10" t="s">
        <v>84</v>
      </c>
      <c r="G106" s="10" t="s">
        <v>85</v>
      </c>
      <c r="H106" s="10" t="s">
        <v>372</v>
      </c>
      <c r="I106" s="10" t="s">
        <v>87</v>
      </c>
      <c r="J106" s="6" t="s">
        <v>119</v>
      </c>
      <c r="K106" s="12">
        <v>32</v>
      </c>
      <c r="L106" s="10" t="s">
        <v>373</v>
      </c>
      <c r="M106" s="5" t="s">
        <v>424</v>
      </c>
      <c r="N106" s="5" t="s">
        <v>411</v>
      </c>
      <c r="O106" s="5" t="s">
        <v>433</v>
      </c>
      <c r="P106" s="5" t="s">
        <v>401</v>
      </c>
      <c r="Q106" s="10" t="s">
        <v>94</v>
      </c>
      <c r="R106" s="10" t="s">
        <v>94</v>
      </c>
      <c r="S106" s="10" t="s">
        <v>94</v>
      </c>
      <c r="T106" s="10" t="s">
        <v>426</v>
      </c>
      <c r="U106" s="5" t="s">
        <v>378</v>
      </c>
      <c r="V106" s="10" t="s">
        <v>122</v>
      </c>
      <c r="W106" s="10" t="s">
        <v>123</v>
      </c>
      <c r="X106" s="10" t="s">
        <v>124</v>
      </c>
      <c r="Y106" s="10" t="s">
        <v>427</v>
      </c>
      <c r="Z106" s="10" t="s">
        <v>434</v>
      </c>
    </row>
    <row r="107" spans="1:26">
      <c r="A107" s="10" t="s">
        <v>126</v>
      </c>
      <c r="B107" s="10" t="s">
        <v>423</v>
      </c>
      <c r="C107" s="13">
        <v>0.01</v>
      </c>
      <c r="D107" s="13"/>
      <c r="E107" s="10" t="s">
        <v>396</v>
      </c>
      <c r="F107" s="10" t="s">
        <v>84</v>
      </c>
      <c r="G107" s="10" t="s">
        <v>85</v>
      </c>
      <c r="H107" s="10" t="s">
        <v>372</v>
      </c>
      <c r="I107" s="10" t="s">
        <v>87</v>
      </c>
      <c r="J107" s="6" t="s">
        <v>127</v>
      </c>
      <c r="K107" s="12">
        <v>34</v>
      </c>
      <c r="L107" s="10" t="s">
        <v>373</v>
      </c>
      <c r="M107" s="5" t="s">
        <v>424</v>
      </c>
      <c r="N107" s="5" t="s">
        <v>414</v>
      </c>
      <c r="O107" s="5" t="s">
        <v>435</v>
      </c>
      <c r="P107" s="5" t="s">
        <v>401</v>
      </c>
      <c r="Q107" s="10" t="s">
        <v>94</v>
      </c>
      <c r="R107" s="10" t="s">
        <v>94</v>
      </c>
      <c r="S107" s="10" t="s">
        <v>94</v>
      </c>
      <c r="T107" s="10" t="s">
        <v>426</v>
      </c>
      <c r="U107" s="5" t="s">
        <v>378</v>
      </c>
      <c r="V107" s="10" t="s">
        <v>130</v>
      </c>
      <c r="W107" s="10" t="s">
        <v>131</v>
      </c>
      <c r="X107" s="10" t="s">
        <v>132</v>
      </c>
      <c r="Y107" s="10" t="s">
        <v>427</v>
      </c>
      <c r="Z107" s="10" t="s">
        <v>436</v>
      </c>
    </row>
    <row r="108" spans="1:26">
      <c r="A108" s="10" t="s">
        <v>134</v>
      </c>
      <c r="B108" s="10" t="s">
        <v>423</v>
      </c>
      <c r="C108" s="13">
        <v>-0.09</v>
      </c>
      <c r="D108" s="13"/>
      <c r="E108" s="10" t="s">
        <v>396</v>
      </c>
      <c r="F108" s="10" t="s">
        <v>84</v>
      </c>
      <c r="G108" s="10" t="s">
        <v>85</v>
      </c>
      <c r="H108" s="10" t="s">
        <v>372</v>
      </c>
      <c r="I108" s="10" t="s">
        <v>87</v>
      </c>
      <c r="J108" s="6" t="s">
        <v>135</v>
      </c>
      <c r="K108" s="12">
        <v>33</v>
      </c>
      <c r="L108" s="10" t="s">
        <v>373</v>
      </c>
      <c r="M108" s="5" t="s">
        <v>424</v>
      </c>
      <c r="N108" s="5" t="s">
        <v>417</v>
      </c>
      <c r="O108" s="5" t="s">
        <v>437</v>
      </c>
      <c r="P108" s="5" t="s">
        <v>401</v>
      </c>
      <c r="Q108" s="10" t="s">
        <v>94</v>
      </c>
      <c r="R108" s="10" t="s">
        <v>94</v>
      </c>
      <c r="S108" s="10" t="s">
        <v>94</v>
      </c>
      <c r="T108" s="10" t="s">
        <v>426</v>
      </c>
      <c r="U108" s="5" t="s">
        <v>378</v>
      </c>
      <c r="V108" s="10" t="s">
        <v>138</v>
      </c>
      <c r="W108" s="10" t="s">
        <v>139</v>
      </c>
      <c r="X108" s="10" t="s">
        <v>140</v>
      </c>
      <c r="Y108" s="10" t="s">
        <v>427</v>
      </c>
      <c r="Z108" s="10" t="s">
        <v>438</v>
      </c>
    </row>
    <row r="109" spans="1:26">
      <c r="A109" s="10" t="s">
        <v>142</v>
      </c>
      <c r="B109" s="10" t="s">
        <v>423</v>
      </c>
      <c r="C109" s="13">
        <v>-0.02</v>
      </c>
      <c r="D109" s="13"/>
      <c r="E109" s="10" t="s">
        <v>396</v>
      </c>
      <c r="F109" s="10" t="s">
        <v>84</v>
      </c>
      <c r="G109" s="10" t="s">
        <v>85</v>
      </c>
      <c r="H109" s="10" t="s">
        <v>372</v>
      </c>
      <c r="I109" s="10" t="s">
        <v>87</v>
      </c>
      <c r="J109" s="6" t="s">
        <v>143</v>
      </c>
      <c r="K109" s="12">
        <v>32</v>
      </c>
      <c r="L109" s="10" t="s">
        <v>373</v>
      </c>
      <c r="M109" s="5" t="s">
        <v>424</v>
      </c>
      <c r="N109" s="5" t="s">
        <v>420</v>
      </c>
      <c r="O109" s="5" t="s">
        <v>439</v>
      </c>
      <c r="P109" s="5" t="s">
        <v>401</v>
      </c>
      <c r="Q109" s="10" t="s">
        <v>94</v>
      </c>
      <c r="R109" s="10" t="s">
        <v>94</v>
      </c>
      <c r="S109" s="10" t="s">
        <v>94</v>
      </c>
      <c r="T109" s="10" t="s">
        <v>426</v>
      </c>
      <c r="U109" s="5" t="s">
        <v>378</v>
      </c>
      <c r="V109" s="10" t="s">
        <v>146</v>
      </c>
      <c r="W109" s="10" t="s">
        <v>147</v>
      </c>
      <c r="X109" s="10" t="s">
        <v>148</v>
      </c>
      <c r="Y109" s="10" t="s">
        <v>427</v>
      </c>
      <c r="Z109" s="10" t="s">
        <v>440</v>
      </c>
    </row>
  </sheetData>
  <autoFilter ref="A4:Z109"/>
  <conditionalFormatting sqref="I5:I401">
    <cfRule type="cellIs" dxfId="0" priority="1" operator="equal">
      <formula>"Chờ người kiểm tra"</formula>
    </cfRule>
    <cfRule type="cellIs" dxfId="1" priority="2" operator="equal">
      <formula>"Thiếu / không công bố"</formula>
    </cfRule>
    <cfRule type="cellIs" dxfId="2" priority="3" operator="equal">
      <formula>"Đã xác minh (người)"</formula>
    </cfRule>
    <cfRule type="cellIs" dxfId="3" priority="4" operator="equal">
      <formula>"Bằng chứng mâu thuẫn"</formula>
    </cfRule>
  </conditionalFormatting>
  <dataValidations count="1">
    <dataValidation type="list" allowBlank="1" showInputMessage="1" showErrorMessage="1" errorTitle="Trạng thái không hợp lệ" error="Chọn một trạng thái trong danh sách." sqref="I5:I401">
      <formula1>"Khớp nguồn chính thức,Chờ người kiểm tra,Đã xác minh (người),Thiếu / không công bố,Bằng chứng mâu thuẫn"</formula1>
    </dataValidation>
  </dataValidations>
  <hyperlinks>
    <hyperlink ref="J5" r:id="rId1" tooltip="NIKE, Inc. Form 10-K for the fiscal year ended May 31, 2020 – SEC EDGAR"/>
    <hyperlink ref="J6" r:id="rId2" tooltip="NIKE, Inc. Form 10-K for the fiscal year ended May 31, 2021 – SEC EDGAR"/>
    <hyperlink ref="J7" r:id="rId3" tooltip="NIKE, Inc. Form 10-K for the fiscal year ended May 31, 2022 – SEC EDGAR"/>
    <hyperlink ref="J8" r:id="rId4" tooltip="NIKE, Inc. Form 10-K for the fiscal year ended May 31, 2023 – SEC EDGAR"/>
    <hyperlink ref="J9" r:id="rId5" tooltip="NIKE, Inc. Form 10-K for the fiscal year ended May 31, 2024 – SEC EDGAR"/>
    <hyperlink ref="J10" r:id="rId6" tooltip="NIKE, Inc. Form 10-K for the fiscal year ended May 31, 2025 – SEC EDGAR"/>
    <hyperlink ref="J11" r:id="rId7" tooltip="NIKE, Inc. Form 10-K for the fiscal year ended May 31, 2026 – SEC EDGAR"/>
    <hyperlink ref="J12" r:id="rId8" tooltip="NIKE, Inc. Form 10-K for the fiscal year ended May 31, 2020 – SEC EDGAR"/>
    <hyperlink ref="J13" r:id="rId9" tooltip="NIKE, Inc. Form 10-K for the fiscal year ended May 31, 2021 – SEC EDGAR"/>
    <hyperlink ref="J14" r:id="rId10" tooltip="NIKE, Inc. Form 10-K for the fiscal year ended May 31, 2022 – SEC EDGAR"/>
    <hyperlink ref="J15" r:id="rId11" tooltip="NIKE, Inc. Form 10-K for the fiscal year ended May 31, 2023 – SEC EDGAR"/>
    <hyperlink ref="J16" r:id="rId12" tooltip="NIKE, Inc. Form 10-K for the fiscal year ended May 31, 2024 – SEC EDGAR"/>
    <hyperlink ref="J17" r:id="rId13" tooltip="NIKE, Inc. Form 10-K for the fiscal year ended May 31, 2025 – SEC EDGAR"/>
    <hyperlink ref="J18" r:id="rId14" tooltip="NIKE, Inc. Form 10-K for the fiscal year ended May 31, 2026 – SEC EDGAR"/>
    <hyperlink ref="J19" r:id="rId15" tooltip="NIKE, Inc. Form 10-K for the fiscal year ended May 31, 2020 – SEC EDGAR"/>
    <hyperlink ref="J20" r:id="rId16" tooltip="NIKE, Inc. Form 10-K for the fiscal year ended May 31, 2021 – SEC EDGAR"/>
    <hyperlink ref="J21" r:id="rId17" tooltip="NIKE, Inc. Form 10-K for the fiscal year ended May 31, 2022 – SEC EDGAR"/>
    <hyperlink ref="J22" r:id="rId18" tooltip="NIKE, Inc. Form 10-K for the fiscal year ended May 31, 2023 – SEC EDGAR"/>
    <hyperlink ref="J23" r:id="rId19" tooltip="NIKE, Inc. Form 10-K for the fiscal year ended May 31, 2024 – SEC EDGAR"/>
    <hyperlink ref="J24" r:id="rId20" tooltip="NIKE, Inc. Form 10-K for the fiscal year ended May 31, 2025 – SEC EDGAR"/>
    <hyperlink ref="J25" r:id="rId21" tooltip="NIKE, Inc. Form 10-K for the fiscal year ended May 31, 2026 – SEC EDGAR"/>
    <hyperlink ref="J26" r:id="rId22" tooltip="NIKE, Inc. Form 10-K for the fiscal year ended May 31, 2020 – SEC EDGAR"/>
    <hyperlink ref="J27" r:id="rId23" tooltip="NIKE, Inc. Form 10-K for the fiscal year ended May 31, 2021 – SEC EDGAR"/>
    <hyperlink ref="J28" r:id="rId24" tooltip="NIKE, Inc. Form 10-K for the fiscal year ended May 31, 2022 – SEC EDGAR"/>
    <hyperlink ref="J29" r:id="rId25" tooltip="NIKE, Inc. Form 10-K for the fiscal year ended May 31, 2023 – SEC EDGAR"/>
    <hyperlink ref="J30" r:id="rId26" tooltip="NIKE, Inc. Form 10-K for the fiscal year ended May 31, 2024 – SEC EDGAR"/>
    <hyperlink ref="J31" r:id="rId27" tooltip="NIKE, Inc. Form 10-K for the fiscal year ended May 31, 2025 – SEC EDGAR"/>
    <hyperlink ref="J32" r:id="rId28" tooltip="NIKE, Inc. Form 10-K for the fiscal year ended May 31, 2026 – SEC EDGAR"/>
    <hyperlink ref="J33" r:id="rId29" tooltip="NIKE, Inc. Form 10-K for the fiscal year ended May 31, 2020 – SEC EDGAR"/>
    <hyperlink ref="J34" r:id="rId30" tooltip="NIKE, Inc. Form 10-K for the fiscal year ended May 31, 2021 – SEC EDGAR"/>
    <hyperlink ref="J35" r:id="rId31" tooltip="NIKE, Inc. Form 10-K for the fiscal year ended May 31, 2022 – SEC EDGAR"/>
    <hyperlink ref="J36" r:id="rId32" tooltip="NIKE, Inc. Form 10-K for the fiscal year ended May 31, 2023 – SEC EDGAR"/>
    <hyperlink ref="J37" r:id="rId33" tooltip="NIKE, Inc. Form 10-K for the fiscal year ended May 31, 2024 – SEC EDGAR"/>
    <hyperlink ref="J38" r:id="rId34" tooltip="NIKE, Inc. Form 10-K for the fiscal year ended May 31, 2025 – SEC EDGAR"/>
    <hyperlink ref="J39" r:id="rId35" tooltip="NIKE, Inc. Form 10-K for the fiscal year ended May 31, 2026 – SEC EDGAR"/>
    <hyperlink ref="J40" r:id="rId36" tooltip="NIKE, Inc. Form 10-K for the fiscal year ended May 31, 2020 – SEC EDGAR"/>
    <hyperlink ref="J41" r:id="rId37" tooltip="NIKE, Inc. Form 10-K for the fiscal year ended May 31, 2021 – SEC EDGAR"/>
    <hyperlink ref="J42" r:id="rId38" tooltip="NIKE, Inc. Form 10-K for the fiscal year ended May 31, 2022 – SEC EDGAR"/>
    <hyperlink ref="J43" r:id="rId39" tooltip="NIKE, Inc. Form 10-K for the fiscal year ended May 31, 2023 – SEC EDGAR"/>
    <hyperlink ref="J44" r:id="rId40" tooltip="NIKE, Inc. Form 10-K for the fiscal year ended May 31, 2024 – SEC EDGAR"/>
    <hyperlink ref="J45" r:id="rId41" tooltip="NIKE, Inc. Form 10-K for the fiscal year ended May 31, 2025 – SEC EDGAR"/>
    <hyperlink ref="J46" r:id="rId42" tooltip="NIKE, Inc. Form 10-K for the fiscal year ended May 31, 2026 – SEC EDGAR"/>
    <hyperlink ref="J47" r:id="rId43" tooltip="NIKE, Inc. Form 10-K for the fiscal year ended May 31, 2020 – SEC EDGAR"/>
    <hyperlink ref="J48" r:id="rId44" tooltip="NIKE, Inc. Form 10-K for the fiscal year ended May 31, 2021 – SEC EDGAR"/>
    <hyperlink ref="J49" r:id="rId45" tooltip="NIKE, Inc. Form 10-K for the fiscal year ended May 31, 2022 – SEC EDGAR"/>
    <hyperlink ref="J50" r:id="rId46" tooltip="NIKE, Inc. Form 10-K for the fiscal year ended May 31, 2023 – SEC EDGAR"/>
    <hyperlink ref="J51" r:id="rId47" tooltip="NIKE, Inc. Form 10-K for the fiscal year ended May 31, 2024 – SEC EDGAR"/>
    <hyperlink ref="J52" r:id="rId48" tooltip="NIKE, Inc. Form 10-K for the fiscal year ended May 31, 2025 – SEC EDGAR"/>
    <hyperlink ref="J53" r:id="rId49" tooltip="NIKE, Inc. Form 10-K for the fiscal year ended May 31, 2026 – SEC EDGAR"/>
    <hyperlink ref="J54" r:id="rId50" tooltip="NIKE, Inc. Form 10-K for the fiscal year ended May 31, 2020 – SEC EDGAR"/>
    <hyperlink ref="J55" r:id="rId51" tooltip="NIKE, Inc. Form 10-K for the fiscal year ended May 31, 2021 – SEC EDGAR"/>
    <hyperlink ref="J56" r:id="rId52" tooltip="NIKE, Inc. Form 10-K for the fiscal year ended May 31, 2022 – SEC EDGAR"/>
    <hyperlink ref="J57" r:id="rId53" tooltip="NIKE, Inc. Form 10-K for the fiscal year ended May 31, 2023 – SEC EDGAR"/>
    <hyperlink ref="J58" r:id="rId54" tooltip="NIKE, Inc. Form 10-K for the fiscal year ended May 31, 2024 – SEC EDGAR"/>
    <hyperlink ref="J59" r:id="rId55" tooltip="NIKE, Inc. Form 10-K for the fiscal year ended May 31, 2025 – SEC EDGAR"/>
    <hyperlink ref="J60" r:id="rId56" tooltip="NIKE, Inc. Form 10-K for the fiscal year ended May 31, 2026 – SEC EDGAR"/>
    <hyperlink ref="J61" r:id="rId57" tooltip="NIKE, Inc. Form 10-K for the fiscal year ended May 31, 2020 – SEC EDGAR"/>
    <hyperlink ref="J62" r:id="rId58" tooltip="NIKE, Inc. Form 10-K for the fiscal year ended May 31, 2021 – SEC EDGAR"/>
    <hyperlink ref="J63" r:id="rId59" tooltip="NIKE, Inc. Form 10-K for the fiscal year ended May 31, 2022 – SEC EDGAR"/>
    <hyperlink ref="J64" r:id="rId60" tooltip="NIKE, Inc. Form 10-K for the fiscal year ended May 31, 2023 – SEC EDGAR"/>
    <hyperlink ref="J65" r:id="rId61" tooltip="NIKE, Inc. Form 10-K for the fiscal year ended May 31, 2024 – SEC EDGAR"/>
    <hyperlink ref="J66" r:id="rId62" tooltip="NIKE, Inc. Form 10-K for the fiscal year ended May 31, 2025 – SEC EDGAR"/>
    <hyperlink ref="J67" r:id="rId63" tooltip="NIKE, Inc. Form 10-K for the fiscal year ended May 31, 2026 – SEC EDGAR"/>
    <hyperlink ref="J68" r:id="rId64" tooltip="NIKE, Inc. Form 10-K for the fiscal year ended May 31, 2020 – SEC EDGAR"/>
    <hyperlink ref="J69" r:id="rId65" tooltip="NIKE, Inc. Form 10-K for the fiscal year ended May 31, 2021 – SEC EDGAR"/>
    <hyperlink ref="J70" r:id="rId66" tooltip="NIKE, Inc. Form 10-K for the fiscal year ended May 31, 2022 – SEC EDGAR"/>
    <hyperlink ref="J71" r:id="rId67" tooltip="NIKE, Inc. Form 10-K for the fiscal year ended May 31, 2023 – SEC EDGAR"/>
    <hyperlink ref="J72" r:id="rId68" tooltip="NIKE, Inc. Form 10-K for the fiscal year ended May 31, 2024 – SEC EDGAR"/>
    <hyperlink ref="J73" r:id="rId69" tooltip="NIKE, Inc. Form 10-K for the fiscal year ended May 31, 2025 – SEC EDGAR"/>
    <hyperlink ref="J74" r:id="rId70" tooltip="NIKE, Inc. Form 10-K for the fiscal year ended May 31, 2026 – SEC EDGAR"/>
    <hyperlink ref="J75" r:id="rId71" tooltip="NIKE, Inc. Form 10-K for the fiscal year ended May 31, 2020 – SEC EDGAR"/>
    <hyperlink ref="J76" r:id="rId72" tooltip="NIKE, Inc. Form 10-K for the fiscal year ended May 31, 2021 – SEC EDGAR"/>
    <hyperlink ref="J77" r:id="rId73" tooltip="NIKE, Inc. Form 10-K for the fiscal year ended May 31, 2022 – SEC EDGAR"/>
    <hyperlink ref="J78" r:id="rId74" tooltip="NIKE, Inc. Form 10-K for the fiscal year ended May 31, 2023 – SEC EDGAR"/>
    <hyperlink ref="J79" r:id="rId75" tooltip="NIKE, Inc. Form 10-K for the fiscal year ended May 31, 2024 – SEC EDGAR"/>
    <hyperlink ref="J80" r:id="rId76" tooltip="NIKE, Inc. Form 10-K for the fiscal year ended May 31, 2025 – SEC EDGAR"/>
    <hyperlink ref="J81" r:id="rId77" tooltip="NIKE, Inc. Form 10-K for the fiscal year ended May 31, 2026 – SEC EDGAR"/>
    <hyperlink ref="J82" r:id="rId78" tooltip="NIKE, Inc. Form 10-K for the fiscal year ended May 31, 2020 – SEC EDGAR"/>
    <hyperlink ref="J83" r:id="rId79" tooltip="NIKE, Inc. Form 10-K for the fiscal year ended May 31, 2021 – SEC EDGAR"/>
    <hyperlink ref="J84" r:id="rId80" tooltip="NIKE, Inc. Form 10-K for the fiscal year ended May 31, 2022 – SEC EDGAR"/>
    <hyperlink ref="J85" r:id="rId81" tooltip="NIKE, Inc. Form 10-K for the fiscal year ended May 31, 2023 – SEC EDGAR"/>
    <hyperlink ref="J86" r:id="rId82" tooltip="NIKE, Inc. Form 10-K for the fiscal year ended May 31, 2024 – SEC EDGAR"/>
    <hyperlink ref="J87" r:id="rId83" tooltip="NIKE, Inc. Form 10-K for the fiscal year ended May 31, 2025 – SEC EDGAR"/>
    <hyperlink ref="J88" r:id="rId84" tooltip="NIKE, Inc. Form 10-K for the fiscal year ended May 31, 2026 – SEC EDGAR"/>
    <hyperlink ref="J89" r:id="rId85" tooltip="NIKE, Inc. Form 10-K for the fiscal year ended May 31, 2020 – SEC EDGAR"/>
    <hyperlink ref="J90" r:id="rId86" tooltip="NIKE, Inc. Form 10-K for the fiscal year ended May 31, 2021 – SEC EDGAR"/>
    <hyperlink ref="J91" r:id="rId87" tooltip="NIKE, Inc. Form 10-K for the fiscal year ended May 31, 2022 – SEC EDGAR"/>
    <hyperlink ref="J92" r:id="rId88" tooltip="NIKE, Inc. Form 10-K for the fiscal year ended May 31, 2023 – SEC EDGAR"/>
    <hyperlink ref="J93" r:id="rId89" tooltip="NIKE, Inc. Form 10-K for the fiscal year ended May 31, 2024 – SEC EDGAR"/>
    <hyperlink ref="J94" r:id="rId90" tooltip="NIKE, Inc. Form 10-K for the fiscal year ended May 31, 2025 – SEC EDGAR"/>
    <hyperlink ref="J95" r:id="rId91" tooltip="NIKE, Inc. Form 10-K for the fiscal year ended May 31, 2026 – SEC EDGAR"/>
    <hyperlink ref="J96" r:id="rId92" tooltip="NIKE, Inc. Form 10-K for the fiscal year ended May 31, 2020 – SEC EDGAR"/>
    <hyperlink ref="J97" r:id="rId93" tooltip="NIKE, Inc. Form 10-K for the fiscal year ended May 31, 2021 – SEC EDGAR"/>
    <hyperlink ref="J98" r:id="rId94" tooltip="NIKE, Inc. Form 10-K for the fiscal year ended May 31, 2022 – SEC EDGAR"/>
    <hyperlink ref="J99" r:id="rId95" tooltip="NIKE, Inc. Form 10-K for the fiscal year ended May 31, 2023 – SEC EDGAR"/>
    <hyperlink ref="J100" r:id="rId96" tooltip="NIKE, Inc. Form 10-K for the fiscal year ended May 31, 2024 – SEC EDGAR"/>
    <hyperlink ref="J101" r:id="rId97" tooltip="NIKE, Inc. Form 10-K for the fiscal year ended May 31, 2025 – SEC EDGAR"/>
    <hyperlink ref="J102" r:id="rId98" tooltip="NIKE, Inc. Form 10-K for the fiscal year ended May 31, 2026 – SEC EDGAR"/>
    <hyperlink ref="J103" r:id="rId99" tooltip="NIKE, Inc. Form 10-K for the fiscal year ended May 31, 2020 – SEC EDGAR"/>
    <hyperlink ref="J104" r:id="rId100" tooltip="NIKE, Inc. Form 10-K for the fiscal year ended May 31, 2021 – SEC EDGAR"/>
    <hyperlink ref="J105" r:id="rId101" tooltip="NIKE, Inc. Form 10-K for the fiscal year ended May 31, 2022 – SEC EDGAR"/>
    <hyperlink ref="J106" r:id="rId102" tooltip="NIKE, Inc. Form 10-K for the fiscal year ended May 31, 2023 – SEC EDGAR"/>
    <hyperlink ref="J107" r:id="rId103" tooltip="NIKE, Inc. Form 10-K for the fiscal year ended May 31, 2024 – SEC EDGAR"/>
    <hyperlink ref="J108" r:id="rId104" tooltip="NIKE, Inc. Form 10-K for the fiscal year ended May 31, 2025 – SEC EDGAR"/>
    <hyperlink ref="J109" r:id="rId105" tooltip="NIKE, Inc. Form 10-K for the fiscal year ended May 31, 2026 – SEC EDGAR"/>
  </hyperlink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Z102"/>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28515625" customWidth="1"/>
    <col min="2" max="2" width="64.42578125" customWidth="1"/>
    <col min="3" max="3" width="12.7109375" customWidth="1"/>
    <col min="4" max="4" width="14.7109375" customWidth="1"/>
    <col min="5" max="5" width="10.7109375" customWidth="1"/>
    <col min="6" max="6" width="14" customWidth="1"/>
    <col min="7" max="7" width="24.7109375" customWidth="1"/>
    <col min="8" max="8" width="45" customWidth="1"/>
    <col min="9" max="9" width="24" customWidth="1"/>
    <col min="10" max="10" width="14.7109375" customWidth="1"/>
    <col min="11" max="11" width="7.7109375" customWidth="1"/>
    <col min="12" max="12" width="23.7109375" customWidth="1"/>
    <col min="13" max="13" width="60.7109375" customWidth="1"/>
    <col min="14" max="14" width="50.7109375" customWidth="1"/>
    <col min="15" max="16" width="52.7109375" customWidth="1"/>
    <col min="17" max="19" width="8.7109375" customWidth="1"/>
    <col min="20" max="20" width="64.7109375" customWidth="1"/>
    <col min="21" max="21" width="60.7109375" customWidth="1"/>
    <col min="22" max="22" width="25.7109375" customWidth="1"/>
    <col min="23" max="23" width="12.7109375" customWidth="1"/>
    <col min="24" max="24" width="22.7109375" customWidth="1"/>
    <col min="25" max="25" width="42.7109375" customWidth="1"/>
    <col min="26" max="26" width="50.42578125" customWidth="1"/>
  </cols>
  <sheetData>
    <row r="1" spans="1:26">
      <c r="A1" s="7" t="s">
        <v>441</v>
      </c>
    </row>
    <row r="2" spans="1:26">
      <c r="A2" s="2" t="s">
        <v>442</v>
      </c>
    </row>
    <row r="4" spans="1:26" ht="44.25" customHeight="1">
      <c r="A4" s="8" t="s">
        <v>56</v>
      </c>
      <c r="B4" s="8" t="s">
        <v>57</v>
      </c>
      <c r="C4" s="8" t="s">
        <v>58</v>
      </c>
      <c r="D4" s="8" t="s">
        <v>59</v>
      </c>
      <c r="E4" s="8" t="s">
        <v>7</v>
      </c>
      <c r="F4" s="8" t="s">
        <v>60</v>
      </c>
      <c r="G4" s="8" t="s">
        <v>61</v>
      </c>
      <c r="H4" s="8" t="s">
        <v>62</v>
      </c>
      <c r="I4" s="8" t="s">
        <v>63</v>
      </c>
      <c r="J4" s="8" t="s">
        <v>64</v>
      </c>
      <c r="K4" s="8" t="s">
        <v>65</v>
      </c>
      <c r="L4" s="8" t="s">
        <v>66</v>
      </c>
      <c r="M4" s="8" t="s">
        <v>67</v>
      </c>
      <c r="N4" s="8" t="s">
        <v>68</v>
      </c>
      <c r="O4" s="8" t="s">
        <v>69</v>
      </c>
      <c r="P4" s="8" t="s">
        <v>70</v>
      </c>
      <c r="Q4" s="9" t="s">
        <v>71</v>
      </c>
      <c r="R4" s="9" t="s">
        <v>72</v>
      </c>
      <c r="S4" s="9" t="s">
        <v>73</v>
      </c>
      <c r="T4" s="8" t="s">
        <v>74</v>
      </c>
      <c r="U4" s="8" t="s">
        <v>75</v>
      </c>
      <c r="V4" s="8" t="s">
        <v>76</v>
      </c>
      <c r="W4" s="8" t="s">
        <v>77</v>
      </c>
      <c r="X4" s="8" t="s">
        <v>78</v>
      </c>
      <c r="Y4" s="8" t="s">
        <v>79</v>
      </c>
      <c r="Z4" s="8" t="s">
        <v>80</v>
      </c>
    </row>
    <row r="5" spans="1:26">
      <c r="A5" s="10" t="s">
        <v>81</v>
      </c>
      <c r="B5" s="10" t="s">
        <v>443</v>
      </c>
      <c r="C5" s="11">
        <v>12382</v>
      </c>
      <c r="D5" s="11">
        <v>11753</v>
      </c>
      <c r="E5" s="10" t="s">
        <v>83</v>
      </c>
      <c r="F5" s="10" t="s">
        <v>444</v>
      </c>
      <c r="G5" s="10" t="s">
        <v>445</v>
      </c>
      <c r="H5" s="10" t="s">
        <v>86</v>
      </c>
      <c r="I5" s="10" t="s">
        <v>87</v>
      </c>
      <c r="J5" s="6" t="s">
        <v>88</v>
      </c>
      <c r="K5" s="12">
        <v>88</v>
      </c>
      <c r="L5" s="10" t="s">
        <v>446</v>
      </c>
      <c r="M5" s="5" t="s">
        <v>447</v>
      </c>
      <c r="N5" s="5" t="s">
        <v>448</v>
      </c>
      <c r="O5" s="5" t="s">
        <v>449</v>
      </c>
      <c r="P5" s="5" t="s">
        <v>93</v>
      </c>
      <c r="Q5" s="10" t="s">
        <v>94</v>
      </c>
      <c r="R5" s="10" t="s">
        <v>94</v>
      </c>
      <c r="S5" s="10" t="s">
        <v>94</v>
      </c>
      <c r="T5" s="10" t="s">
        <v>450</v>
      </c>
      <c r="U5" s="5" t="s">
        <v>451</v>
      </c>
      <c r="V5" s="10" t="s">
        <v>97</v>
      </c>
      <c r="W5" s="10" t="s">
        <v>98</v>
      </c>
      <c r="X5" s="10" t="s">
        <v>99</v>
      </c>
      <c r="Y5" s="10" t="s">
        <v>452</v>
      </c>
      <c r="Z5" s="10" t="s">
        <v>453</v>
      </c>
    </row>
    <row r="6" spans="1:26">
      <c r="A6" s="10" t="s">
        <v>102</v>
      </c>
      <c r="B6" s="10" t="s">
        <v>443</v>
      </c>
      <c r="C6" s="11">
        <v>16370</v>
      </c>
      <c r="D6" s="11">
        <v>12382</v>
      </c>
      <c r="E6" s="10" t="s">
        <v>83</v>
      </c>
      <c r="F6" s="10" t="s">
        <v>444</v>
      </c>
      <c r="G6" s="10" t="s">
        <v>445</v>
      </c>
      <c r="H6" s="10" t="s">
        <v>86</v>
      </c>
      <c r="I6" s="10" t="s">
        <v>87</v>
      </c>
      <c r="J6" s="6" t="s">
        <v>103</v>
      </c>
      <c r="K6" s="12">
        <v>86</v>
      </c>
      <c r="L6" s="10" t="s">
        <v>446</v>
      </c>
      <c r="M6" s="5" t="s">
        <v>447</v>
      </c>
      <c r="N6" s="5" t="s">
        <v>454</v>
      </c>
      <c r="O6" s="5" t="s">
        <v>455</v>
      </c>
      <c r="P6" s="5" t="s">
        <v>105</v>
      </c>
      <c r="Q6" s="10" t="s">
        <v>94</v>
      </c>
      <c r="R6" s="10" t="s">
        <v>94</v>
      </c>
      <c r="S6" s="10" t="s">
        <v>94</v>
      </c>
      <c r="T6" s="10" t="s">
        <v>450</v>
      </c>
      <c r="U6" s="5" t="s">
        <v>451</v>
      </c>
      <c r="V6" s="10" t="s">
        <v>106</v>
      </c>
      <c r="W6" s="10" t="s">
        <v>107</v>
      </c>
      <c r="X6" s="10" t="s">
        <v>108</v>
      </c>
      <c r="Y6" s="10" t="s">
        <v>452</v>
      </c>
      <c r="Z6" s="10" t="s">
        <v>456</v>
      </c>
    </row>
    <row r="7" spans="1:26">
      <c r="A7" s="10" t="s">
        <v>110</v>
      </c>
      <c r="B7" s="10" t="s">
        <v>443</v>
      </c>
      <c r="C7" s="11">
        <v>18726</v>
      </c>
      <c r="D7" s="11">
        <v>16370</v>
      </c>
      <c r="E7" s="10" t="s">
        <v>83</v>
      </c>
      <c r="F7" s="10" t="s">
        <v>444</v>
      </c>
      <c r="G7" s="10" t="s">
        <v>445</v>
      </c>
      <c r="H7" s="10" t="s">
        <v>86</v>
      </c>
      <c r="I7" s="10" t="s">
        <v>87</v>
      </c>
      <c r="J7" s="6" t="s">
        <v>111</v>
      </c>
      <c r="K7" s="12">
        <v>85</v>
      </c>
      <c r="L7" s="10" t="s">
        <v>446</v>
      </c>
      <c r="M7" s="5" t="s">
        <v>447</v>
      </c>
      <c r="N7" s="5" t="s">
        <v>457</v>
      </c>
      <c r="O7" s="5" t="s">
        <v>455</v>
      </c>
      <c r="P7" s="5" t="s">
        <v>113</v>
      </c>
      <c r="Q7" s="10" t="s">
        <v>94</v>
      </c>
      <c r="R7" s="10" t="s">
        <v>94</v>
      </c>
      <c r="S7" s="10" t="s">
        <v>94</v>
      </c>
      <c r="T7" s="10" t="s">
        <v>450</v>
      </c>
      <c r="U7" s="5" t="s">
        <v>451</v>
      </c>
      <c r="V7" s="10" t="s">
        <v>114</v>
      </c>
      <c r="W7" s="10" t="s">
        <v>115</v>
      </c>
      <c r="X7" s="10" t="s">
        <v>116</v>
      </c>
      <c r="Y7" s="10" t="s">
        <v>452</v>
      </c>
      <c r="Z7" s="10" t="s">
        <v>458</v>
      </c>
    </row>
    <row r="8" spans="1:26">
      <c r="A8" s="10" t="s">
        <v>118</v>
      </c>
      <c r="B8" s="10" t="s">
        <v>443</v>
      </c>
      <c r="C8" s="11">
        <v>21308</v>
      </c>
      <c r="D8" s="11">
        <v>18726</v>
      </c>
      <c r="E8" s="10" t="s">
        <v>83</v>
      </c>
      <c r="F8" s="10" t="s">
        <v>444</v>
      </c>
      <c r="G8" s="10" t="s">
        <v>445</v>
      </c>
      <c r="H8" s="10" t="s">
        <v>86</v>
      </c>
      <c r="I8" s="10" t="s">
        <v>87</v>
      </c>
      <c r="J8" s="6" t="s">
        <v>119</v>
      </c>
      <c r="K8" s="12">
        <v>83</v>
      </c>
      <c r="L8" s="10" t="s">
        <v>459</v>
      </c>
      <c r="M8" s="5" t="s">
        <v>447</v>
      </c>
      <c r="N8" s="5" t="s">
        <v>460</v>
      </c>
      <c r="O8" s="5" t="s">
        <v>455</v>
      </c>
      <c r="P8" s="5" t="s">
        <v>121</v>
      </c>
      <c r="Q8" s="10" t="s">
        <v>94</v>
      </c>
      <c r="R8" s="10" t="s">
        <v>94</v>
      </c>
      <c r="S8" s="10" t="s">
        <v>94</v>
      </c>
      <c r="T8" s="10" t="s">
        <v>450</v>
      </c>
      <c r="U8" s="5" t="s">
        <v>451</v>
      </c>
      <c r="V8" s="10" t="s">
        <v>122</v>
      </c>
      <c r="W8" s="10" t="s">
        <v>123</v>
      </c>
      <c r="X8" s="10" t="s">
        <v>124</v>
      </c>
      <c r="Y8" s="10" t="s">
        <v>452</v>
      </c>
      <c r="Z8" s="10" t="s">
        <v>461</v>
      </c>
    </row>
    <row r="9" spans="1:26">
      <c r="A9" s="10" t="s">
        <v>126</v>
      </c>
      <c r="B9" s="10" t="s">
        <v>443</v>
      </c>
      <c r="C9" s="11">
        <v>21519</v>
      </c>
      <c r="D9" s="11">
        <v>21308</v>
      </c>
      <c r="E9" s="10" t="s">
        <v>83</v>
      </c>
      <c r="F9" s="10" t="s">
        <v>444</v>
      </c>
      <c r="G9" s="10" t="s">
        <v>445</v>
      </c>
      <c r="H9" s="10" t="s">
        <v>86</v>
      </c>
      <c r="I9" s="10" t="s">
        <v>87</v>
      </c>
      <c r="J9" s="6" t="s">
        <v>127</v>
      </c>
      <c r="K9" s="12">
        <v>84</v>
      </c>
      <c r="L9" s="10" t="s">
        <v>459</v>
      </c>
      <c r="M9" s="5" t="s">
        <v>447</v>
      </c>
      <c r="N9" s="5" t="s">
        <v>462</v>
      </c>
      <c r="O9" s="5" t="s">
        <v>463</v>
      </c>
      <c r="P9" s="5" t="s">
        <v>129</v>
      </c>
      <c r="Q9" s="10" t="s">
        <v>94</v>
      </c>
      <c r="R9" s="10" t="s">
        <v>94</v>
      </c>
      <c r="S9" s="10" t="s">
        <v>94</v>
      </c>
      <c r="T9" s="10" t="s">
        <v>450</v>
      </c>
      <c r="U9" s="5" t="s">
        <v>451</v>
      </c>
      <c r="V9" s="10" t="s">
        <v>130</v>
      </c>
      <c r="W9" s="10" t="s">
        <v>131</v>
      </c>
      <c r="X9" s="10" t="s">
        <v>132</v>
      </c>
      <c r="Y9" s="10" t="s">
        <v>452</v>
      </c>
      <c r="Z9" s="10" t="s">
        <v>464</v>
      </c>
    </row>
    <row r="10" spans="1:26">
      <c r="A10" s="10" t="s">
        <v>134</v>
      </c>
      <c r="B10" s="10" t="s">
        <v>443</v>
      </c>
      <c r="C10" s="11">
        <v>18783</v>
      </c>
      <c r="D10" s="11">
        <v>21519</v>
      </c>
      <c r="E10" s="10" t="s">
        <v>83</v>
      </c>
      <c r="F10" s="10" t="s">
        <v>444</v>
      </c>
      <c r="G10" s="10" t="s">
        <v>445</v>
      </c>
      <c r="H10" s="10" t="s">
        <v>86</v>
      </c>
      <c r="I10" s="10" t="s">
        <v>87</v>
      </c>
      <c r="J10" s="6" t="s">
        <v>135</v>
      </c>
      <c r="K10" s="12">
        <v>82</v>
      </c>
      <c r="L10" s="10" t="s">
        <v>459</v>
      </c>
      <c r="M10" s="5" t="s">
        <v>447</v>
      </c>
      <c r="N10" s="5" t="s">
        <v>465</v>
      </c>
      <c r="O10" s="5" t="s">
        <v>466</v>
      </c>
      <c r="P10" s="5" t="s">
        <v>137</v>
      </c>
      <c r="Q10" s="10" t="s">
        <v>94</v>
      </c>
      <c r="R10" s="10" t="s">
        <v>94</v>
      </c>
      <c r="S10" s="10" t="s">
        <v>94</v>
      </c>
      <c r="T10" s="10" t="s">
        <v>450</v>
      </c>
      <c r="U10" s="5" t="s">
        <v>451</v>
      </c>
      <c r="V10" s="10" t="s">
        <v>138</v>
      </c>
      <c r="W10" s="10" t="s">
        <v>139</v>
      </c>
      <c r="X10" s="10" t="s">
        <v>140</v>
      </c>
      <c r="Y10" s="10" t="s">
        <v>452</v>
      </c>
      <c r="Z10" s="10" t="s">
        <v>467</v>
      </c>
    </row>
    <row r="11" spans="1:26">
      <c r="A11" s="10" t="s">
        <v>142</v>
      </c>
      <c r="B11" s="10" t="s">
        <v>443</v>
      </c>
      <c r="C11" s="11">
        <v>17720</v>
      </c>
      <c r="D11" s="11">
        <v>18783</v>
      </c>
      <c r="E11" s="10" t="s">
        <v>83</v>
      </c>
      <c r="F11" s="10" t="s">
        <v>444</v>
      </c>
      <c r="G11" s="10" t="s">
        <v>445</v>
      </c>
      <c r="H11" s="10" t="s">
        <v>86</v>
      </c>
      <c r="I11" s="10" t="s">
        <v>87</v>
      </c>
      <c r="J11" s="6" t="s">
        <v>143</v>
      </c>
      <c r="K11" s="12">
        <v>83</v>
      </c>
      <c r="L11" s="10" t="s">
        <v>459</v>
      </c>
      <c r="M11" s="5" t="s">
        <v>447</v>
      </c>
      <c r="N11" s="5" t="s">
        <v>468</v>
      </c>
      <c r="O11" s="5" t="s">
        <v>455</v>
      </c>
      <c r="P11" s="5" t="s">
        <v>145</v>
      </c>
      <c r="Q11" s="10" t="s">
        <v>94</v>
      </c>
      <c r="R11" s="10" t="s">
        <v>94</v>
      </c>
      <c r="S11" s="10" t="s">
        <v>94</v>
      </c>
      <c r="T11" s="10" t="s">
        <v>450</v>
      </c>
      <c r="U11" s="5" t="s">
        <v>451</v>
      </c>
      <c r="V11" s="10" t="s">
        <v>146</v>
      </c>
      <c r="W11" s="10" t="s">
        <v>147</v>
      </c>
      <c r="X11" s="10" t="s">
        <v>148</v>
      </c>
      <c r="Y11" s="10" t="s">
        <v>452</v>
      </c>
      <c r="Z11" s="10" t="s">
        <v>469</v>
      </c>
    </row>
    <row r="12" spans="1:26">
      <c r="A12" s="10" t="s">
        <v>81</v>
      </c>
      <c r="B12" s="10" t="s">
        <v>470</v>
      </c>
      <c r="C12" s="11">
        <v>23156</v>
      </c>
      <c r="D12" s="11">
        <v>25423</v>
      </c>
      <c r="E12" s="10" t="s">
        <v>83</v>
      </c>
      <c r="F12" s="10" t="s">
        <v>444</v>
      </c>
      <c r="G12" s="10" t="s">
        <v>471</v>
      </c>
      <c r="H12" s="10" t="s">
        <v>86</v>
      </c>
      <c r="I12" s="10" t="s">
        <v>87</v>
      </c>
      <c r="J12" s="6" t="s">
        <v>88</v>
      </c>
      <c r="K12" s="12">
        <v>88</v>
      </c>
      <c r="L12" s="10" t="s">
        <v>446</v>
      </c>
      <c r="M12" s="5" t="s">
        <v>472</v>
      </c>
      <c r="N12" s="5" t="s">
        <v>473</v>
      </c>
      <c r="O12" s="5" t="s">
        <v>449</v>
      </c>
      <c r="P12" s="5" t="s">
        <v>93</v>
      </c>
      <c r="Q12" s="10" t="s">
        <v>94</v>
      </c>
      <c r="R12" s="10" t="s">
        <v>94</v>
      </c>
      <c r="S12" s="10" t="s">
        <v>94</v>
      </c>
      <c r="T12" s="10" t="s">
        <v>474</v>
      </c>
      <c r="U12" s="5" t="s">
        <v>475</v>
      </c>
      <c r="V12" s="10" t="s">
        <v>97</v>
      </c>
      <c r="W12" s="10" t="s">
        <v>98</v>
      </c>
      <c r="X12" s="10" t="s">
        <v>99</v>
      </c>
      <c r="Y12" s="10" t="s">
        <v>476</v>
      </c>
      <c r="Z12" s="10" t="s">
        <v>477</v>
      </c>
    </row>
    <row r="13" spans="1:26">
      <c r="A13" s="10" t="s">
        <v>102</v>
      </c>
      <c r="B13" s="10" t="s">
        <v>470</v>
      </c>
      <c r="C13" s="11">
        <v>25898</v>
      </c>
      <c r="D13" s="11">
        <v>23156</v>
      </c>
      <c r="E13" s="10" t="s">
        <v>83</v>
      </c>
      <c r="F13" s="10" t="s">
        <v>444</v>
      </c>
      <c r="G13" s="10" t="s">
        <v>471</v>
      </c>
      <c r="H13" s="10" t="s">
        <v>86</v>
      </c>
      <c r="I13" s="10" t="s">
        <v>87</v>
      </c>
      <c r="J13" s="6" t="s">
        <v>103</v>
      </c>
      <c r="K13" s="12">
        <v>86</v>
      </c>
      <c r="L13" s="10" t="s">
        <v>446</v>
      </c>
      <c r="M13" s="5" t="s">
        <v>472</v>
      </c>
      <c r="N13" s="5" t="s">
        <v>478</v>
      </c>
      <c r="O13" s="5" t="s">
        <v>455</v>
      </c>
      <c r="P13" s="5" t="s">
        <v>105</v>
      </c>
      <c r="Q13" s="10" t="s">
        <v>94</v>
      </c>
      <c r="R13" s="10" t="s">
        <v>94</v>
      </c>
      <c r="S13" s="10" t="s">
        <v>94</v>
      </c>
      <c r="T13" s="10" t="s">
        <v>474</v>
      </c>
      <c r="U13" s="5" t="s">
        <v>475</v>
      </c>
      <c r="V13" s="10" t="s">
        <v>106</v>
      </c>
      <c r="W13" s="10" t="s">
        <v>107</v>
      </c>
      <c r="X13" s="10" t="s">
        <v>108</v>
      </c>
      <c r="Y13" s="10" t="s">
        <v>476</v>
      </c>
      <c r="Z13" s="10" t="s">
        <v>479</v>
      </c>
    </row>
    <row r="14" spans="1:26">
      <c r="A14" s="10" t="s">
        <v>110</v>
      </c>
      <c r="B14" s="10" t="s">
        <v>470</v>
      </c>
      <c r="C14" s="11">
        <v>25608</v>
      </c>
      <c r="D14" s="11">
        <v>25898</v>
      </c>
      <c r="E14" s="10" t="s">
        <v>83</v>
      </c>
      <c r="F14" s="10" t="s">
        <v>444</v>
      </c>
      <c r="G14" s="10" t="s">
        <v>471</v>
      </c>
      <c r="H14" s="10" t="s">
        <v>86</v>
      </c>
      <c r="I14" s="10" t="s">
        <v>87</v>
      </c>
      <c r="J14" s="6" t="s">
        <v>111</v>
      </c>
      <c r="K14" s="12">
        <v>85</v>
      </c>
      <c r="L14" s="10" t="s">
        <v>446</v>
      </c>
      <c r="M14" s="5" t="s">
        <v>472</v>
      </c>
      <c r="N14" s="5" t="s">
        <v>480</v>
      </c>
      <c r="O14" s="5" t="s">
        <v>455</v>
      </c>
      <c r="P14" s="5" t="s">
        <v>113</v>
      </c>
      <c r="Q14" s="10" t="s">
        <v>94</v>
      </c>
      <c r="R14" s="10" t="s">
        <v>94</v>
      </c>
      <c r="S14" s="10" t="s">
        <v>94</v>
      </c>
      <c r="T14" s="10" t="s">
        <v>474</v>
      </c>
      <c r="U14" s="5" t="s">
        <v>475</v>
      </c>
      <c r="V14" s="10" t="s">
        <v>114</v>
      </c>
      <c r="W14" s="10" t="s">
        <v>115</v>
      </c>
      <c r="X14" s="10" t="s">
        <v>116</v>
      </c>
      <c r="Y14" s="10" t="s">
        <v>476</v>
      </c>
      <c r="Z14" s="10" t="s">
        <v>481</v>
      </c>
    </row>
    <row r="15" spans="1:26">
      <c r="A15" s="10" t="s">
        <v>118</v>
      </c>
      <c r="B15" s="10" t="s">
        <v>470</v>
      </c>
      <c r="C15" s="11">
        <v>27397</v>
      </c>
      <c r="D15" s="11">
        <v>25608</v>
      </c>
      <c r="E15" s="10" t="s">
        <v>83</v>
      </c>
      <c r="F15" s="10" t="s">
        <v>444</v>
      </c>
      <c r="G15" s="10" t="s">
        <v>471</v>
      </c>
      <c r="H15" s="10" t="s">
        <v>86</v>
      </c>
      <c r="I15" s="10" t="s">
        <v>87</v>
      </c>
      <c r="J15" s="6" t="s">
        <v>119</v>
      </c>
      <c r="K15" s="12">
        <v>83</v>
      </c>
      <c r="L15" s="10" t="s">
        <v>459</v>
      </c>
      <c r="M15" s="5" t="s">
        <v>472</v>
      </c>
      <c r="N15" s="5" t="s">
        <v>482</v>
      </c>
      <c r="O15" s="5" t="s">
        <v>455</v>
      </c>
      <c r="P15" s="5" t="s">
        <v>121</v>
      </c>
      <c r="Q15" s="10" t="s">
        <v>94</v>
      </c>
      <c r="R15" s="10" t="s">
        <v>94</v>
      </c>
      <c r="S15" s="10" t="s">
        <v>94</v>
      </c>
      <c r="T15" s="10" t="s">
        <v>474</v>
      </c>
      <c r="U15" s="5" t="s">
        <v>475</v>
      </c>
      <c r="V15" s="10" t="s">
        <v>122</v>
      </c>
      <c r="W15" s="10" t="s">
        <v>123</v>
      </c>
      <c r="X15" s="10" t="s">
        <v>124</v>
      </c>
      <c r="Y15" s="10" t="s">
        <v>476</v>
      </c>
      <c r="Z15" s="10" t="s">
        <v>483</v>
      </c>
    </row>
    <row r="16" spans="1:26">
      <c r="A16" s="10" t="s">
        <v>126</v>
      </c>
      <c r="B16" s="10" t="s">
        <v>470</v>
      </c>
      <c r="C16" s="11">
        <v>27758</v>
      </c>
      <c r="D16" s="11">
        <v>27397</v>
      </c>
      <c r="E16" s="10" t="s">
        <v>83</v>
      </c>
      <c r="F16" s="10" t="s">
        <v>444</v>
      </c>
      <c r="G16" s="10" t="s">
        <v>471</v>
      </c>
      <c r="H16" s="10" t="s">
        <v>86</v>
      </c>
      <c r="I16" s="10" t="s">
        <v>87</v>
      </c>
      <c r="J16" s="6" t="s">
        <v>127</v>
      </c>
      <c r="K16" s="12">
        <v>84</v>
      </c>
      <c r="L16" s="10" t="s">
        <v>459</v>
      </c>
      <c r="M16" s="5" t="s">
        <v>472</v>
      </c>
      <c r="N16" s="5" t="s">
        <v>484</v>
      </c>
      <c r="O16" s="5" t="s">
        <v>463</v>
      </c>
      <c r="P16" s="5" t="s">
        <v>129</v>
      </c>
      <c r="Q16" s="10" t="s">
        <v>94</v>
      </c>
      <c r="R16" s="10" t="s">
        <v>94</v>
      </c>
      <c r="S16" s="10" t="s">
        <v>94</v>
      </c>
      <c r="T16" s="10" t="s">
        <v>474</v>
      </c>
      <c r="U16" s="5" t="s">
        <v>475</v>
      </c>
      <c r="V16" s="10" t="s">
        <v>130</v>
      </c>
      <c r="W16" s="10" t="s">
        <v>131</v>
      </c>
      <c r="X16" s="10" t="s">
        <v>132</v>
      </c>
      <c r="Y16" s="10" t="s">
        <v>476</v>
      </c>
      <c r="Z16" s="10" t="s">
        <v>485</v>
      </c>
    </row>
    <row r="17" spans="1:26">
      <c r="A17" s="10" t="s">
        <v>134</v>
      </c>
      <c r="B17" s="10" t="s">
        <v>470</v>
      </c>
      <c r="C17" s="11">
        <v>25883</v>
      </c>
      <c r="D17" s="11">
        <v>27758</v>
      </c>
      <c r="E17" s="10" t="s">
        <v>83</v>
      </c>
      <c r="F17" s="10" t="s">
        <v>444</v>
      </c>
      <c r="G17" s="10" t="s">
        <v>471</v>
      </c>
      <c r="H17" s="10" t="s">
        <v>86</v>
      </c>
      <c r="I17" s="10" t="s">
        <v>87</v>
      </c>
      <c r="J17" s="6" t="s">
        <v>135</v>
      </c>
      <c r="K17" s="12">
        <v>82</v>
      </c>
      <c r="L17" s="10" t="s">
        <v>459</v>
      </c>
      <c r="M17" s="5" t="s">
        <v>472</v>
      </c>
      <c r="N17" s="5" t="s">
        <v>486</v>
      </c>
      <c r="O17" s="5" t="s">
        <v>466</v>
      </c>
      <c r="P17" s="5" t="s">
        <v>137</v>
      </c>
      <c r="Q17" s="10" t="s">
        <v>94</v>
      </c>
      <c r="R17" s="10" t="s">
        <v>94</v>
      </c>
      <c r="S17" s="10" t="s">
        <v>94</v>
      </c>
      <c r="T17" s="10" t="s">
        <v>474</v>
      </c>
      <c r="U17" s="5" t="s">
        <v>475</v>
      </c>
      <c r="V17" s="10" t="s">
        <v>138</v>
      </c>
      <c r="W17" s="10" t="s">
        <v>139</v>
      </c>
      <c r="X17" s="10" t="s">
        <v>140</v>
      </c>
      <c r="Y17" s="10" t="s">
        <v>476</v>
      </c>
      <c r="Z17" s="10" t="s">
        <v>487</v>
      </c>
    </row>
    <row r="18" spans="1:26">
      <c r="A18" s="10" t="s">
        <v>142</v>
      </c>
      <c r="B18" s="10" t="s">
        <v>470</v>
      </c>
      <c r="C18" s="11">
        <v>27453</v>
      </c>
      <c r="D18" s="11">
        <v>25883</v>
      </c>
      <c r="E18" s="10" t="s">
        <v>83</v>
      </c>
      <c r="F18" s="10" t="s">
        <v>444</v>
      </c>
      <c r="G18" s="10" t="s">
        <v>471</v>
      </c>
      <c r="H18" s="10" t="s">
        <v>86</v>
      </c>
      <c r="I18" s="10" t="s">
        <v>87</v>
      </c>
      <c r="J18" s="6" t="s">
        <v>143</v>
      </c>
      <c r="K18" s="12">
        <v>83</v>
      </c>
      <c r="L18" s="10" t="s">
        <v>459</v>
      </c>
      <c r="M18" s="5" t="s">
        <v>472</v>
      </c>
      <c r="N18" s="5" t="s">
        <v>488</v>
      </c>
      <c r="O18" s="5" t="s">
        <v>455</v>
      </c>
      <c r="P18" s="5" t="s">
        <v>145</v>
      </c>
      <c r="Q18" s="10" t="s">
        <v>94</v>
      </c>
      <c r="R18" s="10" t="s">
        <v>94</v>
      </c>
      <c r="S18" s="10" t="s">
        <v>94</v>
      </c>
      <c r="T18" s="10" t="s">
        <v>474</v>
      </c>
      <c r="U18" s="5" t="s">
        <v>475</v>
      </c>
      <c r="V18" s="10" t="s">
        <v>146</v>
      </c>
      <c r="W18" s="10" t="s">
        <v>147</v>
      </c>
      <c r="X18" s="10" t="s">
        <v>148</v>
      </c>
      <c r="Y18" s="10" t="s">
        <v>476</v>
      </c>
      <c r="Z18" s="10" t="s">
        <v>489</v>
      </c>
    </row>
    <row r="19" spans="1:26">
      <c r="A19" s="10" t="s">
        <v>81</v>
      </c>
      <c r="B19" s="10" t="s">
        <v>490</v>
      </c>
      <c r="C19" s="11">
        <v>30</v>
      </c>
      <c r="D19" s="11">
        <v>42</v>
      </c>
      <c r="E19" s="10" t="s">
        <v>83</v>
      </c>
      <c r="F19" s="10" t="s">
        <v>444</v>
      </c>
      <c r="G19" s="10" t="s">
        <v>491</v>
      </c>
      <c r="H19" s="10" t="s">
        <v>86</v>
      </c>
      <c r="I19" s="10" t="s">
        <v>87</v>
      </c>
      <c r="J19" s="6" t="s">
        <v>88</v>
      </c>
      <c r="K19" s="12">
        <v>88</v>
      </c>
      <c r="L19" s="10" t="s">
        <v>446</v>
      </c>
      <c r="M19" s="5" t="s">
        <v>492</v>
      </c>
      <c r="N19" s="5" t="s">
        <v>493</v>
      </c>
      <c r="O19" s="5" t="s">
        <v>449</v>
      </c>
      <c r="P19" s="5" t="s">
        <v>93</v>
      </c>
      <c r="Q19" s="10" t="s">
        <v>94</v>
      </c>
      <c r="R19" s="10" t="s">
        <v>94</v>
      </c>
      <c r="S19" s="10" t="s">
        <v>94</v>
      </c>
      <c r="T19" s="10" t="s">
        <v>494</v>
      </c>
      <c r="U19" s="5" t="s">
        <v>495</v>
      </c>
      <c r="V19" s="10" t="s">
        <v>97</v>
      </c>
      <c r="W19" s="10" t="s">
        <v>98</v>
      </c>
      <c r="X19" s="10" t="s">
        <v>99</v>
      </c>
      <c r="Y19" s="10" t="s">
        <v>496</v>
      </c>
      <c r="Z19" s="10" t="s">
        <v>497</v>
      </c>
    </row>
    <row r="20" spans="1:26">
      <c r="A20" s="10" t="s">
        <v>102</v>
      </c>
      <c r="B20" s="10" t="s">
        <v>490</v>
      </c>
      <c r="C20" s="11">
        <v>25</v>
      </c>
      <c r="D20" s="11">
        <v>30</v>
      </c>
      <c r="E20" s="10" t="s">
        <v>83</v>
      </c>
      <c r="F20" s="10" t="s">
        <v>444</v>
      </c>
      <c r="G20" s="10" t="s">
        <v>491</v>
      </c>
      <c r="H20" s="10" t="s">
        <v>86</v>
      </c>
      <c r="I20" s="10" t="s">
        <v>87</v>
      </c>
      <c r="J20" s="6" t="s">
        <v>103</v>
      </c>
      <c r="K20" s="12">
        <v>86</v>
      </c>
      <c r="L20" s="10" t="s">
        <v>446</v>
      </c>
      <c r="M20" s="5" t="s">
        <v>492</v>
      </c>
      <c r="N20" s="5" t="s">
        <v>498</v>
      </c>
      <c r="O20" s="5" t="s">
        <v>455</v>
      </c>
      <c r="P20" s="5" t="s">
        <v>105</v>
      </c>
      <c r="Q20" s="10" t="s">
        <v>94</v>
      </c>
      <c r="R20" s="10" t="s">
        <v>94</v>
      </c>
      <c r="S20" s="10" t="s">
        <v>94</v>
      </c>
      <c r="T20" s="10" t="s">
        <v>494</v>
      </c>
      <c r="U20" s="5" t="s">
        <v>495</v>
      </c>
      <c r="V20" s="10" t="s">
        <v>106</v>
      </c>
      <c r="W20" s="10" t="s">
        <v>107</v>
      </c>
      <c r="X20" s="10" t="s">
        <v>108</v>
      </c>
      <c r="Y20" s="10" t="s">
        <v>496</v>
      </c>
      <c r="Z20" s="10" t="s">
        <v>499</v>
      </c>
    </row>
    <row r="21" spans="1:26">
      <c r="A21" s="10" t="s">
        <v>110</v>
      </c>
      <c r="B21" s="10" t="s">
        <v>490</v>
      </c>
      <c r="C21" s="11">
        <v>102</v>
      </c>
      <c r="D21" s="11">
        <v>25</v>
      </c>
      <c r="E21" s="10" t="s">
        <v>83</v>
      </c>
      <c r="F21" s="10" t="s">
        <v>444</v>
      </c>
      <c r="G21" s="10" t="s">
        <v>491</v>
      </c>
      <c r="H21" s="10" t="s">
        <v>86</v>
      </c>
      <c r="I21" s="10" t="s">
        <v>87</v>
      </c>
      <c r="J21" s="6" t="s">
        <v>111</v>
      </c>
      <c r="K21" s="12">
        <v>85</v>
      </c>
      <c r="L21" s="10" t="s">
        <v>446</v>
      </c>
      <c r="M21" s="5" t="s">
        <v>492</v>
      </c>
      <c r="N21" s="5" t="s">
        <v>500</v>
      </c>
      <c r="O21" s="5" t="s">
        <v>455</v>
      </c>
      <c r="P21" s="5" t="s">
        <v>113</v>
      </c>
      <c r="Q21" s="10" t="s">
        <v>94</v>
      </c>
      <c r="R21" s="10" t="s">
        <v>94</v>
      </c>
      <c r="S21" s="10" t="s">
        <v>94</v>
      </c>
      <c r="T21" s="10" t="s">
        <v>494</v>
      </c>
      <c r="U21" s="5" t="s">
        <v>495</v>
      </c>
      <c r="V21" s="10" t="s">
        <v>114</v>
      </c>
      <c r="W21" s="10" t="s">
        <v>115</v>
      </c>
      <c r="X21" s="10" t="s">
        <v>116</v>
      </c>
      <c r="Y21" s="10" t="s">
        <v>496</v>
      </c>
      <c r="Z21" s="10" t="s">
        <v>501</v>
      </c>
    </row>
    <row r="22" spans="1:26">
      <c r="A22" s="10" t="s">
        <v>118</v>
      </c>
      <c r="B22" s="10" t="s">
        <v>490</v>
      </c>
      <c r="C22" s="11">
        <v>58</v>
      </c>
      <c r="D22" s="11">
        <v>102</v>
      </c>
      <c r="E22" s="10" t="s">
        <v>83</v>
      </c>
      <c r="F22" s="10" t="s">
        <v>444</v>
      </c>
      <c r="G22" s="10" t="s">
        <v>491</v>
      </c>
      <c r="H22" s="10" t="s">
        <v>86</v>
      </c>
      <c r="I22" s="10" t="s">
        <v>87</v>
      </c>
      <c r="J22" s="6" t="s">
        <v>119</v>
      </c>
      <c r="K22" s="12">
        <v>83</v>
      </c>
      <c r="L22" s="10" t="s">
        <v>459</v>
      </c>
      <c r="M22" s="5" t="s">
        <v>492</v>
      </c>
      <c r="N22" s="5" t="s">
        <v>502</v>
      </c>
      <c r="O22" s="5" t="s">
        <v>455</v>
      </c>
      <c r="P22" s="5" t="s">
        <v>121</v>
      </c>
      <c r="Q22" s="10" t="s">
        <v>94</v>
      </c>
      <c r="R22" s="10" t="s">
        <v>94</v>
      </c>
      <c r="S22" s="10" t="s">
        <v>94</v>
      </c>
      <c r="T22" s="10" t="s">
        <v>494</v>
      </c>
      <c r="U22" s="5" t="s">
        <v>495</v>
      </c>
      <c r="V22" s="10" t="s">
        <v>122</v>
      </c>
      <c r="W22" s="10" t="s">
        <v>123</v>
      </c>
      <c r="X22" s="10" t="s">
        <v>124</v>
      </c>
      <c r="Y22" s="10" t="s">
        <v>496</v>
      </c>
      <c r="Z22" s="10" t="s">
        <v>503</v>
      </c>
    </row>
    <row r="23" spans="1:26">
      <c r="A23" s="10" t="s">
        <v>126</v>
      </c>
      <c r="B23" s="10" t="s">
        <v>490</v>
      </c>
      <c r="C23" s="11">
        <v>45</v>
      </c>
      <c r="D23" s="11">
        <v>58</v>
      </c>
      <c r="E23" s="10" t="s">
        <v>83</v>
      </c>
      <c r="F23" s="10" t="s">
        <v>444</v>
      </c>
      <c r="G23" s="10" t="s">
        <v>491</v>
      </c>
      <c r="H23" s="10" t="s">
        <v>86</v>
      </c>
      <c r="I23" s="10" t="s">
        <v>87</v>
      </c>
      <c r="J23" s="6" t="s">
        <v>127</v>
      </c>
      <c r="K23" s="12">
        <v>84</v>
      </c>
      <c r="L23" s="10" t="s">
        <v>459</v>
      </c>
      <c r="M23" s="5" t="s">
        <v>492</v>
      </c>
      <c r="N23" s="5" t="s">
        <v>504</v>
      </c>
      <c r="O23" s="5" t="s">
        <v>463</v>
      </c>
      <c r="P23" s="5" t="s">
        <v>129</v>
      </c>
      <c r="Q23" s="10" t="s">
        <v>94</v>
      </c>
      <c r="R23" s="10" t="s">
        <v>94</v>
      </c>
      <c r="S23" s="10" t="s">
        <v>94</v>
      </c>
      <c r="T23" s="10" t="s">
        <v>494</v>
      </c>
      <c r="U23" s="5" t="s">
        <v>495</v>
      </c>
      <c r="V23" s="10" t="s">
        <v>130</v>
      </c>
      <c r="W23" s="10" t="s">
        <v>131</v>
      </c>
      <c r="X23" s="10" t="s">
        <v>132</v>
      </c>
      <c r="Y23" s="10" t="s">
        <v>496</v>
      </c>
      <c r="Z23" s="10" t="s">
        <v>505</v>
      </c>
    </row>
    <row r="24" spans="1:26">
      <c r="A24" s="10" t="s">
        <v>134</v>
      </c>
      <c r="B24" s="10" t="s">
        <v>490</v>
      </c>
      <c r="C24" s="11">
        <v>48</v>
      </c>
      <c r="D24" s="11">
        <v>45</v>
      </c>
      <c r="E24" s="10" t="s">
        <v>83</v>
      </c>
      <c r="F24" s="10" t="s">
        <v>444</v>
      </c>
      <c r="G24" s="10" t="s">
        <v>491</v>
      </c>
      <c r="H24" s="10" t="s">
        <v>86</v>
      </c>
      <c r="I24" s="10" t="s">
        <v>87</v>
      </c>
      <c r="J24" s="6" t="s">
        <v>135</v>
      </c>
      <c r="K24" s="12">
        <v>82</v>
      </c>
      <c r="L24" s="10" t="s">
        <v>459</v>
      </c>
      <c r="M24" s="5" t="s">
        <v>492</v>
      </c>
      <c r="N24" s="5" t="s">
        <v>506</v>
      </c>
      <c r="O24" s="5" t="s">
        <v>466</v>
      </c>
      <c r="P24" s="5" t="s">
        <v>137</v>
      </c>
      <c r="Q24" s="10" t="s">
        <v>94</v>
      </c>
      <c r="R24" s="10" t="s">
        <v>94</v>
      </c>
      <c r="S24" s="10" t="s">
        <v>94</v>
      </c>
      <c r="T24" s="10" t="s">
        <v>494</v>
      </c>
      <c r="U24" s="5" t="s">
        <v>495</v>
      </c>
      <c r="V24" s="10" t="s">
        <v>138</v>
      </c>
      <c r="W24" s="10" t="s">
        <v>139</v>
      </c>
      <c r="X24" s="10" t="s">
        <v>140</v>
      </c>
      <c r="Y24" s="10" t="s">
        <v>496</v>
      </c>
      <c r="Z24" s="10" t="s">
        <v>507</v>
      </c>
    </row>
    <row r="25" spans="1:26">
      <c r="A25" s="10" t="s">
        <v>142</v>
      </c>
      <c r="B25" s="10" t="s">
        <v>490</v>
      </c>
      <c r="C25" s="11">
        <v>49</v>
      </c>
      <c r="D25" s="11">
        <v>48</v>
      </c>
      <c r="E25" s="10" t="s">
        <v>83</v>
      </c>
      <c r="F25" s="10" t="s">
        <v>444</v>
      </c>
      <c r="G25" s="10" t="s">
        <v>491</v>
      </c>
      <c r="H25" s="10" t="s">
        <v>86</v>
      </c>
      <c r="I25" s="10" t="s">
        <v>87</v>
      </c>
      <c r="J25" s="6" t="s">
        <v>143</v>
      </c>
      <c r="K25" s="12">
        <v>83</v>
      </c>
      <c r="L25" s="10" t="s">
        <v>459</v>
      </c>
      <c r="M25" s="5" t="s">
        <v>492</v>
      </c>
      <c r="N25" s="5" t="s">
        <v>508</v>
      </c>
      <c r="O25" s="5" t="s">
        <v>455</v>
      </c>
      <c r="P25" s="5" t="s">
        <v>145</v>
      </c>
      <c r="Q25" s="10" t="s">
        <v>94</v>
      </c>
      <c r="R25" s="10" t="s">
        <v>94</v>
      </c>
      <c r="S25" s="10" t="s">
        <v>94</v>
      </c>
      <c r="T25" s="10" t="s">
        <v>494</v>
      </c>
      <c r="U25" s="5" t="s">
        <v>495</v>
      </c>
      <c r="V25" s="10" t="s">
        <v>146</v>
      </c>
      <c r="W25" s="10" t="s">
        <v>147</v>
      </c>
      <c r="X25" s="10" t="s">
        <v>148</v>
      </c>
      <c r="Y25" s="10" t="s">
        <v>496</v>
      </c>
      <c r="Z25" s="10" t="s">
        <v>509</v>
      </c>
    </row>
    <row r="26" spans="1:26">
      <c r="A26" s="10" t="s">
        <v>81</v>
      </c>
      <c r="B26" s="10" t="s">
        <v>510</v>
      </c>
      <c r="C26" s="11">
        <v>35568</v>
      </c>
      <c r="D26" s="11">
        <v>37218</v>
      </c>
      <c r="E26" s="10" t="s">
        <v>83</v>
      </c>
      <c r="F26" s="10" t="s">
        <v>444</v>
      </c>
      <c r="G26" s="10" t="s">
        <v>511</v>
      </c>
      <c r="H26" s="10" t="s">
        <v>86</v>
      </c>
      <c r="I26" s="10" t="s">
        <v>87</v>
      </c>
      <c r="J26" s="6" t="s">
        <v>88</v>
      </c>
      <c r="K26" s="12">
        <v>88</v>
      </c>
      <c r="L26" s="10" t="s">
        <v>446</v>
      </c>
      <c r="M26" s="5" t="s">
        <v>512</v>
      </c>
      <c r="N26" s="5" t="s">
        <v>513</v>
      </c>
      <c r="O26" s="5" t="s">
        <v>449</v>
      </c>
      <c r="P26" s="5" t="s">
        <v>93</v>
      </c>
      <c r="Q26" s="10" t="s">
        <v>94</v>
      </c>
      <c r="R26" s="10" t="s">
        <v>94</v>
      </c>
      <c r="S26" s="10" t="s">
        <v>94</v>
      </c>
      <c r="T26" s="10" t="s">
        <v>514</v>
      </c>
      <c r="U26" s="5" t="s">
        <v>515</v>
      </c>
      <c r="V26" s="10" t="s">
        <v>97</v>
      </c>
      <c r="W26" s="10" t="s">
        <v>98</v>
      </c>
      <c r="X26" s="10" t="s">
        <v>99</v>
      </c>
      <c r="Y26" s="10" t="s">
        <v>516</v>
      </c>
      <c r="Z26" s="10" t="s">
        <v>517</v>
      </c>
    </row>
    <row r="27" spans="1:26">
      <c r="A27" s="10" t="s">
        <v>102</v>
      </c>
      <c r="B27" s="10" t="s">
        <v>510</v>
      </c>
      <c r="C27" s="11">
        <v>42293</v>
      </c>
      <c r="D27" s="11">
        <v>35568</v>
      </c>
      <c r="E27" s="10" t="s">
        <v>83</v>
      </c>
      <c r="F27" s="10" t="s">
        <v>444</v>
      </c>
      <c r="G27" s="10" t="s">
        <v>511</v>
      </c>
      <c r="H27" s="10" t="s">
        <v>86</v>
      </c>
      <c r="I27" s="10" t="s">
        <v>87</v>
      </c>
      <c r="J27" s="6" t="s">
        <v>103</v>
      </c>
      <c r="K27" s="12">
        <v>86</v>
      </c>
      <c r="L27" s="10" t="s">
        <v>446</v>
      </c>
      <c r="M27" s="5" t="s">
        <v>512</v>
      </c>
      <c r="N27" s="5" t="s">
        <v>518</v>
      </c>
      <c r="O27" s="5" t="s">
        <v>455</v>
      </c>
      <c r="P27" s="5" t="s">
        <v>105</v>
      </c>
      <c r="Q27" s="10" t="s">
        <v>94</v>
      </c>
      <c r="R27" s="10" t="s">
        <v>94</v>
      </c>
      <c r="S27" s="10" t="s">
        <v>94</v>
      </c>
      <c r="T27" s="10" t="s">
        <v>514</v>
      </c>
      <c r="U27" s="5" t="s">
        <v>515</v>
      </c>
      <c r="V27" s="10" t="s">
        <v>106</v>
      </c>
      <c r="W27" s="10" t="s">
        <v>107</v>
      </c>
      <c r="X27" s="10" t="s">
        <v>108</v>
      </c>
      <c r="Y27" s="10" t="s">
        <v>516</v>
      </c>
      <c r="Z27" s="10" t="s">
        <v>519</v>
      </c>
    </row>
    <row r="28" spans="1:26">
      <c r="A28" s="10" t="s">
        <v>110</v>
      </c>
      <c r="B28" s="10" t="s">
        <v>510</v>
      </c>
      <c r="C28" s="11">
        <v>44436</v>
      </c>
      <c r="D28" s="11">
        <v>42293</v>
      </c>
      <c r="E28" s="10" t="s">
        <v>83</v>
      </c>
      <c r="F28" s="10" t="s">
        <v>444</v>
      </c>
      <c r="G28" s="10" t="s">
        <v>511</v>
      </c>
      <c r="H28" s="10" t="s">
        <v>86</v>
      </c>
      <c r="I28" s="10" t="s">
        <v>87</v>
      </c>
      <c r="J28" s="6" t="s">
        <v>111</v>
      </c>
      <c r="K28" s="12">
        <v>85</v>
      </c>
      <c r="L28" s="10" t="s">
        <v>446</v>
      </c>
      <c r="M28" s="5" t="s">
        <v>512</v>
      </c>
      <c r="N28" s="5" t="s">
        <v>520</v>
      </c>
      <c r="O28" s="5" t="s">
        <v>455</v>
      </c>
      <c r="P28" s="5" t="s">
        <v>113</v>
      </c>
      <c r="Q28" s="10" t="s">
        <v>94</v>
      </c>
      <c r="R28" s="10" t="s">
        <v>94</v>
      </c>
      <c r="S28" s="10" t="s">
        <v>94</v>
      </c>
      <c r="T28" s="10" t="s">
        <v>514</v>
      </c>
      <c r="U28" s="5" t="s">
        <v>515</v>
      </c>
      <c r="V28" s="10" t="s">
        <v>114</v>
      </c>
      <c r="W28" s="10" t="s">
        <v>115</v>
      </c>
      <c r="X28" s="10" t="s">
        <v>116</v>
      </c>
      <c r="Y28" s="10" t="s">
        <v>516</v>
      </c>
      <c r="Z28" s="10" t="s">
        <v>521</v>
      </c>
    </row>
    <row r="29" spans="1:26">
      <c r="A29" s="10" t="s">
        <v>118</v>
      </c>
      <c r="B29" s="10" t="s">
        <v>510</v>
      </c>
      <c r="C29" s="11">
        <v>48763</v>
      </c>
      <c r="D29" s="11">
        <v>44436</v>
      </c>
      <c r="E29" s="10" t="s">
        <v>83</v>
      </c>
      <c r="F29" s="10" t="s">
        <v>444</v>
      </c>
      <c r="G29" s="10" t="s">
        <v>511</v>
      </c>
      <c r="H29" s="10" t="s">
        <v>86</v>
      </c>
      <c r="I29" s="10" t="s">
        <v>87</v>
      </c>
      <c r="J29" s="6" t="s">
        <v>119</v>
      </c>
      <c r="K29" s="12">
        <v>83</v>
      </c>
      <c r="L29" s="10" t="s">
        <v>459</v>
      </c>
      <c r="M29" s="5" t="s">
        <v>512</v>
      </c>
      <c r="N29" s="5" t="s">
        <v>522</v>
      </c>
      <c r="O29" s="5" t="s">
        <v>455</v>
      </c>
      <c r="P29" s="5" t="s">
        <v>121</v>
      </c>
      <c r="Q29" s="10" t="s">
        <v>94</v>
      </c>
      <c r="R29" s="10" t="s">
        <v>94</v>
      </c>
      <c r="S29" s="10" t="s">
        <v>94</v>
      </c>
      <c r="T29" s="10" t="s">
        <v>514</v>
      </c>
      <c r="U29" s="5" t="s">
        <v>515</v>
      </c>
      <c r="V29" s="10" t="s">
        <v>122</v>
      </c>
      <c r="W29" s="10" t="s">
        <v>123</v>
      </c>
      <c r="X29" s="10" t="s">
        <v>124</v>
      </c>
      <c r="Y29" s="10" t="s">
        <v>516</v>
      </c>
      <c r="Z29" s="10" t="s">
        <v>523</v>
      </c>
    </row>
    <row r="30" spans="1:26">
      <c r="A30" s="10" t="s">
        <v>126</v>
      </c>
      <c r="B30" s="10" t="s">
        <v>510</v>
      </c>
      <c r="C30" s="11">
        <v>49322</v>
      </c>
      <c r="D30" s="11">
        <v>48763</v>
      </c>
      <c r="E30" s="10" t="s">
        <v>83</v>
      </c>
      <c r="F30" s="10" t="s">
        <v>444</v>
      </c>
      <c r="G30" s="10" t="s">
        <v>511</v>
      </c>
      <c r="H30" s="10" t="s">
        <v>86</v>
      </c>
      <c r="I30" s="10" t="s">
        <v>87</v>
      </c>
      <c r="J30" s="6" t="s">
        <v>127</v>
      </c>
      <c r="K30" s="12">
        <v>84</v>
      </c>
      <c r="L30" s="10" t="s">
        <v>459</v>
      </c>
      <c r="M30" s="5" t="s">
        <v>512</v>
      </c>
      <c r="N30" s="5" t="s">
        <v>524</v>
      </c>
      <c r="O30" s="5" t="s">
        <v>463</v>
      </c>
      <c r="P30" s="5" t="s">
        <v>129</v>
      </c>
      <c r="Q30" s="10" t="s">
        <v>94</v>
      </c>
      <c r="R30" s="10" t="s">
        <v>94</v>
      </c>
      <c r="S30" s="10" t="s">
        <v>94</v>
      </c>
      <c r="T30" s="10" t="s">
        <v>514</v>
      </c>
      <c r="U30" s="5" t="s">
        <v>515</v>
      </c>
      <c r="V30" s="10" t="s">
        <v>130</v>
      </c>
      <c r="W30" s="10" t="s">
        <v>131</v>
      </c>
      <c r="X30" s="10" t="s">
        <v>132</v>
      </c>
      <c r="Y30" s="10" t="s">
        <v>516</v>
      </c>
      <c r="Z30" s="10" t="s">
        <v>525</v>
      </c>
    </row>
    <row r="31" spans="1:26">
      <c r="A31" s="10" t="s">
        <v>134</v>
      </c>
      <c r="B31" s="10" t="s">
        <v>510</v>
      </c>
      <c r="C31" s="11">
        <v>44714</v>
      </c>
      <c r="D31" s="11">
        <v>49322</v>
      </c>
      <c r="E31" s="10" t="s">
        <v>83</v>
      </c>
      <c r="F31" s="10" t="s">
        <v>444</v>
      </c>
      <c r="G31" s="10" t="s">
        <v>511</v>
      </c>
      <c r="H31" s="10" t="s">
        <v>86</v>
      </c>
      <c r="I31" s="10" t="s">
        <v>87</v>
      </c>
      <c r="J31" s="6" t="s">
        <v>135</v>
      </c>
      <c r="K31" s="12">
        <v>82</v>
      </c>
      <c r="L31" s="10" t="s">
        <v>459</v>
      </c>
      <c r="M31" s="5" t="s">
        <v>512</v>
      </c>
      <c r="N31" s="5" t="s">
        <v>526</v>
      </c>
      <c r="O31" s="5" t="s">
        <v>466</v>
      </c>
      <c r="P31" s="5" t="s">
        <v>137</v>
      </c>
      <c r="Q31" s="10" t="s">
        <v>94</v>
      </c>
      <c r="R31" s="10" t="s">
        <v>94</v>
      </c>
      <c r="S31" s="10" t="s">
        <v>94</v>
      </c>
      <c r="T31" s="10" t="s">
        <v>514</v>
      </c>
      <c r="U31" s="5" t="s">
        <v>515</v>
      </c>
      <c r="V31" s="10" t="s">
        <v>138</v>
      </c>
      <c r="W31" s="10" t="s">
        <v>139</v>
      </c>
      <c r="X31" s="10" t="s">
        <v>140</v>
      </c>
      <c r="Y31" s="10" t="s">
        <v>516</v>
      </c>
      <c r="Z31" s="10" t="s">
        <v>527</v>
      </c>
    </row>
    <row r="32" spans="1:26">
      <c r="A32" s="10" t="s">
        <v>142</v>
      </c>
      <c r="B32" s="10" t="s">
        <v>510</v>
      </c>
      <c r="C32" s="11">
        <v>45222</v>
      </c>
      <c r="D32" s="11">
        <v>44714</v>
      </c>
      <c r="E32" s="10" t="s">
        <v>83</v>
      </c>
      <c r="F32" s="10" t="s">
        <v>444</v>
      </c>
      <c r="G32" s="10" t="s">
        <v>511</v>
      </c>
      <c r="H32" s="10" t="s">
        <v>86</v>
      </c>
      <c r="I32" s="10" t="s">
        <v>87</v>
      </c>
      <c r="J32" s="6" t="s">
        <v>143</v>
      </c>
      <c r="K32" s="12">
        <v>83</v>
      </c>
      <c r="L32" s="10" t="s">
        <v>459</v>
      </c>
      <c r="M32" s="5" t="s">
        <v>512</v>
      </c>
      <c r="N32" s="5" t="s">
        <v>528</v>
      </c>
      <c r="O32" s="5" t="s">
        <v>455</v>
      </c>
      <c r="P32" s="5" t="s">
        <v>145</v>
      </c>
      <c r="Q32" s="10" t="s">
        <v>94</v>
      </c>
      <c r="R32" s="10" t="s">
        <v>94</v>
      </c>
      <c r="S32" s="10" t="s">
        <v>94</v>
      </c>
      <c r="T32" s="10" t="s">
        <v>514</v>
      </c>
      <c r="U32" s="5" t="s">
        <v>515</v>
      </c>
      <c r="V32" s="10" t="s">
        <v>146</v>
      </c>
      <c r="W32" s="10" t="s">
        <v>147</v>
      </c>
      <c r="X32" s="10" t="s">
        <v>148</v>
      </c>
      <c r="Y32" s="10" t="s">
        <v>516</v>
      </c>
      <c r="Z32" s="10" t="s">
        <v>529</v>
      </c>
    </row>
    <row r="33" spans="1:26">
      <c r="A33" s="10" t="s">
        <v>81</v>
      </c>
      <c r="B33" s="10" t="s">
        <v>530</v>
      </c>
      <c r="C33" s="11">
        <v>1846</v>
      </c>
      <c r="D33" s="11">
        <v>1906</v>
      </c>
      <c r="E33" s="10" t="s">
        <v>83</v>
      </c>
      <c r="F33" s="10" t="s">
        <v>531</v>
      </c>
      <c r="G33" s="10" t="s">
        <v>85</v>
      </c>
      <c r="H33" s="10" t="s">
        <v>86</v>
      </c>
      <c r="I33" s="10" t="s">
        <v>87</v>
      </c>
      <c r="J33" s="6" t="s">
        <v>88</v>
      </c>
      <c r="K33" s="12">
        <v>88</v>
      </c>
      <c r="L33" s="10" t="s">
        <v>446</v>
      </c>
      <c r="M33" s="5" t="s">
        <v>532</v>
      </c>
      <c r="N33" s="5" t="s">
        <v>533</v>
      </c>
      <c r="O33" s="5" t="s">
        <v>449</v>
      </c>
      <c r="P33" s="5" t="s">
        <v>93</v>
      </c>
      <c r="Q33" s="10" t="s">
        <v>94</v>
      </c>
      <c r="R33" s="10" t="s">
        <v>94</v>
      </c>
      <c r="S33" s="10" t="s">
        <v>94</v>
      </c>
      <c r="T33" s="10" t="s">
        <v>534</v>
      </c>
      <c r="U33" s="5" t="s">
        <v>535</v>
      </c>
      <c r="V33" s="10" t="s">
        <v>97</v>
      </c>
      <c r="W33" s="10" t="s">
        <v>98</v>
      </c>
      <c r="X33" s="10" t="s">
        <v>99</v>
      </c>
      <c r="Y33" s="10" t="s">
        <v>536</v>
      </c>
      <c r="Z33" s="10" t="s">
        <v>537</v>
      </c>
    </row>
    <row r="34" spans="1:26">
      <c r="A34" s="10" t="s">
        <v>102</v>
      </c>
      <c r="B34" s="10" t="s">
        <v>530</v>
      </c>
      <c r="C34" s="11">
        <v>2205</v>
      </c>
      <c r="D34" s="11">
        <v>1846</v>
      </c>
      <c r="E34" s="10" t="s">
        <v>83</v>
      </c>
      <c r="F34" s="10" t="s">
        <v>531</v>
      </c>
      <c r="G34" s="10" t="s">
        <v>85</v>
      </c>
      <c r="H34" s="10" t="s">
        <v>86</v>
      </c>
      <c r="I34" s="10" t="s">
        <v>87</v>
      </c>
      <c r="J34" s="6" t="s">
        <v>103</v>
      </c>
      <c r="K34" s="12">
        <v>86</v>
      </c>
      <c r="L34" s="10" t="s">
        <v>446</v>
      </c>
      <c r="M34" s="5" t="s">
        <v>532</v>
      </c>
      <c r="N34" s="5" t="s">
        <v>538</v>
      </c>
      <c r="O34" s="5" t="s">
        <v>455</v>
      </c>
      <c r="P34" s="5" t="s">
        <v>105</v>
      </c>
      <c r="Q34" s="10" t="s">
        <v>94</v>
      </c>
      <c r="R34" s="10" t="s">
        <v>94</v>
      </c>
      <c r="S34" s="10" t="s">
        <v>94</v>
      </c>
      <c r="T34" s="10" t="s">
        <v>534</v>
      </c>
      <c r="U34" s="5" t="s">
        <v>535</v>
      </c>
      <c r="V34" s="10" t="s">
        <v>106</v>
      </c>
      <c r="W34" s="10" t="s">
        <v>107</v>
      </c>
      <c r="X34" s="10" t="s">
        <v>108</v>
      </c>
      <c r="Y34" s="10" t="s">
        <v>536</v>
      </c>
      <c r="Z34" s="10" t="s">
        <v>539</v>
      </c>
    </row>
    <row r="35" spans="1:26">
      <c r="A35" s="10" t="s">
        <v>110</v>
      </c>
      <c r="B35" s="10" t="s">
        <v>530</v>
      </c>
      <c r="C35" s="11">
        <v>2346</v>
      </c>
      <c r="D35" s="11">
        <v>2205</v>
      </c>
      <c r="E35" s="10" t="s">
        <v>83</v>
      </c>
      <c r="F35" s="10" t="s">
        <v>531</v>
      </c>
      <c r="G35" s="10" t="s">
        <v>85</v>
      </c>
      <c r="H35" s="10" t="s">
        <v>86</v>
      </c>
      <c r="I35" s="10" t="s">
        <v>87</v>
      </c>
      <c r="J35" s="6" t="s">
        <v>111</v>
      </c>
      <c r="K35" s="12">
        <v>85</v>
      </c>
      <c r="L35" s="10" t="s">
        <v>446</v>
      </c>
      <c r="M35" s="5" t="s">
        <v>532</v>
      </c>
      <c r="N35" s="5" t="s">
        <v>540</v>
      </c>
      <c r="O35" s="5" t="s">
        <v>455</v>
      </c>
      <c r="P35" s="5" t="s">
        <v>113</v>
      </c>
      <c r="Q35" s="10" t="s">
        <v>94</v>
      </c>
      <c r="R35" s="10" t="s">
        <v>94</v>
      </c>
      <c r="S35" s="10" t="s">
        <v>94</v>
      </c>
      <c r="T35" s="10" t="s">
        <v>534</v>
      </c>
      <c r="U35" s="5" t="s">
        <v>535</v>
      </c>
      <c r="V35" s="10" t="s">
        <v>114</v>
      </c>
      <c r="W35" s="10" t="s">
        <v>115</v>
      </c>
      <c r="X35" s="10" t="s">
        <v>116</v>
      </c>
      <c r="Y35" s="10" t="s">
        <v>536</v>
      </c>
      <c r="Z35" s="10" t="s">
        <v>541</v>
      </c>
    </row>
    <row r="36" spans="1:26">
      <c r="A36" s="10" t="s">
        <v>118</v>
      </c>
      <c r="B36" s="10" t="s">
        <v>530</v>
      </c>
      <c r="C36" s="11">
        <v>2427</v>
      </c>
      <c r="D36" s="11">
        <v>2346</v>
      </c>
      <c r="E36" s="10" t="s">
        <v>83</v>
      </c>
      <c r="F36" s="10" t="s">
        <v>531</v>
      </c>
      <c r="G36" s="10" t="s">
        <v>85</v>
      </c>
      <c r="H36" s="10" t="s">
        <v>86</v>
      </c>
      <c r="I36" s="10" t="s">
        <v>87</v>
      </c>
      <c r="J36" s="6" t="s">
        <v>119</v>
      </c>
      <c r="K36" s="12">
        <v>83</v>
      </c>
      <c r="L36" s="10" t="s">
        <v>459</v>
      </c>
      <c r="M36" s="5" t="s">
        <v>532</v>
      </c>
      <c r="N36" s="5" t="s">
        <v>542</v>
      </c>
      <c r="O36" s="5" t="s">
        <v>455</v>
      </c>
      <c r="P36" s="5" t="s">
        <v>121</v>
      </c>
      <c r="Q36" s="10" t="s">
        <v>94</v>
      </c>
      <c r="R36" s="10" t="s">
        <v>94</v>
      </c>
      <c r="S36" s="10" t="s">
        <v>94</v>
      </c>
      <c r="T36" s="10" t="s">
        <v>534</v>
      </c>
      <c r="U36" s="5" t="s">
        <v>535</v>
      </c>
      <c r="V36" s="10" t="s">
        <v>122</v>
      </c>
      <c r="W36" s="10" t="s">
        <v>123</v>
      </c>
      <c r="X36" s="10" t="s">
        <v>124</v>
      </c>
      <c r="Y36" s="10" t="s">
        <v>536</v>
      </c>
      <c r="Z36" s="10" t="s">
        <v>543</v>
      </c>
    </row>
    <row r="37" spans="1:26">
      <c r="A37" s="10" t="s">
        <v>126</v>
      </c>
      <c r="B37" s="10" t="s">
        <v>530</v>
      </c>
      <c r="C37" s="11">
        <v>2082</v>
      </c>
      <c r="D37" s="11">
        <v>2427</v>
      </c>
      <c r="E37" s="10" t="s">
        <v>83</v>
      </c>
      <c r="F37" s="10" t="s">
        <v>531</v>
      </c>
      <c r="G37" s="10" t="s">
        <v>85</v>
      </c>
      <c r="H37" s="10" t="s">
        <v>86</v>
      </c>
      <c r="I37" s="10" t="s">
        <v>87</v>
      </c>
      <c r="J37" s="6" t="s">
        <v>127</v>
      </c>
      <c r="K37" s="12">
        <v>84</v>
      </c>
      <c r="L37" s="10" t="s">
        <v>459</v>
      </c>
      <c r="M37" s="5" t="s">
        <v>532</v>
      </c>
      <c r="N37" s="5" t="s">
        <v>544</v>
      </c>
      <c r="O37" s="5" t="s">
        <v>463</v>
      </c>
      <c r="P37" s="5" t="s">
        <v>129</v>
      </c>
      <c r="Q37" s="10" t="s">
        <v>94</v>
      </c>
      <c r="R37" s="10" t="s">
        <v>94</v>
      </c>
      <c r="S37" s="10" t="s">
        <v>94</v>
      </c>
      <c r="T37" s="10" t="s">
        <v>534</v>
      </c>
      <c r="U37" s="5" t="s">
        <v>535</v>
      </c>
      <c r="V37" s="10" t="s">
        <v>130</v>
      </c>
      <c r="W37" s="10" t="s">
        <v>131</v>
      </c>
      <c r="X37" s="10" t="s">
        <v>132</v>
      </c>
      <c r="Y37" s="10" t="s">
        <v>536</v>
      </c>
      <c r="Z37" s="10" t="s">
        <v>545</v>
      </c>
    </row>
    <row r="38" spans="1:26">
      <c r="A38" s="10" t="s">
        <v>134</v>
      </c>
      <c r="B38" s="10" t="s">
        <v>530</v>
      </c>
      <c r="C38" s="11">
        <v>1692</v>
      </c>
      <c r="D38" s="11">
        <v>2082</v>
      </c>
      <c r="E38" s="10" t="s">
        <v>83</v>
      </c>
      <c r="F38" s="10" t="s">
        <v>531</v>
      </c>
      <c r="G38" s="10" t="s">
        <v>85</v>
      </c>
      <c r="H38" s="10" t="s">
        <v>86</v>
      </c>
      <c r="I38" s="10" t="s">
        <v>87</v>
      </c>
      <c r="J38" s="6" t="s">
        <v>135</v>
      </c>
      <c r="K38" s="12">
        <v>82</v>
      </c>
      <c r="L38" s="10" t="s">
        <v>459</v>
      </c>
      <c r="M38" s="5" t="s">
        <v>532</v>
      </c>
      <c r="N38" s="5" t="s">
        <v>546</v>
      </c>
      <c r="O38" s="5" t="s">
        <v>466</v>
      </c>
      <c r="P38" s="5" t="s">
        <v>137</v>
      </c>
      <c r="Q38" s="10" t="s">
        <v>94</v>
      </c>
      <c r="R38" s="10" t="s">
        <v>94</v>
      </c>
      <c r="S38" s="10" t="s">
        <v>94</v>
      </c>
      <c r="T38" s="10" t="s">
        <v>534</v>
      </c>
      <c r="U38" s="5" t="s">
        <v>535</v>
      </c>
      <c r="V38" s="10" t="s">
        <v>138</v>
      </c>
      <c r="W38" s="10" t="s">
        <v>139</v>
      </c>
      <c r="X38" s="10" t="s">
        <v>140</v>
      </c>
      <c r="Y38" s="10" t="s">
        <v>536</v>
      </c>
      <c r="Z38" s="10" t="s">
        <v>547</v>
      </c>
    </row>
    <row r="39" spans="1:26">
      <c r="A39" s="10" t="s">
        <v>142</v>
      </c>
      <c r="B39" s="10" t="s">
        <v>530</v>
      </c>
      <c r="C39" s="11">
        <v>1174</v>
      </c>
      <c r="D39" s="11">
        <v>1692</v>
      </c>
      <c r="E39" s="10" t="s">
        <v>83</v>
      </c>
      <c r="F39" s="10" t="s">
        <v>531</v>
      </c>
      <c r="G39" s="10" t="s">
        <v>85</v>
      </c>
      <c r="H39" s="10" t="s">
        <v>86</v>
      </c>
      <c r="I39" s="10" t="s">
        <v>87</v>
      </c>
      <c r="J39" s="6" t="s">
        <v>143</v>
      </c>
      <c r="K39" s="12">
        <v>83</v>
      </c>
      <c r="L39" s="10" t="s">
        <v>459</v>
      </c>
      <c r="M39" s="5" t="s">
        <v>532</v>
      </c>
      <c r="N39" s="5" t="s">
        <v>548</v>
      </c>
      <c r="O39" s="5" t="s">
        <v>455</v>
      </c>
      <c r="P39" s="5" t="s">
        <v>145</v>
      </c>
      <c r="Q39" s="10" t="s">
        <v>94</v>
      </c>
      <c r="R39" s="10" t="s">
        <v>94</v>
      </c>
      <c r="S39" s="10" t="s">
        <v>94</v>
      </c>
      <c r="T39" s="10" t="s">
        <v>534</v>
      </c>
      <c r="U39" s="5" t="s">
        <v>535</v>
      </c>
      <c r="V39" s="10" t="s">
        <v>146</v>
      </c>
      <c r="W39" s="10" t="s">
        <v>147</v>
      </c>
      <c r="X39" s="10" t="s">
        <v>148</v>
      </c>
      <c r="Y39" s="10" t="s">
        <v>536</v>
      </c>
      <c r="Z39" s="10" t="s">
        <v>549</v>
      </c>
    </row>
    <row r="40" spans="1:26">
      <c r="A40" s="10" t="s">
        <v>81</v>
      </c>
      <c r="B40" s="10" t="s">
        <v>550</v>
      </c>
      <c r="C40" s="11">
        <v>-11</v>
      </c>
      <c r="D40" s="11">
        <v>-7</v>
      </c>
      <c r="E40" s="10" t="s">
        <v>83</v>
      </c>
      <c r="F40" s="10" t="s">
        <v>551</v>
      </c>
      <c r="G40" s="10" t="s">
        <v>85</v>
      </c>
      <c r="H40" s="10" t="s">
        <v>86</v>
      </c>
      <c r="I40" s="10" t="s">
        <v>87</v>
      </c>
      <c r="J40" s="6" t="s">
        <v>88</v>
      </c>
      <c r="K40" s="12">
        <v>88</v>
      </c>
      <c r="L40" s="10" t="s">
        <v>446</v>
      </c>
      <c r="M40" s="5" t="s">
        <v>552</v>
      </c>
      <c r="N40" s="5" t="s">
        <v>553</v>
      </c>
      <c r="O40" s="5" t="s">
        <v>449</v>
      </c>
      <c r="P40" s="5" t="s">
        <v>93</v>
      </c>
      <c r="Q40" s="10" t="s">
        <v>94</v>
      </c>
      <c r="R40" s="10" t="s">
        <v>94</v>
      </c>
      <c r="S40" s="10" t="s">
        <v>94</v>
      </c>
      <c r="T40" s="10" t="s">
        <v>554</v>
      </c>
      <c r="U40" s="5" t="s">
        <v>555</v>
      </c>
      <c r="V40" s="10" t="s">
        <v>97</v>
      </c>
      <c r="W40" s="10" t="s">
        <v>98</v>
      </c>
      <c r="X40" s="10" t="s">
        <v>99</v>
      </c>
      <c r="Y40" s="10" t="s">
        <v>556</v>
      </c>
      <c r="Z40" s="10" t="s">
        <v>557</v>
      </c>
    </row>
    <row r="41" spans="1:26">
      <c r="A41" s="10" t="s">
        <v>102</v>
      </c>
      <c r="B41" s="10" t="s">
        <v>550</v>
      </c>
      <c r="C41" s="11">
        <v>40</v>
      </c>
      <c r="D41" s="11">
        <v>-11</v>
      </c>
      <c r="E41" s="10" t="s">
        <v>83</v>
      </c>
      <c r="F41" s="10" t="s">
        <v>551</v>
      </c>
      <c r="G41" s="10" t="s">
        <v>85</v>
      </c>
      <c r="H41" s="10" t="s">
        <v>86</v>
      </c>
      <c r="I41" s="10" t="s">
        <v>87</v>
      </c>
      <c r="J41" s="6" t="s">
        <v>103</v>
      </c>
      <c r="K41" s="12">
        <v>86</v>
      </c>
      <c r="L41" s="10" t="s">
        <v>446</v>
      </c>
      <c r="M41" s="5" t="s">
        <v>552</v>
      </c>
      <c r="N41" s="5" t="s">
        <v>558</v>
      </c>
      <c r="O41" s="5" t="s">
        <v>455</v>
      </c>
      <c r="P41" s="5" t="s">
        <v>105</v>
      </c>
      <c r="Q41" s="10" t="s">
        <v>94</v>
      </c>
      <c r="R41" s="10" t="s">
        <v>94</v>
      </c>
      <c r="S41" s="10" t="s">
        <v>94</v>
      </c>
      <c r="T41" s="10" t="s">
        <v>554</v>
      </c>
      <c r="U41" s="5" t="s">
        <v>555</v>
      </c>
      <c r="V41" s="10" t="s">
        <v>106</v>
      </c>
      <c r="W41" s="10" t="s">
        <v>107</v>
      </c>
      <c r="X41" s="10" t="s">
        <v>108</v>
      </c>
      <c r="Y41" s="10" t="s">
        <v>556</v>
      </c>
      <c r="Z41" s="10" t="s">
        <v>559</v>
      </c>
    </row>
    <row r="42" spans="1:26">
      <c r="A42" s="10" t="s">
        <v>110</v>
      </c>
      <c r="B42" s="10" t="s">
        <v>550</v>
      </c>
      <c r="C42" s="11">
        <v>-72</v>
      </c>
      <c r="D42" s="11">
        <v>40</v>
      </c>
      <c r="E42" s="10" t="s">
        <v>83</v>
      </c>
      <c r="F42" s="10" t="s">
        <v>551</v>
      </c>
      <c r="G42" s="10" t="s">
        <v>85</v>
      </c>
      <c r="H42" s="10" t="s">
        <v>86</v>
      </c>
      <c r="I42" s="10" t="s">
        <v>87</v>
      </c>
      <c r="J42" s="6" t="s">
        <v>111</v>
      </c>
      <c r="K42" s="12">
        <v>85</v>
      </c>
      <c r="L42" s="10" t="s">
        <v>446</v>
      </c>
      <c r="M42" s="5" t="s">
        <v>552</v>
      </c>
      <c r="N42" s="5" t="s">
        <v>560</v>
      </c>
      <c r="O42" s="5" t="s">
        <v>455</v>
      </c>
      <c r="P42" s="5" t="s">
        <v>113</v>
      </c>
      <c r="Q42" s="10" t="s">
        <v>94</v>
      </c>
      <c r="R42" s="10" t="s">
        <v>94</v>
      </c>
      <c r="S42" s="10" t="s">
        <v>94</v>
      </c>
      <c r="T42" s="10" t="s">
        <v>554</v>
      </c>
      <c r="U42" s="5" t="s">
        <v>555</v>
      </c>
      <c r="V42" s="10" t="s">
        <v>114</v>
      </c>
      <c r="W42" s="10" t="s">
        <v>115</v>
      </c>
      <c r="X42" s="10" t="s">
        <v>116</v>
      </c>
      <c r="Y42" s="10" t="s">
        <v>556</v>
      </c>
      <c r="Z42" s="10" t="s">
        <v>561</v>
      </c>
    </row>
    <row r="43" spans="1:26">
      <c r="A43" s="10" t="s">
        <v>118</v>
      </c>
      <c r="B43" s="10" t="s">
        <v>550</v>
      </c>
      <c r="C43" s="11">
        <v>27</v>
      </c>
      <c r="D43" s="11">
        <v>-72</v>
      </c>
      <c r="E43" s="10" t="s">
        <v>83</v>
      </c>
      <c r="F43" s="10" t="s">
        <v>551</v>
      </c>
      <c r="G43" s="10" t="s">
        <v>85</v>
      </c>
      <c r="H43" s="10" t="s">
        <v>86</v>
      </c>
      <c r="I43" s="10" t="s">
        <v>87</v>
      </c>
      <c r="J43" s="6" t="s">
        <v>119</v>
      </c>
      <c r="K43" s="12">
        <v>83</v>
      </c>
      <c r="L43" s="10" t="s">
        <v>459</v>
      </c>
      <c r="M43" s="5" t="s">
        <v>552</v>
      </c>
      <c r="N43" s="5" t="s">
        <v>562</v>
      </c>
      <c r="O43" s="5" t="s">
        <v>455</v>
      </c>
      <c r="P43" s="5" t="s">
        <v>121</v>
      </c>
      <c r="Q43" s="10" t="s">
        <v>94</v>
      </c>
      <c r="R43" s="10" t="s">
        <v>94</v>
      </c>
      <c r="S43" s="10" t="s">
        <v>94</v>
      </c>
      <c r="T43" s="10" t="s">
        <v>554</v>
      </c>
      <c r="U43" s="5" t="s">
        <v>555</v>
      </c>
      <c r="V43" s="10" t="s">
        <v>122</v>
      </c>
      <c r="W43" s="10" t="s">
        <v>123</v>
      </c>
      <c r="X43" s="10" t="s">
        <v>124</v>
      </c>
      <c r="Y43" s="10" t="s">
        <v>556</v>
      </c>
      <c r="Z43" s="10" t="s">
        <v>563</v>
      </c>
    </row>
    <row r="44" spans="1:26">
      <c r="A44" s="10" t="s">
        <v>126</v>
      </c>
      <c r="B44" s="10" t="s">
        <v>550</v>
      </c>
      <c r="C44" s="11">
        <v>-42</v>
      </c>
      <c r="D44" s="11">
        <v>27</v>
      </c>
      <c r="E44" s="10" t="s">
        <v>83</v>
      </c>
      <c r="F44" s="10" t="s">
        <v>551</v>
      </c>
      <c r="G44" s="10" t="s">
        <v>85</v>
      </c>
      <c r="H44" s="10" t="s">
        <v>86</v>
      </c>
      <c r="I44" s="10" t="s">
        <v>87</v>
      </c>
      <c r="J44" s="6" t="s">
        <v>127</v>
      </c>
      <c r="K44" s="12">
        <v>84</v>
      </c>
      <c r="L44" s="10" t="s">
        <v>459</v>
      </c>
      <c r="M44" s="5" t="s">
        <v>552</v>
      </c>
      <c r="N44" s="5" t="s">
        <v>564</v>
      </c>
      <c r="O44" s="5" t="s">
        <v>463</v>
      </c>
      <c r="P44" s="5" t="s">
        <v>129</v>
      </c>
      <c r="Q44" s="10" t="s">
        <v>94</v>
      </c>
      <c r="R44" s="10" t="s">
        <v>94</v>
      </c>
      <c r="S44" s="10" t="s">
        <v>94</v>
      </c>
      <c r="T44" s="10" t="s">
        <v>554</v>
      </c>
      <c r="U44" s="5" t="s">
        <v>555</v>
      </c>
      <c r="V44" s="10" t="s">
        <v>130</v>
      </c>
      <c r="W44" s="10" t="s">
        <v>131</v>
      </c>
      <c r="X44" s="10" t="s">
        <v>132</v>
      </c>
      <c r="Y44" s="10" t="s">
        <v>556</v>
      </c>
      <c r="Z44" s="10" t="s">
        <v>565</v>
      </c>
    </row>
    <row r="45" spans="1:26">
      <c r="A45" s="10" t="s">
        <v>134</v>
      </c>
      <c r="B45" s="10" t="s">
        <v>550</v>
      </c>
      <c r="C45" s="11">
        <v>-97</v>
      </c>
      <c r="D45" s="11">
        <v>-42</v>
      </c>
      <c r="E45" s="10" t="s">
        <v>83</v>
      </c>
      <c r="F45" s="10" t="s">
        <v>551</v>
      </c>
      <c r="G45" s="10" t="s">
        <v>85</v>
      </c>
      <c r="H45" s="10" t="s">
        <v>86</v>
      </c>
      <c r="I45" s="10" t="s">
        <v>87</v>
      </c>
      <c r="J45" s="6" t="s">
        <v>135</v>
      </c>
      <c r="K45" s="12">
        <v>82</v>
      </c>
      <c r="L45" s="10" t="s">
        <v>459</v>
      </c>
      <c r="M45" s="5" t="s">
        <v>552</v>
      </c>
      <c r="N45" s="5" t="s">
        <v>566</v>
      </c>
      <c r="O45" s="5" t="s">
        <v>466</v>
      </c>
      <c r="P45" s="5" t="s">
        <v>137</v>
      </c>
      <c r="Q45" s="10" t="s">
        <v>94</v>
      </c>
      <c r="R45" s="10" t="s">
        <v>94</v>
      </c>
      <c r="S45" s="10" t="s">
        <v>94</v>
      </c>
      <c r="T45" s="10" t="s">
        <v>554</v>
      </c>
      <c r="U45" s="5" t="s">
        <v>555</v>
      </c>
      <c r="V45" s="10" t="s">
        <v>138</v>
      </c>
      <c r="W45" s="10" t="s">
        <v>139</v>
      </c>
      <c r="X45" s="10" t="s">
        <v>140</v>
      </c>
      <c r="Y45" s="10" t="s">
        <v>556</v>
      </c>
      <c r="Z45" s="10" t="s">
        <v>567</v>
      </c>
    </row>
    <row r="46" spans="1:26">
      <c r="A46" s="10" t="s">
        <v>142</v>
      </c>
      <c r="B46" s="10" t="s">
        <v>550</v>
      </c>
      <c r="C46" s="11">
        <v>2</v>
      </c>
      <c r="D46" s="11">
        <v>-97</v>
      </c>
      <c r="E46" s="10" t="s">
        <v>83</v>
      </c>
      <c r="F46" s="10" t="s">
        <v>551</v>
      </c>
      <c r="G46" s="10" t="s">
        <v>85</v>
      </c>
      <c r="H46" s="10" t="s">
        <v>86</v>
      </c>
      <c r="I46" s="10" t="s">
        <v>87</v>
      </c>
      <c r="J46" s="6" t="s">
        <v>143</v>
      </c>
      <c r="K46" s="12">
        <v>83</v>
      </c>
      <c r="L46" s="10" t="s">
        <v>459</v>
      </c>
      <c r="M46" s="5" t="s">
        <v>552</v>
      </c>
      <c r="N46" s="5" t="s">
        <v>568</v>
      </c>
      <c r="O46" s="5" t="s">
        <v>455</v>
      </c>
      <c r="P46" s="5" t="s">
        <v>145</v>
      </c>
      <c r="Q46" s="10" t="s">
        <v>94</v>
      </c>
      <c r="R46" s="10" t="s">
        <v>94</v>
      </c>
      <c r="S46" s="10" t="s">
        <v>94</v>
      </c>
      <c r="T46" s="10" t="s">
        <v>554</v>
      </c>
      <c r="U46" s="5" t="s">
        <v>555</v>
      </c>
      <c r="V46" s="10" t="s">
        <v>146</v>
      </c>
      <c r="W46" s="10" t="s">
        <v>147</v>
      </c>
      <c r="X46" s="10" t="s">
        <v>148</v>
      </c>
      <c r="Y46" s="10" t="s">
        <v>556</v>
      </c>
      <c r="Z46" s="10" t="s">
        <v>569</v>
      </c>
    </row>
    <row r="47" spans="1:26">
      <c r="A47" s="10" t="s">
        <v>81</v>
      </c>
      <c r="B47" s="10" t="s">
        <v>570</v>
      </c>
      <c r="C47" s="14">
        <v>5.5</v>
      </c>
      <c r="D47" s="14">
        <v>3.8</v>
      </c>
      <c r="E47" s="10" t="s">
        <v>571</v>
      </c>
      <c r="F47" s="10" t="s">
        <v>444</v>
      </c>
      <c r="G47" s="10" t="s">
        <v>572</v>
      </c>
      <c r="H47" s="10" t="s">
        <v>573</v>
      </c>
      <c r="I47" s="10" t="s">
        <v>87</v>
      </c>
      <c r="J47" s="6" t="s">
        <v>88</v>
      </c>
      <c r="K47" s="12">
        <v>32</v>
      </c>
      <c r="L47" s="10" t="s">
        <v>373</v>
      </c>
      <c r="M47" s="5" t="s">
        <v>574</v>
      </c>
      <c r="N47" s="5" t="s">
        <v>575</v>
      </c>
      <c r="O47" s="5" t="s">
        <v>576</v>
      </c>
      <c r="P47" s="5" t="s">
        <v>345</v>
      </c>
      <c r="Q47" s="10" t="s">
        <v>94</v>
      </c>
      <c r="R47" s="10" t="s">
        <v>94</v>
      </c>
      <c r="S47" s="10" t="s">
        <v>94</v>
      </c>
      <c r="T47" s="10" t="s">
        <v>577</v>
      </c>
      <c r="U47" s="5" t="s">
        <v>378</v>
      </c>
      <c r="V47" s="10" t="s">
        <v>97</v>
      </c>
      <c r="W47" s="10" t="s">
        <v>98</v>
      </c>
      <c r="X47" s="10" t="s">
        <v>99</v>
      </c>
      <c r="Y47" s="10" t="s">
        <v>578</v>
      </c>
      <c r="Z47" s="10" t="s">
        <v>579</v>
      </c>
    </row>
    <row r="48" spans="1:26">
      <c r="A48" s="10" t="s">
        <v>102</v>
      </c>
      <c r="B48" s="10" t="s">
        <v>570</v>
      </c>
      <c r="C48" s="14">
        <v>9.1</v>
      </c>
      <c r="D48" s="14">
        <v>5.5</v>
      </c>
      <c r="E48" s="10" t="s">
        <v>571</v>
      </c>
      <c r="F48" s="10" t="s">
        <v>444</v>
      </c>
      <c r="G48" s="10" t="s">
        <v>572</v>
      </c>
      <c r="H48" s="10" t="s">
        <v>573</v>
      </c>
      <c r="I48" s="10" t="s">
        <v>87</v>
      </c>
      <c r="J48" s="6" t="s">
        <v>103</v>
      </c>
      <c r="K48" s="12">
        <v>33</v>
      </c>
      <c r="L48" s="10" t="s">
        <v>373</v>
      </c>
      <c r="M48" s="5" t="s">
        <v>574</v>
      </c>
      <c r="N48" s="5" t="s">
        <v>580</v>
      </c>
      <c r="O48" s="5" t="s">
        <v>581</v>
      </c>
      <c r="P48" s="5" t="s">
        <v>352</v>
      </c>
      <c r="Q48" s="10" t="s">
        <v>94</v>
      </c>
      <c r="R48" s="10" t="s">
        <v>94</v>
      </c>
      <c r="S48" s="10" t="s">
        <v>94</v>
      </c>
      <c r="T48" s="10" t="s">
        <v>577</v>
      </c>
      <c r="U48" s="5" t="s">
        <v>378</v>
      </c>
      <c r="V48" s="10" t="s">
        <v>106</v>
      </c>
      <c r="W48" s="10" t="s">
        <v>107</v>
      </c>
      <c r="X48" s="10" t="s">
        <v>108</v>
      </c>
      <c r="Y48" s="10" t="s">
        <v>578</v>
      </c>
      <c r="Z48" s="10" t="s">
        <v>582</v>
      </c>
    </row>
    <row r="49" spans="1:26">
      <c r="A49" s="10" t="s">
        <v>110</v>
      </c>
      <c r="B49" s="10" t="s">
        <v>570</v>
      </c>
      <c r="C49" s="14">
        <v>10.7</v>
      </c>
      <c r="D49" s="14">
        <v>9.1</v>
      </c>
      <c r="E49" s="10" t="s">
        <v>571</v>
      </c>
      <c r="F49" s="10" t="s">
        <v>444</v>
      </c>
      <c r="G49" s="10" t="s">
        <v>572</v>
      </c>
      <c r="H49" s="10" t="s">
        <v>573</v>
      </c>
      <c r="I49" s="10" t="s">
        <v>87</v>
      </c>
      <c r="J49" s="6" t="s">
        <v>111</v>
      </c>
      <c r="K49" s="12">
        <v>33</v>
      </c>
      <c r="L49" s="10" t="s">
        <v>373</v>
      </c>
      <c r="M49" s="5" t="s">
        <v>574</v>
      </c>
      <c r="N49" s="5" t="s">
        <v>583</v>
      </c>
      <c r="O49" s="5" t="s">
        <v>584</v>
      </c>
      <c r="P49" s="5" t="s">
        <v>356</v>
      </c>
      <c r="Q49" s="10" t="s">
        <v>94</v>
      </c>
      <c r="R49" s="10" t="s">
        <v>94</v>
      </c>
      <c r="S49" s="10" t="s">
        <v>94</v>
      </c>
      <c r="T49" s="10" t="s">
        <v>577</v>
      </c>
      <c r="U49" s="5" t="s">
        <v>378</v>
      </c>
      <c r="V49" s="10" t="s">
        <v>114</v>
      </c>
      <c r="W49" s="10" t="s">
        <v>115</v>
      </c>
      <c r="X49" s="10" t="s">
        <v>116</v>
      </c>
      <c r="Y49" s="10" t="s">
        <v>578</v>
      </c>
      <c r="Z49" s="10" t="s">
        <v>585</v>
      </c>
    </row>
    <row r="50" spans="1:26">
      <c r="A50" s="10" t="s">
        <v>118</v>
      </c>
      <c r="B50" s="10" t="s">
        <v>570</v>
      </c>
      <c r="C50" s="14">
        <v>12.6</v>
      </c>
      <c r="D50" s="14">
        <v>10.7</v>
      </c>
      <c r="E50" s="10" t="s">
        <v>571</v>
      </c>
      <c r="F50" s="10" t="s">
        <v>444</v>
      </c>
      <c r="G50" s="10" t="s">
        <v>572</v>
      </c>
      <c r="H50" s="10" t="s">
        <v>573</v>
      </c>
      <c r="I50" s="10" t="s">
        <v>87</v>
      </c>
      <c r="J50" s="6" t="s">
        <v>119</v>
      </c>
      <c r="K50" s="12">
        <v>33</v>
      </c>
      <c r="L50" s="10" t="s">
        <v>373</v>
      </c>
      <c r="M50" s="5" t="s">
        <v>574</v>
      </c>
      <c r="N50" s="5" t="s">
        <v>586</v>
      </c>
      <c r="O50" s="5" t="s">
        <v>587</v>
      </c>
      <c r="P50" s="5" t="s">
        <v>588</v>
      </c>
      <c r="Q50" s="10" t="s">
        <v>94</v>
      </c>
      <c r="R50" s="10" t="s">
        <v>94</v>
      </c>
      <c r="S50" s="10" t="s">
        <v>94</v>
      </c>
      <c r="T50" s="10" t="s">
        <v>577</v>
      </c>
      <c r="U50" s="5" t="s">
        <v>378</v>
      </c>
      <c r="V50" s="10" t="s">
        <v>122</v>
      </c>
      <c r="W50" s="10" t="s">
        <v>123</v>
      </c>
      <c r="X50" s="10" t="s">
        <v>124</v>
      </c>
      <c r="Y50" s="10" t="s">
        <v>578</v>
      </c>
      <c r="Z50" s="10" t="s">
        <v>589</v>
      </c>
    </row>
    <row r="51" spans="1:26">
      <c r="A51" s="10" t="s">
        <v>126</v>
      </c>
      <c r="B51" s="10" t="s">
        <v>570</v>
      </c>
      <c r="C51" s="14">
        <v>12.1</v>
      </c>
      <c r="D51" s="14">
        <v>12.4</v>
      </c>
      <c r="E51" s="10" t="s">
        <v>571</v>
      </c>
      <c r="F51" s="10" t="s">
        <v>444</v>
      </c>
      <c r="G51" s="10" t="s">
        <v>572</v>
      </c>
      <c r="H51" s="10" t="s">
        <v>573</v>
      </c>
      <c r="I51" s="10" t="s">
        <v>87</v>
      </c>
      <c r="J51" s="6" t="s">
        <v>127</v>
      </c>
      <c r="K51" s="12">
        <v>35</v>
      </c>
      <c r="L51" s="10" t="s">
        <v>373</v>
      </c>
      <c r="M51" s="5" t="s">
        <v>574</v>
      </c>
      <c r="N51" s="5" t="s">
        <v>590</v>
      </c>
      <c r="O51" s="5" t="s">
        <v>591</v>
      </c>
      <c r="P51" s="5" t="s">
        <v>389</v>
      </c>
      <c r="Q51" s="10" t="s">
        <v>94</v>
      </c>
      <c r="R51" s="10" t="s">
        <v>94</v>
      </c>
      <c r="S51" s="10" t="s">
        <v>94</v>
      </c>
      <c r="T51" s="10" t="s">
        <v>577</v>
      </c>
      <c r="U51" s="5" t="s">
        <v>378</v>
      </c>
      <c r="V51" s="10" t="s">
        <v>130</v>
      </c>
      <c r="W51" s="10" t="s">
        <v>131</v>
      </c>
      <c r="X51" s="10" t="s">
        <v>132</v>
      </c>
      <c r="Y51" s="10" t="s">
        <v>578</v>
      </c>
      <c r="Z51" s="10" t="s">
        <v>592</v>
      </c>
    </row>
    <row r="52" spans="1:26">
      <c r="A52" s="10" t="s">
        <v>134</v>
      </c>
      <c r="B52" s="10" t="s">
        <v>570</v>
      </c>
      <c r="C52" s="14">
        <v>9.6</v>
      </c>
      <c r="D52" s="14">
        <v>12.1</v>
      </c>
      <c r="E52" s="10" t="s">
        <v>571</v>
      </c>
      <c r="F52" s="10" t="s">
        <v>444</v>
      </c>
      <c r="G52" s="10" t="s">
        <v>572</v>
      </c>
      <c r="H52" s="10" t="s">
        <v>573</v>
      </c>
      <c r="I52" s="10" t="s">
        <v>87</v>
      </c>
      <c r="J52" s="6" t="s">
        <v>135</v>
      </c>
      <c r="K52" s="12">
        <v>34</v>
      </c>
      <c r="L52" s="10" t="s">
        <v>373</v>
      </c>
      <c r="M52" s="5" t="s">
        <v>574</v>
      </c>
      <c r="N52" s="5" t="s">
        <v>593</v>
      </c>
      <c r="O52" s="5" t="s">
        <v>594</v>
      </c>
      <c r="P52" s="5" t="s">
        <v>137</v>
      </c>
      <c r="Q52" s="10" t="s">
        <v>94</v>
      </c>
      <c r="R52" s="10" t="s">
        <v>94</v>
      </c>
      <c r="S52" s="10" t="s">
        <v>94</v>
      </c>
      <c r="T52" s="10" t="s">
        <v>577</v>
      </c>
      <c r="U52" s="5" t="s">
        <v>378</v>
      </c>
      <c r="V52" s="10" t="s">
        <v>138</v>
      </c>
      <c r="W52" s="10" t="s">
        <v>139</v>
      </c>
      <c r="X52" s="10" t="s">
        <v>140</v>
      </c>
      <c r="Y52" s="10" t="s">
        <v>578</v>
      </c>
      <c r="Z52" s="10" t="s">
        <v>595</v>
      </c>
    </row>
    <row r="53" spans="1:26">
      <c r="A53" s="10" t="s">
        <v>142</v>
      </c>
      <c r="B53" s="10" t="s">
        <v>570</v>
      </c>
      <c r="C53" s="14">
        <v>8.6</v>
      </c>
      <c r="D53" s="14">
        <v>9.6</v>
      </c>
      <c r="E53" s="10" t="s">
        <v>571</v>
      </c>
      <c r="F53" s="10" t="s">
        <v>444</v>
      </c>
      <c r="G53" s="10" t="s">
        <v>572</v>
      </c>
      <c r="H53" s="10" t="s">
        <v>573</v>
      </c>
      <c r="I53" s="10" t="s">
        <v>87</v>
      </c>
      <c r="J53" s="6" t="s">
        <v>143</v>
      </c>
      <c r="K53" s="12">
        <v>33</v>
      </c>
      <c r="L53" s="10" t="s">
        <v>373</v>
      </c>
      <c r="M53" s="5" t="s">
        <v>574</v>
      </c>
      <c r="N53" s="5" t="s">
        <v>596</v>
      </c>
      <c r="O53" s="5" t="s">
        <v>597</v>
      </c>
      <c r="P53" s="5" t="s">
        <v>145</v>
      </c>
      <c r="Q53" s="10" t="s">
        <v>94</v>
      </c>
      <c r="R53" s="10" t="s">
        <v>94</v>
      </c>
      <c r="S53" s="10" t="s">
        <v>94</v>
      </c>
      <c r="T53" s="10" t="s">
        <v>577</v>
      </c>
      <c r="U53" s="5" t="s">
        <v>378</v>
      </c>
      <c r="V53" s="10" t="s">
        <v>146</v>
      </c>
      <c r="W53" s="10" t="s">
        <v>147</v>
      </c>
      <c r="X53" s="10" t="s">
        <v>148</v>
      </c>
      <c r="Y53" s="10" t="s">
        <v>578</v>
      </c>
      <c r="Z53" s="10" t="s">
        <v>598</v>
      </c>
    </row>
    <row r="54" spans="1:26">
      <c r="A54" s="10" t="s">
        <v>81</v>
      </c>
      <c r="B54" s="10" t="s">
        <v>599</v>
      </c>
      <c r="C54" s="13">
        <v>0.35</v>
      </c>
      <c r="D54" s="13"/>
      <c r="E54" s="10" t="s">
        <v>396</v>
      </c>
      <c r="F54" s="10" t="s">
        <v>444</v>
      </c>
      <c r="G54" s="10" t="s">
        <v>445</v>
      </c>
      <c r="H54" s="10" t="s">
        <v>573</v>
      </c>
      <c r="I54" s="10" t="s">
        <v>87</v>
      </c>
      <c r="J54" s="6" t="s">
        <v>88</v>
      </c>
      <c r="K54" s="12">
        <v>32</v>
      </c>
      <c r="L54" s="10" t="s">
        <v>373</v>
      </c>
      <c r="M54" s="5" t="s">
        <v>600</v>
      </c>
      <c r="N54" s="5" t="s">
        <v>601</v>
      </c>
      <c r="O54" s="5" t="s">
        <v>602</v>
      </c>
      <c r="P54" s="5" t="s">
        <v>345</v>
      </c>
      <c r="Q54" s="10" t="s">
        <v>94</v>
      </c>
      <c r="R54" s="10" t="s">
        <v>94</v>
      </c>
      <c r="S54" s="10" t="s">
        <v>94</v>
      </c>
      <c r="T54" s="10" t="s">
        <v>603</v>
      </c>
      <c r="U54" s="5" t="s">
        <v>378</v>
      </c>
      <c r="V54" s="10" t="s">
        <v>97</v>
      </c>
      <c r="W54" s="10" t="s">
        <v>98</v>
      </c>
      <c r="X54" s="10" t="s">
        <v>99</v>
      </c>
      <c r="Y54" s="10" t="s">
        <v>604</v>
      </c>
      <c r="Z54" s="10" t="s">
        <v>605</v>
      </c>
    </row>
    <row r="55" spans="1:26">
      <c r="A55" s="10" t="s">
        <v>102</v>
      </c>
      <c r="B55" s="10" t="s">
        <v>599</v>
      </c>
      <c r="C55" s="13">
        <v>0.39</v>
      </c>
      <c r="D55" s="13"/>
      <c r="E55" s="10" t="s">
        <v>396</v>
      </c>
      <c r="F55" s="10" t="s">
        <v>444</v>
      </c>
      <c r="G55" s="10" t="s">
        <v>445</v>
      </c>
      <c r="H55" s="10" t="s">
        <v>573</v>
      </c>
      <c r="I55" s="10" t="s">
        <v>87</v>
      </c>
      <c r="J55" s="6" t="s">
        <v>103</v>
      </c>
      <c r="K55" s="12">
        <v>33</v>
      </c>
      <c r="L55" s="10" t="s">
        <v>373</v>
      </c>
      <c r="M55" s="5" t="s">
        <v>600</v>
      </c>
      <c r="N55" s="5" t="s">
        <v>606</v>
      </c>
      <c r="O55" s="5" t="s">
        <v>607</v>
      </c>
      <c r="P55" s="5" t="s">
        <v>352</v>
      </c>
      <c r="Q55" s="10" t="s">
        <v>94</v>
      </c>
      <c r="R55" s="10" t="s">
        <v>94</v>
      </c>
      <c r="S55" s="10" t="s">
        <v>94</v>
      </c>
      <c r="T55" s="10" t="s">
        <v>603</v>
      </c>
      <c r="U55" s="5" t="s">
        <v>378</v>
      </c>
      <c r="V55" s="10" t="s">
        <v>106</v>
      </c>
      <c r="W55" s="10" t="s">
        <v>107</v>
      </c>
      <c r="X55" s="10" t="s">
        <v>108</v>
      </c>
      <c r="Y55" s="10" t="s">
        <v>604</v>
      </c>
      <c r="Z55" s="10" t="s">
        <v>608</v>
      </c>
    </row>
    <row r="56" spans="1:26">
      <c r="A56" s="10" t="s">
        <v>110</v>
      </c>
      <c r="B56" s="10" t="s">
        <v>599</v>
      </c>
      <c r="C56" s="13">
        <v>0.42</v>
      </c>
      <c r="D56" s="13"/>
      <c r="E56" s="10" t="s">
        <v>396</v>
      </c>
      <c r="F56" s="10" t="s">
        <v>444</v>
      </c>
      <c r="G56" s="10" t="s">
        <v>445</v>
      </c>
      <c r="H56" s="10" t="s">
        <v>573</v>
      </c>
      <c r="I56" s="10" t="s">
        <v>87</v>
      </c>
      <c r="J56" s="6" t="s">
        <v>111</v>
      </c>
      <c r="K56" s="12">
        <v>28</v>
      </c>
      <c r="L56" s="10" t="s">
        <v>373</v>
      </c>
      <c r="M56" s="5" t="s">
        <v>600</v>
      </c>
      <c r="N56" s="5" t="s">
        <v>609</v>
      </c>
      <c r="O56" s="5" t="s">
        <v>610</v>
      </c>
      <c r="P56" s="5" t="s">
        <v>611</v>
      </c>
      <c r="Q56" s="10" t="s">
        <v>94</v>
      </c>
      <c r="R56" s="10" t="s">
        <v>94</v>
      </c>
      <c r="S56" s="10" t="s">
        <v>94</v>
      </c>
      <c r="T56" s="10" t="s">
        <v>603</v>
      </c>
      <c r="U56" s="5" t="s">
        <v>378</v>
      </c>
      <c r="V56" s="10" t="s">
        <v>114</v>
      </c>
      <c r="W56" s="10" t="s">
        <v>115</v>
      </c>
      <c r="X56" s="10" t="s">
        <v>116</v>
      </c>
      <c r="Y56" s="10" t="s">
        <v>604</v>
      </c>
      <c r="Z56" s="10" t="s">
        <v>612</v>
      </c>
    </row>
    <row r="57" spans="1:26">
      <c r="A57" s="10" t="s">
        <v>118</v>
      </c>
      <c r="B57" s="10" t="s">
        <v>599</v>
      </c>
      <c r="C57" s="13">
        <v>0.44</v>
      </c>
      <c r="D57" s="13"/>
      <c r="E57" s="10" t="s">
        <v>396</v>
      </c>
      <c r="F57" s="10" t="s">
        <v>444</v>
      </c>
      <c r="G57" s="10" t="s">
        <v>445</v>
      </c>
      <c r="H57" s="10" t="s">
        <v>573</v>
      </c>
      <c r="I57" s="10" t="s">
        <v>87</v>
      </c>
      <c r="J57" s="6" t="s">
        <v>119</v>
      </c>
      <c r="K57" s="12">
        <v>28</v>
      </c>
      <c r="L57" s="10" t="s">
        <v>373</v>
      </c>
      <c r="M57" s="5" t="s">
        <v>600</v>
      </c>
      <c r="N57" s="5" t="s">
        <v>613</v>
      </c>
      <c r="O57" s="5" t="s">
        <v>614</v>
      </c>
      <c r="P57" s="5" t="s">
        <v>611</v>
      </c>
      <c r="Q57" s="10" t="s">
        <v>94</v>
      </c>
      <c r="R57" s="10" t="s">
        <v>94</v>
      </c>
      <c r="S57" s="10" t="s">
        <v>94</v>
      </c>
      <c r="T57" s="10" t="s">
        <v>603</v>
      </c>
      <c r="U57" s="5" t="s">
        <v>378</v>
      </c>
      <c r="V57" s="10" t="s">
        <v>122</v>
      </c>
      <c r="W57" s="10" t="s">
        <v>123</v>
      </c>
      <c r="X57" s="10" t="s">
        <v>124</v>
      </c>
      <c r="Y57" s="10" t="s">
        <v>604</v>
      </c>
      <c r="Z57" s="10" t="s">
        <v>615</v>
      </c>
    </row>
    <row r="58" spans="1:26">
      <c r="A58" s="10" t="s">
        <v>126</v>
      </c>
      <c r="B58" s="10" t="s">
        <v>599</v>
      </c>
      <c r="C58" s="13">
        <v>0.44</v>
      </c>
      <c r="D58" s="13"/>
      <c r="E58" s="10" t="s">
        <v>396</v>
      </c>
      <c r="F58" s="10" t="s">
        <v>444</v>
      </c>
      <c r="G58" s="10" t="s">
        <v>445</v>
      </c>
      <c r="H58" s="10" t="s">
        <v>573</v>
      </c>
      <c r="I58" s="10" t="s">
        <v>87</v>
      </c>
      <c r="J58" s="6" t="s">
        <v>127</v>
      </c>
      <c r="K58" s="12">
        <v>30</v>
      </c>
      <c r="L58" s="10" t="s">
        <v>373</v>
      </c>
      <c r="M58" s="5" t="s">
        <v>600</v>
      </c>
      <c r="N58" s="5" t="s">
        <v>616</v>
      </c>
      <c r="O58" s="5" t="s">
        <v>617</v>
      </c>
      <c r="P58" s="5" t="s">
        <v>611</v>
      </c>
      <c r="Q58" s="10" t="s">
        <v>94</v>
      </c>
      <c r="R58" s="10" t="s">
        <v>94</v>
      </c>
      <c r="S58" s="10" t="s">
        <v>94</v>
      </c>
      <c r="T58" s="10" t="s">
        <v>603</v>
      </c>
      <c r="U58" s="5" t="s">
        <v>378</v>
      </c>
      <c r="V58" s="10" t="s">
        <v>130</v>
      </c>
      <c r="W58" s="10" t="s">
        <v>131</v>
      </c>
      <c r="X58" s="10" t="s">
        <v>132</v>
      </c>
      <c r="Y58" s="10" t="s">
        <v>604</v>
      </c>
      <c r="Z58" s="10" t="s">
        <v>618</v>
      </c>
    </row>
    <row r="59" spans="1:26">
      <c r="A59" s="10" t="s">
        <v>134</v>
      </c>
      <c r="B59" s="10" t="s">
        <v>599</v>
      </c>
      <c r="C59" s="13">
        <v>0.42</v>
      </c>
      <c r="D59" s="13"/>
      <c r="E59" s="10" t="s">
        <v>396</v>
      </c>
      <c r="F59" s="10" t="s">
        <v>444</v>
      </c>
      <c r="G59" s="10" t="s">
        <v>445</v>
      </c>
      <c r="H59" s="10" t="s">
        <v>573</v>
      </c>
      <c r="I59" s="10" t="s">
        <v>87</v>
      </c>
      <c r="J59" s="6" t="s">
        <v>135</v>
      </c>
      <c r="K59" s="12">
        <v>29</v>
      </c>
      <c r="L59" s="10" t="s">
        <v>373</v>
      </c>
      <c r="M59" s="5" t="s">
        <v>600</v>
      </c>
      <c r="N59" s="5" t="s">
        <v>619</v>
      </c>
      <c r="O59" s="5" t="s">
        <v>620</v>
      </c>
      <c r="P59" s="5" t="s">
        <v>611</v>
      </c>
      <c r="Q59" s="10" t="s">
        <v>94</v>
      </c>
      <c r="R59" s="10" t="s">
        <v>94</v>
      </c>
      <c r="S59" s="10" t="s">
        <v>94</v>
      </c>
      <c r="T59" s="10" t="s">
        <v>603</v>
      </c>
      <c r="U59" s="5" t="s">
        <v>378</v>
      </c>
      <c r="V59" s="10" t="s">
        <v>138</v>
      </c>
      <c r="W59" s="10" t="s">
        <v>139</v>
      </c>
      <c r="X59" s="10" t="s">
        <v>140</v>
      </c>
      <c r="Y59" s="10" t="s">
        <v>604</v>
      </c>
      <c r="Z59" s="10" t="s">
        <v>621</v>
      </c>
    </row>
    <row r="60" spans="1:26">
      <c r="A60" s="10" t="s">
        <v>142</v>
      </c>
      <c r="B60" s="10" t="s">
        <v>599</v>
      </c>
      <c r="C60" s="13"/>
      <c r="D60" s="13"/>
      <c r="E60" s="10" t="s">
        <v>396</v>
      </c>
      <c r="F60" s="10" t="s">
        <v>444</v>
      </c>
      <c r="G60" s="10" t="s">
        <v>445</v>
      </c>
      <c r="H60" s="10" t="s">
        <v>573</v>
      </c>
      <c r="I60" s="10" t="s">
        <v>622</v>
      </c>
      <c r="J60" s="6" t="s">
        <v>143</v>
      </c>
      <c r="K60" s="10"/>
      <c r="L60" s="10" t="s">
        <v>85</v>
      </c>
      <c r="M60" s="5" t="s">
        <v>600</v>
      </c>
      <c r="N60" s="5" t="s">
        <v>85</v>
      </c>
      <c r="O60" s="5" t="s">
        <v>623</v>
      </c>
      <c r="P60" s="5" t="s">
        <v>85</v>
      </c>
      <c r="Q60" s="10" t="s">
        <v>94</v>
      </c>
      <c r="R60" s="10" t="s">
        <v>94</v>
      </c>
      <c r="S60" s="10" t="s">
        <v>94</v>
      </c>
      <c r="T60" s="10" t="s">
        <v>603</v>
      </c>
      <c r="U60" s="5" t="s">
        <v>378</v>
      </c>
      <c r="V60" s="10" t="s">
        <v>146</v>
      </c>
      <c r="W60" s="10" t="s">
        <v>147</v>
      </c>
      <c r="X60" s="10" t="s">
        <v>148</v>
      </c>
      <c r="Y60" s="10" t="s">
        <v>604</v>
      </c>
      <c r="Z60" s="10" t="s">
        <v>624</v>
      </c>
    </row>
    <row r="61" spans="1:26">
      <c r="A61" s="10" t="s">
        <v>81</v>
      </c>
      <c r="B61" s="10" t="s">
        <v>625</v>
      </c>
      <c r="C61" s="13">
        <v>0.05</v>
      </c>
      <c r="D61" s="13"/>
      <c r="E61" s="10" t="s">
        <v>396</v>
      </c>
      <c r="F61" s="10" t="s">
        <v>444</v>
      </c>
      <c r="G61" s="10" t="s">
        <v>445</v>
      </c>
      <c r="H61" s="10" t="s">
        <v>397</v>
      </c>
      <c r="I61" s="10" t="s">
        <v>87</v>
      </c>
      <c r="J61" s="6" t="s">
        <v>88</v>
      </c>
      <c r="K61" s="12">
        <v>31</v>
      </c>
      <c r="L61" s="10" t="s">
        <v>373</v>
      </c>
      <c r="M61" s="5" t="s">
        <v>626</v>
      </c>
      <c r="N61" s="5" t="s">
        <v>627</v>
      </c>
      <c r="O61" s="5" t="s">
        <v>628</v>
      </c>
      <c r="P61" s="5" t="s">
        <v>401</v>
      </c>
      <c r="Q61" s="10" t="s">
        <v>94</v>
      </c>
      <c r="R61" s="10" t="s">
        <v>94</v>
      </c>
      <c r="S61" s="10" t="s">
        <v>94</v>
      </c>
      <c r="T61" s="10" t="s">
        <v>629</v>
      </c>
      <c r="U61" s="5" t="s">
        <v>378</v>
      </c>
      <c r="V61" s="10" t="s">
        <v>97</v>
      </c>
      <c r="W61" s="10" t="s">
        <v>98</v>
      </c>
      <c r="X61" s="10" t="s">
        <v>99</v>
      </c>
      <c r="Y61" s="10" t="s">
        <v>630</v>
      </c>
      <c r="Z61" s="10" t="s">
        <v>631</v>
      </c>
    </row>
    <row r="62" spans="1:26">
      <c r="A62" s="10" t="s">
        <v>102</v>
      </c>
      <c r="B62" s="10" t="s">
        <v>625</v>
      </c>
      <c r="C62" s="13">
        <v>0.32</v>
      </c>
      <c r="D62" s="13"/>
      <c r="E62" s="10" t="s">
        <v>396</v>
      </c>
      <c r="F62" s="10" t="s">
        <v>444</v>
      </c>
      <c r="G62" s="10" t="s">
        <v>445</v>
      </c>
      <c r="H62" s="10" t="s">
        <v>397</v>
      </c>
      <c r="I62" s="10" t="s">
        <v>87</v>
      </c>
      <c r="J62" s="6" t="s">
        <v>103</v>
      </c>
      <c r="K62" s="12">
        <v>32</v>
      </c>
      <c r="L62" s="10" t="s">
        <v>373</v>
      </c>
      <c r="M62" s="5" t="s">
        <v>626</v>
      </c>
      <c r="N62" s="5" t="s">
        <v>632</v>
      </c>
      <c r="O62" s="5" t="s">
        <v>633</v>
      </c>
      <c r="P62" s="5" t="s">
        <v>401</v>
      </c>
      <c r="Q62" s="10" t="s">
        <v>94</v>
      </c>
      <c r="R62" s="10" t="s">
        <v>94</v>
      </c>
      <c r="S62" s="10" t="s">
        <v>94</v>
      </c>
      <c r="T62" s="10" t="s">
        <v>629</v>
      </c>
      <c r="U62" s="5" t="s">
        <v>378</v>
      </c>
      <c r="V62" s="10" t="s">
        <v>106</v>
      </c>
      <c r="W62" s="10" t="s">
        <v>107</v>
      </c>
      <c r="X62" s="10" t="s">
        <v>108</v>
      </c>
      <c r="Y62" s="10" t="s">
        <v>630</v>
      </c>
      <c r="Z62" s="10" t="s">
        <v>634</v>
      </c>
    </row>
    <row r="63" spans="1:26">
      <c r="A63" s="10" t="s">
        <v>110</v>
      </c>
      <c r="B63" s="10" t="s">
        <v>625</v>
      </c>
      <c r="C63" s="13">
        <v>0.14</v>
      </c>
      <c r="D63" s="13"/>
      <c r="E63" s="10" t="s">
        <v>396</v>
      </c>
      <c r="F63" s="10" t="s">
        <v>444</v>
      </c>
      <c r="G63" s="10" t="s">
        <v>445</v>
      </c>
      <c r="H63" s="10" t="s">
        <v>397</v>
      </c>
      <c r="I63" s="10" t="s">
        <v>87</v>
      </c>
      <c r="J63" s="6" t="s">
        <v>111</v>
      </c>
      <c r="K63" s="12">
        <v>32</v>
      </c>
      <c r="L63" s="10" t="s">
        <v>373</v>
      </c>
      <c r="M63" s="5" t="s">
        <v>626</v>
      </c>
      <c r="N63" s="5" t="s">
        <v>635</v>
      </c>
      <c r="O63" s="5" t="s">
        <v>636</v>
      </c>
      <c r="P63" s="5" t="s">
        <v>401</v>
      </c>
      <c r="Q63" s="10" t="s">
        <v>94</v>
      </c>
      <c r="R63" s="10" t="s">
        <v>94</v>
      </c>
      <c r="S63" s="10" t="s">
        <v>94</v>
      </c>
      <c r="T63" s="10" t="s">
        <v>629</v>
      </c>
      <c r="U63" s="5" t="s">
        <v>378</v>
      </c>
      <c r="V63" s="10" t="s">
        <v>114</v>
      </c>
      <c r="W63" s="10" t="s">
        <v>115</v>
      </c>
      <c r="X63" s="10" t="s">
        <v>116</v>
      </c>
      <c r="Y63" s="10" t="s">
        <v>630</v>
      </c>
      <c r="Z63" s="10" t="s">
        <v>637</v>
      </c>
    </row>
    <row r="64" spans="1:26">
      <c r="A64" s="10" t="s">
        <v>118</v>
      </c>
      <c r="B64" s="10" t="s">
        <v>625</v>
      </c>
      <c r="C64" s="13">
        <v>0.14</v>
      </c>
      <c r="D64" s="13"/>
      <c r="E64" s="10" t="s">
        <v>396</v>
      </c>
      <c r="F64" s="10" t="s">
        <v>444</v>
      </c>
      <c r="G64" s="10" t="s">
        <v>445</v>
      </c>
      <c r="H64" s="10" t="s">
        <v>397</v>
      </c>
      <c r="I64" s="10" t="s">
        <v>87</v>
      </c>
      <c r="J64" s="6" t="s">
        <v>119</v>
      </c>
      <c r="K64" s="12">
        <v>32</v>
      </c>
      <c r="L64" s="10" t="s">
        <v>373</v>
      </c>
      <c r="M64" s="5" t="s">
        <v>626</v>
      </c>
      <c r="N64" s="5" t="s">
        <v>638</v>
      </c>
      <c r="O64" s="5" t="s">
        <v>639</v>
      </c>
      <c r="P64" s="5" t="s">
        <v>401</v>
      </c>
      <c r="Q64" s="10" t="s">
        <v>94</v>
      </c>
      <c r="R64" s="10" t="s">
        <v>94</v>
      </c>
      <c r="S64" s="10" t="s">
        <v>94</v>
      </c>
      <c r="T64" s="10" t="s">
        <v>629</v>
      </c>
      <c r="U64" s="5" t="s">
        <v>378</v>
      </c>
      <c r="V64" s="10" t="s">
        <v>122</v>
      </c>
      <c r="W64" s="10" t="s">
        <v>123</v>
      </c>
      <c r="X64" s="10" t="s">
        <v>124</v>
      </c>
      <c r="Y64" s="10" t="s">
        <v>630</v>
      </c>
      <c r="Z64" s="10" t="s">
        <v>640</v>
      </c>
    </row>
    <row r="65" spans="1:26">
      <c r="A65" s="10" t="s">
        <v>126</v>
      </c>
      <c r="B65" s="10" t="s">
        <v>625</v>
      </c>
      <c r="C65" s="13">
        <v>0.01</v>
      </c>
      <c r="D65" s="13"/>
      <c r="E65" s="10" t="s">
        <v>396</v>
      </c>
      <c r="F65" s="10" t="s">
        <v>444</v>
      </c>
      <c r="G65" s="10" t="s">
        <v>445</v>
      </c>
      <c r="H65" s="10" t="s">
        <v>397</v>
      </c>
      <c r="I65" s="10" t="s">
        <v>87</v>
      </c>
      <c r="J65" s="6" t="s">
        <v>127</v>
      </c>
      <c r="K65" s="12">
        <v>34</v>
      </c>
      <c r="L65" s="10" t="s">
        <v>373</v>
      </c>
      <c r="M65" s="5" t="s">
        <v>626</v>
      </c>
      <c r="N65" s="5" t="s">
        <v>641</v>
      </c>
      <c r="O65" s="5" t="s">
        <v>642</v>
      </c>
      <c r="P65" s="5" t="s">
        <v>401</v>
      </c>
      <c r="Q65" s="10" t="s">
        <v>94</v>
      </c>
      <c r="R65" s="10" t="s">
        <v>94</v>
      </c>
      <c r="S65" s="10" t="s">
        <v>94</v>
      </c>
      <c r="T65" s="10" t="s">
        <v>629</v>
      </c>
      <c r="U65" s="5" t="s">
        <v>378</v>
      </c>
      <c r="V65" s="10" t="s">
        <v>130</v>
      </c>
      <c r="W65" s="10" t="s">
        <v>131</v>
      </c>
      <c r="X65" s="10" t="s">
        <v>132</v>
      </c>
      <c r="Y65" s="10" t="s">
        <v>630</v>
      </c>
      <c r="Z65" s="10" t="s">
        <v>643</v>
      </c>
    </row>
    <row r="66" spans="1:26">
      <c r="A66" s="10" t="s">
        <v>134</v>
      </c>
      <c r="B66" s="10" t="s">
        <v>625</v>
      </c>
      <c r="C66" s="13">
        <v>-0.13</v>
      </c>
      <c r="D66" s="13"/>
      <c r="E66" s="10" t="s">
        <v>396</v>
      </c>
      <c r="F66" s="10" t="s">
        <v>444</v>
      </c>
      <c r="G66" s="10" t="s">
        <v>445</v>
      </c>
      <c r="H66" s="10" t="s">
        <v>397</v>
      </c>
      <c r="I66" s="10" t="s">
        <v>87</v>
      </c>
      <c r="J66" s="6" t="s">
        <v>135</v>
      </c>
      <c r="K66" s="12">
        <v>33</v>
      </c>
      <c r="L66" s="10" t="s">
        <v>373</v>
      </c>
      <c r="M66" s="5" t="s">
        <v>626</v>
      </c>
      <c r="N66" s="5" t="s">
        <v>644</v>
      </c>
      <c r="O66" s="5" t="s">
        <v>645</v>
      </c>
      <c r="P66" s="5" t="s">
        <v>401</v>
      </c>
      <c r="Q66" s="10" t="s">
        <v>94</v>
      </c>
      <c r="R66" s="10" t="s">
        <v>94</v>
      </c>
      <c r="S66" s="10" t="s">
        <v>94</v>
      </c>
      <c r="T66" s="10" t="s">
        <v>629</v>
      </c>
      <c r="U66" s="5" t="s">
        <v>378</v>
      </c>
      <c r="V66" s="10" t="s">
        <v>138</v>
      </c>
      <c r="W66" s="10" t="s">
        <v>139</v>
      </c>
      <c r="X66" s="10" t="s">
        <v>140</v>
      </c>
      <c r="Y66" s="10" t="s">
        <v>630</v>
      </c>
      <c r="Z66" s="10" t="s">
        <v>646</v>
      </c>
    </row>
    <row r="67" spans="1:26">
      <c r="A67" s="10" t="s">
        <v>142</v>
      </c>
      <c r="B67" s="10" t="s">
        <v>625</v>
      </c>
      <c r="C67" s="13">
        <v>-0.06</v>
      </c>
      <c r="D67" s="13"/>
      <c r="E67" s="10" t="s">
        <v>396</v>
      </c>
      <c r="F67" s="10" t="s">
        <v>444</v>
      </c>
      <c r="G67" s="10" t="s">
        <v>445</v>
      </c>
      <c r="H67" s="10" t="s">
        <v>397</v>
      </c>
      <c r="I67" s="10" t="s">
        <v>87</v>
      </c>
      <c r="J67" s="6" t="s">
        <v>143</v>
      </c>
      <c r="K67" s="12">
        <v>32</v>
      </c>
      <c r="L67" s="10" t="s">
        <v>373</v>
      </c>
      <c r="M67" s="5" t="s">
        <v>626</v>
      </c>
      <c r="N67" s="5" t="s">
        <v>647</v>
      </c>
      <c r="O67" s="5" t="s">
        <v>648</v>
      </c>
      <c r="P67" s="5" t="s">
        <v>401</v>
      </c>
      <c r="Q67" s="10" t="s">
        <v>94</v>
      </c>
      <c r="R67" s="10" t="s">
        <v>94</v>
      </c>
      <c r="S67" s="10" t="s">
        <v>94</v>
      </c>
      <c r="T67" s="10" t="s">
        <v>629</v>
      </c>
      <c r="U67" s="5" t="s">
        <v>378</v>
      </c>
      <c r="V67" s="10" t="s">
        <v>146</v>
      </c>
      <c r="W67" s="10" t="s">
        <v>147</v>
      </c>
      <c r="X67" s="10" t="s">
        <v>148</v>
      </c>
      <c r="Y67" s="10" t="s">
        <v>630</v>
      </c>
      <c r="Z67" s="10" t="s">
        <v>649</v>
      </c>
    </row>
    <row r="68" spans="1:26">
      <c r="A68" s="10" t="s">
        <v>81</v>
      </c>
      <c r="B68" s="10" t="s">
        <v>650</v>
      </c>
      <c r="C68" s="13">
        <v>0.08</v>
      </c>
      <c r="D68" s="13"/>
      <c r="E68" s="10" t="s">
        <v>396</v>
      </c>
      <c r="F68" s="10" t="s">
        <v>444</v>
      </c>
      <c r="G68" s="10" t="s">
        <v>445</v>
      </c>
      <c r="H68" s="10" t="s">
        <v>372</v>
      </c>
      <c r="I68" s="10" t="s">
        <v>87</v>
      </c>
      <c r="J68" s="6" t="s">
        <v>88</v>
      </c>
      <c r="K68" s="12">
        <v>31</v>
      </c>
      <c r="L68" s="10" t="s">
        <v>373</v>
      </c>
      <c r="M68" s="5" t="s">
        <v>651</v>
      </c>
      <c r="N68" s="5" t="s">
        <v>627</v>
      </c>
      <c r="O68" s="5" t="s">
        <v>425</v>
      </c>
      <c r="P68" s="5" t="s">
        <v>401</v>
      </c>
      <c r="Q68" s="10" t="s">
        <v>94</v>
      </c>
      <c r="R68" s="10" t="s">
        <v>94</v>
      </c>
      <c r="S68" s="10" t="s">
        <v>94</v>
      </c>
      <c r="T68" s="10" t="s">
        <v>652</v>
      </c>
      <c r="U68" s="5" t="s">
        <v>378</v>
      </c>
      <c r="V68" s="10" t="s">
        <v>97</v>
      </c>
      <c r="W68" s="10" t="s">
        <v>98</v>
      </c>
      <c r="X68" s="10" t="s">
        <v>99</v>
      </c>
      <c r="Y68" s="10" t="s">
        <v>653</v>
      </c>
      <c r="Z68" s="10" t="s">
        <v>654</v>
      </c>
    </row>
    <row r="69" spans="1:26">
      <c r="A69" s="10" t="s">
        <v>102</v>
      </c>
      <c r="B69" s="10" t="s">
        <v>650</v>
      </c>
      <c r="C69" s="13">
        <v>0.3</v>
      </c>
      <c r="D69" s="13"/>
      <c r="E69" s="10" t="s">
        <v>396</v>
      </c>
      <c r="F69" s="10" t="s">
        <v>444</v>
      </c>
      <c r="G69" s="10" t="s">
        <v>445</v>
      </c>
      <c r="H69" s="10" t="s">
        <v>372</v>
      </c>
      <c r="I69" s="10" t="s">
        <v>87</v>
      </c>
      <c r="J69" s="6" t="s">
        <v>103</v>
      </c>
      <c r="K69" s="12">
        <v>32</v>
      </c>
      <c r="L69" s="10" t="s">
        <v>373</v>
      </c>
      <c r="M69" s="5" t="s">
        <v>651</v>
      </c>
      <c r="N69" s="5" t="s">
        <v>632</v>
      </c>
      <c r="O69" s="5" t="s">
        <v>429</v>
      </c>
      <c r="P69" s="5" t="s">
        <v>401</v>
      </c>
      <c r="Q69" s="10" t="s">
        <v>94</v>
      </c>
      <c r="R69" s="10" t="s">
        <v>94</v>
      </c>
      <c r="S69" s="10" t="s">
        <v>94</v>
      </c>
      <c r="T69" s="10" t="s">
        <v>652</v>
      </c>
      <c r="U69" s="5" t="s">
        <v>378</v>
      </c>
      <c r="V69" s="10" t="s">
        <v>106</v>
      </c>
      <c r="W69" s="10" t="s">
        <v>107</v>
      </c>
      <c r="X69" s="10" t="s">
        <v>108</v>
      </c>
      <c r="Y69" s="10" t="s">
        <v>653</v>
      </c>
      <c r="Z69" s="10" t="s">
        <v>655</v>
      </c>
    </row>
    <row r="70" spans="1:26">
      <c r="A70" s="10" t="s">
        <v>110</v>
      </c>
      <c r="B70" s="10" t="s">
        <v>650</v>
      </c>
      <c r="C70" s="13">
        <v>0.15</v>
      </c>
      <c r="D70" s="13"/>
      <c r="E70" s="10" t="s">
        <v>396</v>
      </c>
      <c r="F70" s="10" t="s">
        <v>444</v>
      </c>
      <c r="G70" s="10" t="s">
        <v>445</v>
      </c>
      <c r="H70" s="10" t="s">
        <v>372</v>
      </c>
      <c r="I70" s="10" t="s">
        <v>87</v>
      </c>
      <c r="J70" s="6" t="s">
        <v>111</v>
      </c>
      <c r="K70" s="12">
        <v>32</v>
      </c>
      <c r="L70" s="10" t="s">
        <v>373</v>
      </c>
      <c r="M70" s="5" t="s">
        <v>651</v>
      </c>
      <c r="N70" s="5" t="s">
        <v>635</v>
      </c>
      <c r="O70" s="5" t="s">
        <v>431</v>
      </c>
      <c r="P70" s="5" t="s">
        <v>401</v>
      </c>
      <c r="Q70" s="10" t="s">
        <v>94</v>
      </c>
      <c r="R70" s="10" t="s">
        <v>94</v>
      </c>
      <c r="S70" s="10" t="s">
        <v>94</v>
      </c>
      <c r="T70" s="10" t="s">
        <v>652</v>
      </c>
      <c r="U70" s="5" t="s">
        <v>378</v>
      </c>
      <c r="V70" s="10" t="s">
        <v>114</v>
      </c>
      <c r="W70" s="10" t="s">
        <v>115</v>
      </c>
      <c r="X70" s="10" t="s">
        <v>116</v>
      </c>
      <c r="Y70" s="10" t="s">
        <v>653</v>
      </c>
      <c r="Z70" s="10" t="s">
        <v>656</v>
      </c>
    </row>
    <row r="71" spans="1:26">
      <c r="A71" s="10" t="s">
        <v>118</v>
      </c>
      <c r="B71" s="10" t="s">
        <v>650</v>
      </c>
      <c r="C71" s="13">
        <v>0.2</v>
      </c>
      <c r="D71" s="13"/>
      <c r="E71" s="10" t="s">
        <v>396</v>
      </c>
      <c r="F71" s="10" t="s">
        <v>444</v>
      </c>
      <c r="G71" s="10" t="s">
        <v>445</v>
      </c>
      <c r="H71" s="10" t="s">
        <v>372</v>
      </c>
      <c r="I71" s="10" t="s">
        <v>87</v>
      </c>
      <c r="J71" s="6" t="s">
        <v>119</v>
      </c>
      <c r="K71" s="12">
        <v>32</v>
      </c>
      <c r="L71" s="10" t="s">
        <v>373</v>
      </c>
      <c r="M71" s="5" t="s">
        <v>651</v>
      </c>
      <c r="N71" s="5" t="s">
        <v>638</v>
      </c>
      <c r="O71" s="5" t="s">
        <v>433</v>
      </c>
      <c r="P71" s="5" t="s">
        <v>401</v>
      </c>
      <c r="Q71" s="10" t="s">
        <v>94</v>
      </c>
      <c r="R71" s="10" t="s">
        <v>94</v>
      </c>
      <c r="S71" s="10" t="s">
        <v>94</v>
      </c>
      <c r="T71" s="10" t="s">
        <v>652</v>
      </c>
      <c r="U71" s="5" t="s">
        <v>378</v>
      </c>
      <c r="V71" s="10" t="s">
        <v>122</v>
      </c>
      <c r="W71" s="10" t="s">
        <v>123</v>
      </c>
      <c r="X71" s="10" t="s">
        <v>124</v>
      </c>
      <c r="Y71" s="10" t="s">
        <v>653</v>
      </c>
      <c r="Z71" s="10" t="s">
        <v>657</v>
      </c>
    </row>
    <row r="72" spans="1:26">
      <c r="A72" s="10" t="s">
        <v>126</v>
      </c>
      <c r="B72" s="10" t="s">
        <v>650</v>
      </c>
      <c r="C72" s="13">
        <v>0.01</v>
      </c>
      <c r="D72" s="13"/>
      <c r="E72" s="10" t="s">
        <v>396</v>
      </c>
      <c r="F72" s="10" t="s">
        <v>444</v>
      </c>
      <c r="G72" s="10" t="s">
        <v>445</v>
      </c>
      <c r="H72" s="10" t="s">
        <v>372</v>
      </c>
      <c r="I72" s="10" t="s">
        <v>87</v>
      </c>
      <c r="J72" s="6" t="s">
        <v>127</v>
      </c>
      <c r="K72" s="12">
        <v>34</v>
      </c>
      <c r="L72" s="10" t="s">
        <v>373</v>
      </c>
      <c r="M72" s="5" t="s">
        <v>651</v>
      </c>
      <c r="N72" s="5" t="s">
        <v>641</v>
      </c>
      <c r="O72" s="5" t="s">
        <v>435</v>
      </c>
      <c r="P72" s="5" t="s">
        <v>401</v>
      </c>
      <c r="Q72" s="10" t="s">
        <v>94</v>
      </c>
      <c r="R72" s="10" t="s">
        <v>94</v>
      </c>
      <c r="S72" s="10" t="s">
        <v>94</v>
      </c>
      <c r="T72" s="10" t="s">
        <v>652</v>
      </c>
      <c r="U72" s="5" t="s">
        <v>378</v>
      </c>
      <c r="V72" s="10" t="s">
        <v>130</v>
      </c>
      <c r="W72" s="10" t="s">
        <v>131</v>
      </c>
      <c r="X72" s="10" t="s">
        <v>132</v>
      </c>
      <c r="Y72" s="10" t="s">
        <v>653</v>
      </c>
      <c r="Z72" s="10" t="s">
        <v>658</v>
      </c>
    </row>
    <row r="73" spans="1:26">
      <c r="A73" s="10" t="s">
        <v>134</v>
      </c>
      <c r="B73" s="10" t="s">
        <v>650</v>
      </c>
      <c r="C73" s="13">
        <v>-0.12</v>
      </c>
      <c r="D73" s="13"/>
      <c r="E73" s="10" t="s">
        <v>396</v>
      </c>
      <c r="F73" s="10" t="s">
        <v>444</v>
      </c>
      <c r="G73" s="10" t="s">
        <v>445</v>
      </c>
      <c r="H73" s="10" t="s">
        <v>372</v>
      </c>
      <c r="I73" s="10" t="s">
        <v>87</v>
      </c>
      <c r="J73" s="6" t="s">
        <v>135</v>
      </c>
      <c r="K73" s="12">
        <v>33</v>
      </c>
      <c r="L73" s="10" t="s">
        <v>373</v>
      </c>
      <c r="M73" s="5" t="s">
        <v>651</v>
      </c>
      <c r="N73" s="5" t="s">
        <v>644</v>
      </c>
      <c r="O73" s="5" t="s">
        <v>437</v>
      </c>
      <c r="P73" s="5" t="s">
        <v>401</v>
      </c>
      <c r="Q73" s="10" t="s">
        <v>94</v>
      </c>
      <c r="R73" s="10" t="s">
        <v>94</v>
      </c>
      <c r="S73" s="10" t="s">
        <v>94</v>
      </c>
      <c r="T73" s="10" t="s">
        <v>652</v>
      </c>
      <c r="U73" s="5" t="s">
        <v>378</v>
      </c>
      <c r="V73" s="10" t="s">
        <v>138</v>
      </c>
      <c r="W73" s="10" t="s">
        <v>139</v>
      </c>
      <c r="X73" s="10" t="s">
        <v>140</v>
      </c>
      <c r="Y73" s="10" t="s">
        <v>653</v>
      </c>
      <c r="Z73" s="10" t="s">
        <v>659</v>
      </c>
    </row>
    <row r="74" spans="1:26">
      <c r="A74" s="10" t="s">
        <v>142</v>
      </c>
      <c r="B74" s="10" t="s">
        <v>650</v>
      </c>
      <c r="C74" s="13">
        <v>-0.08</v>
      </c>
      <c r="D74" s="13"/>
      <c r="E74" s="10" t="s">
        <v>396</v>
      </c>
      <c r="F74" s="10" t="s">
        <v>444</v>
      </c>
      <c r="G74" s="10" t="s">
        <v>445</v>
      </c>
      <c r="H74" s="10" t="s">
        <v>372</v>
      </c>
      <c r="I74" s="10" t="s">
        <v>87</v>
      </c>
      <c r="J74" s="6" t="s">
        <v>143</v>
      </c>
      <c r="K74" s="12">
        <v>32</v>
      </c>
      <c r="L74" s="10" t="s">
        <v>373</v>
      </c>
      <c r="M74" s="5" t="s">
        <v>651</v>
      </c>
      <c r="N74" s="5" t="s">
        <v>647</v>
      </c>
      <c r="O74" s="5" t="s">
        <v>439</v>
      </c>
      <c r="P74" s="5" t="s">
        <v>401</v>
      </c>
      <c r="Q74" s="10" t="s">
        <v>94</v>
      </c>
      <c r="R74" s="10" t="s">
        <v>94</v>
      </c>
      <c r="S74" s="10" t="s">
        <v>94</v>
      </c>
      <c r="T74" s="10" t="s">
        <v>652</v>
      </c>
      <c r="U74" s="5" t="s">
        <v>378</v>
      </c>
      <c r="V74" s="10" t="s">
        <v>146</v>
      </c>
      <c r="W74" s="10" t="s">
        <v>147</v>
      </c>
      <c r="X74" s="10" t="s">
        <v>148</v>
      </c>
      <c r="Y74" s="10" t="s">
        <v>653</v>
      </c>
      <c r="Z74" s="10" t="s">
        <v>660</v>
      </c>
    </row>
    <row r="75" spans="1:26">
      <c r="A75" s="10" t="s">
        <v>81</v>
      </c>
      <c r="B75" s="10" t="s">
        <v>661</v>
      </c>
      <c r="C75" s="13">
        <v>-0.09</v>
      </c>
      <c r="D75" s="13"/>
      <c r="E75" s="10" t="s">
        <v>396</v>
      </c>
      <c r="F75" s="10" t="s">
        <v>444</v>
      </c>
      <c r="G75" s="10" t="s">
        <v>471</v>
      </c>
      <c r="H75" s="10" t="s">
        <v>397</v>
      </c>
      <c r="I75" s="10" t="s">
        <v>87</v>
      </c>
      <c r="J75" s="6" t="s">
        <v>88</v>
      </c>
      <c r="K75" s="12">
        <v>31</v>
      </c>
      <c r="L75" s="10" t="s">
        <v>373</v>
      </c>
      <c r="M75" s="5" t="s">
        <v>626</v>
      </c>
      <c r="N75" s="5" t="s">
        <v>662</v>
      </c>
      <c r="O75" s="5" t="s">
        <v>406</v>
      </c>
      <c r="P75" s="5" t="s">
        <v>401</v>
      </c>
      <c r="Q75" s="10" t="s">
        <v>94</v>
      </c>
      <c r="R75" s="10" t="s">
        <v>94</v>
      </c>
      <c r="S75" s="10" t="s">
        <v>94</v>
      </c>
      <c r="T75" s="10" t="s">
        <v>663</v>
      </c>
      <c r="U75" s="5" t="s">
        <v>378</v>
      </c>
      <c r="V75" s="10" t="s">
        <v>97</v>
      </c>
      <c r="W75" s="10" t="s">
        <v>98</v>
      </c>
      <c r="X75" s="10" t="s">
        <v>99</v>
      </c>
      <c r="Y75" s="10" t="s">
        <v>664</v>
      </c>
      <c r="Z75" s="10" t="s">
        <v>665</v>
      </c>
    </row>
    <row r="76" spans="1:26">
      <c r="A76" s="10" t="s">
        <v>102</v>
      </c>
      <c r="B76" s="10" t="s">
        <v>661</v>
      </c>
      <c r="C76" s="13">
        <v>0.12</v>
      </c>
      <c r="D76" s="13"/>
      <c r="E76" s="10" t="s">
        <v>396</v>
      </c>
      <c r="F76" s="10" t="s">
        <v>444</v>
      </c>
      <c r="G76" s="10" t="s">
        <v>471</v>
      </c>
      <c r="H76" s="10" t="s">
        <v>397</v>
      </c>
      <c r="I76" s="10" t="s">
        <v>87</v>
      </c>
      <c r="J76" s="6" t="s">
        <v>103</v>
      </c>
      <c r="K76" s="12">
        <v>32</v>
      </c>
      <c r="L76" s="10" t="s">
        <v>373</v>
      </c>
      <c r="M76" s="5" t="s">
        <v>626</v>
      </c>
      <c r="N76" s="5" t="s">
        <v>666</v>
      </c>
      <c r="O76" s="5" t="s">
        <v>667</v>
      </c>
      <c r="P76" s="5" t="s">
        <v>401</v>
      </c>
      <c r="Q76" s="10" t="s">
        <v>94</v>
      </c>
      <c r="R76" s="10" t="s">
        <v>94</v>
      </c>
      <c r="S76" s="10" t="s">
        <v>94</v>
      </c>
      <c r="T76" s="10" t="s">
        <v>663</v>
      </c>
      <c r="U76" s="5" t="s">
        <v>378</v>
      </c>
      <c r="V76" s="10" t="s">
        <v>106</v>
      </c>
      <c r="W76" s="10" t="s">
        <v>107</v>
      </c>
      <c r="X76" s="10" t="s">
        <v>108</v>
      </c>
      <c r="Y76" s="10" t="s">
        <v>664</v>
      </c>
      <c r="Z76" s="10" t="s">
        <v>668</v>
      </c>
    </row>
    <row r="77" spans="1:26">
      <c r="A77" s="10" t="s">
        <v>110</v>
      </c>
      <c r="B77" s="10" t="s">
        <v>661</v>
      </c>
      <c r="C77" s="13">
        <v>-0.01</v>
      </c>
      <c r="D77" s="13"/>
      <c r="E77" s="10" t="s">
        <v>396</v>
      </c>
      <c r="F77" s="10" t="s">
        <v>444</v>
      </c>
      <c r="G77" s="10" t="s">
        <v>471</v>
      </c>
      <c r="H77" s="10" t="s">
        <v>397</v>
      </c>
      <c r="I77" s="10" t="s">
        <v>87</v>
      </c>
      <c r="J77" s="6" t="s">
        <v>111</v>
      </c>
      <c r="K77" s="12">
        <v>32</v>
      </c>
      <c r="L77" s="10" t="s">
        <v>373</v>
      </c>
      <c r="M77" s="5" t="s">
        <v>626</v>
      </c>
      <c r="N77" s="5" t="s">
        <v>669</v>
      </c>
      <c r="O77" s="5" t="s">
        <v>409</v>
      </c>
      <c r="P77" s="5" t="s">
        <v>401</v>
      </c>
      <c r="Q77" s="10" t="s">
        <v>94</v>
      </c>
      <c r="R77" s="10" t="s">
        <v>94</v>
      </c>
      <c r="S77" s="10" t="s">
        <v>94</v>
      </c>
      <c r="T77" s="10" t="s">
        <v>663</v>
      </c>
      <c r="U77" s="5" t="s">
        <v>378</v>
      </c>
      <c r="V77" s="10" t="s">
        <v>114</v>
      </c>
      <c r="W77" s="10" t="s">
        <v>115</v>
      </c>
      <c r="X77" s="10" t="s">
        <v>116</v>
      </c>
      <c r="Y77" s="10" t="s">
        <v>664</v>
      </c>
      <c r="Z77" s="10" t="s">
        <v>670</v>
      </c>
    </row>
    <row r="78" spans="1:26">
      <c r="A78" s="10" t="s">
        <v>118</v>
      </c>
      <c r="B78" s="10" t="s">
        <v>661</v>
      </c>
      <c r="C78" s="13">
        <v>0.07000000000000001</v>
      </c>
      <c r="D78" s="13"/>
      <c r="E78" s="10" t="s">
        <v>396</v>
      </c>
      <c r="F78" s="10" t="s">
        <v>444</v>
      </c>
      <c r="G78" s="10" t="s">
        <v>471</v>
      </c>
      <c r="H78" s="10" t="s">
        <v>397</v>
      </c>
      <c r="I78" s="10" t="s">
        <v>87</v>
      </c>
      <c r="J78" s="6" t="s">
        <v>119</v>
      </c>
      <c r="K78" s="12">
        <v>32</v>
      </c>
      <c r="L78" s="10" t="s">
        <v>373</v>
      </c>
      <c r="M78" s="5" t="s">
        <v>626</v>
      </c>
      <c r="N78" s="5" t="s">
        <v>671</v>
      </c>
      <c r="O78" s="5" t="s">
        <v>642</v>
      </c>
      <c r="P78" s="5" t="s">
        <v>401</v>
      </c>
      <c r="Q78" s="10" t="s">
        <v>94</v>
      </c>
      <c r="R78" s="10" t="s">
        <v>94</v>
      </c>
      <c r="S78" s="10" t="s">
        <v>94</v>
      </c>
      <c r="T78" s="10" t="s">
        <v>663</v>
      </c>
      <c r="U78" s="5" t="s">
        <v>378</v>
      </c>
      <c r="V78" s="10" t="s">
        <v>122</v>
      </c>
      <c r="W78" s="10" t="s">
        <v>123</v>
      </c>
      <c r="X78" s="10" t="s">
        <v>124</v>
      </c>
      <c r="Y78" s="10" t="s">
        <v>664</v>
      </c>
      <c r="Z78" s="10" t="s">
        <v>672</v>
      </c>
    </row>
    <row r="79" spans="1:26">
      <c r="A79" s="10" t="s">
        <v>126</v>
      </c>
      <c r="B79" s="10" t="s">
        <v>661</v>
      </c>
      <c r="C79" s="13">
        <v>0.01</v>
      </c>
      <c r="D79" s="13"/>
      <c r="E79" s="10" t="s">
        <v>396</v>
      </c>
      <c r="F79" s="10" t="s">
        <v>444</v>
      </c>
      <c r="G79" s="10" t="s">
        <v>471</v>
      </c>
      <c r="H79" s="10" t="s">
        <v>397</v>
      </c>
      <c r="I79" s="10" t="s">
        <v>87</v>
      </c>
      <c r="J79" s="6" t="s">
        <v>127</v>
      </c>
      <c r="K79" s="12">
        <v>34</v>
      </c>
      <c r="L79" s="10" t="s">
        <v>373</v>
      </c>
      <c r="M79" s="5" t="s">
        <v>626</v>
      </c>
      <c r="N79" s="5" t="s">
        <v>673</v>
      </c>
      <c r="O79" s="5" t="s">
        <v>674</v>
      </c>
      <c r="P79" s="5" t="s">
        <v>401</v>
      </c>
      <c r="Q79" s="10" t="s">
        <v>94</v>
      </c>
      <c r="R79" s="10" t="s">
        <v>94</v>
      </c>
      <c r="S79" s="10" t="s">
        <v>94</v>
      </c>
      <c r="T79" s="10" t="s">
        <v>663</v>
      </c>
      <c r="U79" s="5" t="s">
        <v>378</v>
      </c>
      <c r="V79" s="10" t="s">
        <v>130</v>
      </c>
      <c r="W79" s="10" t="s">
        <v>131</v>
      </c>
      <c r="X79" s="10" t="s">
        <v>132</v>
      </c>
      <c r="Y79" s="10" t="s">
        <v>664</v>
      </c>
      <c r="Z79" s="10" t="s">
        <v>675</v>
      </c>
    </row>
    <row r="80" spans="1:26">
      <c r="A80" s="10" t="s">
        <v>134</v>
      </c>
      <c r="B80" s="10" t="s">
        <v>661</v>
      </c>
      <c r="C80" s="13">
        <v>-0.07000000000000001</v>
      </c>
      <c r="D80" s="13"/>
      <c r="E80" s="10" t="s">
        <v>396</v>
      </c>
      <c r="F80" s="10" t="s">
        <v>444</v>
      </c>
      <c r="G80" s="10" t="s">
        <v>471</v>
      </c>
      <c r="H80" s="10" t="s">
        <v>397</v>
      </c>
      <c r="I80" s="10" t="s">
        <v>87</v>
      </c>
      <c r="J80" s="6" t="s">
        <v>135</v>
      </c>
      <c r="K80" s="12">
        <v>33</v>
      </c>
      <c r="L80" s="10" t="s">
        <v>373</v>
      </c>
      <c r="M80" s="5" t="s">
        <v>626</v>
      </c>
      <c r="N80" s="5" t="s">
        <v>676</v>
      </c>
      <c r="O80" s="5" t="s">
        <v>677</v>
      </c>
      <c r="P80" s="5" t="s">
        <v>401</v>
      </c>
      <c r="Q80" s="10" t="s">
        <v>94</v>
      </c>
      <c r="R80" s="10" t="s">
        <v>94</v>
      </c>
      <c r="S80" s="10" t="s">
        <v>94</v>
      </c>
      <c r="T80" s="10" t="s">
        <v>663</v>
      </c>
      <c r="U80" s="5" t="s">
        <v>378</v>
      </c>
      <c r="V80" s="10" t="s">
        <v>138</v>
      </c>
      <c r="W80" s="10" t="s">
        <v>139</v>
      </c>
      <c r="X80" s="10" t="s">
        <v>140</v>
      </c>
      <c r="Y80" s="10" t="s">
        <v>664</v>
      </c>
      <c r="Z80" s="10" t="s">
        <v>678</v>
      </c>
    </row>
    <row r="81" spans="1:26">
      <c r="A81" s="10" t="s">
        <v>142</v>
      </c>
      <c r="B81" s="10" t="s">
        <v>661</v>
      </c>
      <c r="C81" s="13">
        <v>0.06</v>
      </c>
      <c r="D81" s="13"/>
      <c r="E81" s="10" t="s">
        <v>396</v>
      </c>
      <c r="F81" s="10" t="s">
        <v>444</v>
      </c>
      <c r="G81" s="10" t="s">
        <v>471</v>
      </c>
      <c r="H81" s="10" t="s">
        <v>397</v>
      </c>
      <c r="I81" s="10" t="s">
        <v>87</v>
      </c>
      <c r="J81" s="6" t="s">
        <v>143</v>
      </c>
      <c r="K81" s="12">
        <v>32</v>
      </c>
      <c r="L81" s="10" t="s">
        <v>373</v>
      </c>
      <c r="M81" s="5" t="s">
        <v>626</v>
      </c>
      <c r="N81" s="5" t="s">
        <v>679</v>
      </c>
      <c r="O81" s="5" t="s">
        <v>680</v>
      </c>
      <c r="P81" s="5" t="s">
        <v>401</v>
      </c>
      <c r="Q81" s="10" t="s">
        <v>94</v>
      </c>
      <c r="R81" s="10" t="s">
        <v>94</v>
      </c>
      <c r="S81" s="10" t="s">
        <v>94</v>
      </c>
      <c r="T81" s="10" t="s">
        <v>663</v>
      </c>
      <c r="U81" s="5" t="s">
        <v>378</v>
      </c>
      <c r="V81" s="10" t="s">
        <v>146</v>
      </c>
      <c r="W81" s="10" t="s">
        <v>147</v>
      </c>
      <c r="X81" s="10" t="s">
        <v>148</v>
      </c>
      <c r="Y81" s="10" t="s">
        <v>664</v>
      </c>
      <c r="Z81" s="10" t="s">
        <v>681</v>
      </c>
    </row>
    <row r="82" spans="1:26">
      <c r="A82" s="10" t="s">
        <v>81</v>
      </c>
      <c r="B82" s="10" t="s">
        <v>682</v>
      </c>
      <c r="C82" s="13">
        <v>-0.07000000000000001</v>
      </c>
      <c r="D82" s="13"/>
      <c r="E82" s="10" t="s">
        <v>396</v>
      </c>
      <c r="F82" s="10" t="s">
        <v>444</v>
      </c>
      <c r="G82" s="10" t="s">
        <v>471</v>
      </c>
      <c r="H82" s="10" t="s">
        <v>372</v>
      </c>
      <c r="I82" s="10" t="s">
        <v>87</v>
      </c>
      <c r="J82" s="6" t="s">
        <v>88</v>
      </c>
      <c r="K82" s="12">
        <v>31</v>
      </c>
      <c r="L82" s="10" t="s">
        <v>373</v>
      </c>
      <c r="M82" s="5" t="s">
        <v>651</v>
      </c>
      <c r="N82" s="5" t="s">
        <v>662</v>
      </c>
      <c r="O82" s="5" t="s">
        <v>425</v>
      </c>
      <c r="P82" s="5" t="s">
        <v>401</v>
      </c>
      <c r="Q82" s="10" t="s">
        <v>94</v>
      </c>
      <c r="R82" s="10" t="s">
        <v>94</v>
      </c>
      <c r="S82" s="10" t="s">
        <v>94</v>
      </c>
      <c r="T82" s="10" t="s">
        <v>683</v>
      </c>
      <c r="U82" s="5" t="s">
        <v>378</v>
      </c>
      <c r="V82" s="10" t="s">
        <v>97</v>
      </c>
      <c r="W82" s="10" t="s">
        <v>98</v>
      </c>
      <c r="X82" s="10" t="s">
        <v>99</v>
      </c>
      <c r="Y82" s="10" t="s">
        <v>684</v>
      </c>
      <c r="Z82" s="10" t="s">
        <v>685</v>
      </c>
    </row>
    <row r="83" spans="1:26">
      <c r="A83" s="10" t="s">
        <v>102</v>
      </c>
      <c r="B83" s="10" t="s">
        <v>682</v>
      </c>
      <c r="C83" s="13">
        <v>0.1</v>
      </c>
      <c r="D83" s="13"/>
      <c r="E83" s="10" t="s">
        <v>396</v>
      </c>
      <c r="F83" s="10" t="s">
        <v>444</v>
      </c>
      <c r="G83" s="10" t="s">
        <v>471</v>
      </c>
      <c r="H83" s="10" t="s">
        <v>372</v>
      </c>
      <c r="I83" s="10" t="s">
        <v>87</v>
      </c>
      <c r="J83" s="6" t="s">
        <v>103</v>
      </c>
      <c r="K83" s="12">
        <v>32</v>
      </c>
      <c r="L83" s="10" t="s">
        <v>373</v>
      </c>
      <c r="M83" s="5" t="s">
        <v>651</v>
      </c>
      <c r="N83" s="5" t="s">
        <v>666</v>
      </c>
      <c r="O83" s="5" t="s">
        <v>429</v>
      </c>
      <c r="P83" s="5" t="s">
        <v>401</v>
      </c>
      <c r="Q83" s="10" t="s">
        <v>94</v>
      </c>
      <c r="R83" s="10" t="s">
        <v>94</v>
      </c>
      <c r="S83" s="10" t="s">
        <v>94</v>
      </c>
      <c r="T83" s="10" t="s">
        <v>683</v>
      </c>
      <c r="U83" s="5" t="s">
        <v>378</v>
      </c>
      <c r="V83" s="10" t="s">
        <v>106</v>
      </c>
      <c r="W83" s="10" t="s">
        <v>107</v>
      </c>
      <c r="X83" s="10" t="s">
        <v>108</v>
      </c>
      <c r="Y83" s="10" t="s">
        <v>684</v>
      </c>
      <c r="Z83" s="10" t="s">
        <v>686</v>
      </c>
    </row>
    <row r="84" spans="1:26">
      <c r="A84" s="10" t="s">
        <v>110</v>
      </c>
      <c r="B84" s="10" t="s">
        <v>682</v>
      </c>
      <c r="C84" s="13">
        <v>-0.01</v>
      </c>
      <c r="D84" s="13"/>
      <c r="E84" s="10" t="s">
        <v>396</v>
      </c>
      <c r="F84" s="10" t="s">
        <v>444</v>
      </c>
      <c r="G84" s="10" t="s">
        <v>471</v>
      </c>
      <c r="H84" s="10" t="s">
        <v>372</v>
      </c>
      <c r="I84" s="10" t="s">
        <v>87</v>
      </c>
      <c r="J84" s="6" t="s">
        <v>111</v>
      </c>
      <c r="K84" s="12">
        <v>32</v>
      </c>
      <c r="L84" s="10" t="s">
        <v>373</v>
      </c>
      <c r="M84" s="5" t="s">
        <v>651</v>
      </c>
      <c r="N84" s="5" t="s">
        <v>669</v>
      </c>
      <c r="O84" s="5" t="s">
        <v>431</v>
      </c>
      <c r="P84" s="5" t="s">
        <v>401</v>
      </c>
      <c r="Q84" s="10" t="s">
        <v>94</v>
      </c>
      <c r="R84" s="10" t="s">
        <v>94</v>
      </c>
      <c r="S84" s="10" t="s">
        <v>94</v>
      </c>
      <c r="T84" s="10" t="s">
        <v>683</v>
      </c>
      <c r="U84" s="5" t="s">
        <v>378</v>
      </c>
      <c r="V84" s="10" t="s">
        <v>114</v>
      </c>
      <c r="W84" s="10" t="s">
        <v>115</v>
      </c>
      <c r="X84" s="10" t="s">
        <v>116</v>
      </c>
      <c r="Y84" s="10" t="s">
        <v>684</v>
      </c>
      <c r="Z84" s="10" t="s">
        <v>687</v>
      </c>
    </row>
    <row r="85" spans="1:26">
      <c r="A85" s="10" t="s">
        <v>118</v>
      </c>
      <c r="B85" s="10" t="s">
        <v>682</v>
      </c>
      <c r="C85" s="13">
        <v>0.14</v>
      </c>
      <c r="D85" s="13"/>
      <c r="E85" s="10" t="s">
        <v>396</v>
      </c>
      <c r="F85" s="10" t="s">
        <v>444</v>
      </c>
      <c r="G85" s="10" t="s">
        <v>471</v>
      </c>
      <c r="H85" s="10" t="s">
        <v>372</v>
      </c>
      <c r="I85" s="10" t="s">
        <v>87</v>
      </c>
      <c r="J85" s="6" t="s">
        <v>119</v>
      </c>
      <c r="K85" s="12">
        <v>32</v>
      </c>
      <c r="L85" s="10" t="s">
        <v>373</v>
      </c>
      <c r="M85" s="5" t="s">
        <v>651</v>
      </c>
      <c r="N85" s="5" t="s">
        <v>671</v>
      </c>
      <c r="O85" s="5" t="s">
        <v>433</v>
      </c>
      <c r="P85" s="5" t="s">
        <v>401</v>
      </c>
      <c r="Q85" s="10" t="s">
        <v>94</v>
      </c>
      <c r="R85" s="10" t="s">
        <v>94</v>
      </c>
      <c r="S85" s="10" t="s">
        <v>94</v>
      </c>
      <c r="T85" s="10" t="s">
        <v>683</v>
      </c>
      <c r="U85" s="5" t="s">
        <v>378</v>
      </c>
      <c r="V85" s="10" t="s">
        <v>122</v>
      </c>
      <c r="W85" s="10" t="s">
        <v>123</v>
      </c>
      <c r="X85" s="10" t="s">
        <v>124</v>
      </c>
      <c r="Y85" s="10" t="s">
        <v>684</v>
      </c>
      <c r="Z85" s="10" t="s">
        <v>688</v>
      </c>
    </row>
    <row r="86" spans="1:26">
      <c r="A86" s="10" t="s">
        <v>126</v>
      </c>
      <c r="B86" s="10" t="s">
        <v>682</v>
      </c>
      <c r="C86" s="13">
        <v>0.02</v>
      </c>
      <c r="D86" s="13"/>
      <c r="E86" s="10" t="s">
        <v>396</v>
      </c>
      <c r="F86" s="10" t="s">
        <v>444</v>
      </c>
      <c r="G86" s="10" t="s">
        <v>471</v>
      </c>
      <c r="H86" s="10" t="s">
        <v>372</v>
      </c>
      <c r="I86" s="10" t="s">
        <v>87</v>
      </c>
      <c r="J86" s="6" t="s">
        <v>127</v>
      </c>
      <c r="K86" s="12">
        <v>34</v>
      </c>
      <c r="L86" s="10" t="s">
        <v>373</v>
      </c>
      <c r="M86" s="5" t="s">
        <v>651</v>
      </c>
      <c r="N86" s="5" t="s">
        <v>673</v>
      </c>
      <c r="O86" s="5" t="s">
        <v>435</v>
      </c>
      <c r="P86" s="5" t="s">
        <v>401</v>
      </c>
      <c r="Q86" s="10" t="s">
        <v>94</v>
      </c>
      <c r="R86" s="10" t="s">
        <v>94</v>
      </c>
      <c r="S86" s="10" t="s">
        <v>94</v>
      </c>
      <c r="T86" s="10" t="s">
        <v>683</v>
      </c>
      <c r="U86" s="5" t="s">
        <v>378</v>
      </c>
      <c r="V86" s="10" t="s">
        <v>130</v>
      </c>
      <c r="W86" s="10" t="s">
        <v>131</v>
      </c>
      <c r="X86" s="10" t="s">
        <v>132</v>
      </c>
      <c r="Y86" s="10" t="s">
        <v>684</v>
      </c>
      <c r="Z86" s="10" t="s">
        <v>689</v>
      </c>
    </row>
    <row r="87" spans="1:26">
      <c r="A87" s="10" t="s">
        <v>134</v>
      </c>
      <c r="B87" s="10" t="s">
        <v>682</v>
      </c>
      <c r="C87" s="13">
        <v>-0.06</v>
      </c>
      <c r="D87" s="13"/>
      <c r="E87" s="10" t="s">
        <v>396</v>
      </c>
      <c r="F87" s="10" t="s">
        <v>444</v>
      </c>
      <c r="G87" s="10" t="s">
        <v>471</v>
      </c>
      <c r="H87" s="10" t="s">
        <v>372</v>
      </c>
      <c r="I87" s="10" t="s">
        <v>87</v>
      </c>
      <c r="J87" s="6" t="s">
        <v>135</v>
      </c>
      <c r="K87" s="12">
        <v>33</v>
      </c>
      <c r="L87" s="10" t="s">
        <v>373</v>
      </c>
      <c r="M87" s="5" t="s">
        <v>651</v>
      </c>
      <c r="N87" s="5" t="s">
        <v>676</v>
      </c>
      <c r="O87" s="5" t="s">
        <v>437</v>
      </c>
      <c r="P87" s="5" t="s">
        <v>401</v>
      </c>
      <c r="Q87" s="10" t="s">
        <v>94</v>
      </c>
      <c r="R87" s="10" t="s">
        <v>94</v>
      </c>
      <c r="S87" s="10" t="s">
        <v>94</v>
      </c>
      <c r="T87" s="10" t="s">
        <v>683</v>
      </c>
      <c r="U87" s="5" t="s">
        <v>378</v>
      </c>
      <c r="V87" s="10" t="s">
        <v>138</v>
      </c>
      <c r="W87" s="10" t="s">
        <v>139</v>
      </c>
      <c r="X87" s="10" t="s">
        <v>140</v>
      </c>
      <c r="Y87" s="10" t="s">
        <v>684</v>
      </c>
      <c r="Z87" s="10" t="s">
        <v>690</v>
      </c>
    </row>
    <row r="88" spans="1:26">
      <c r="A88" s="10" t="s">
        <v>142</v>
      </c>
      <c r="B88" s="10" t="s">
        <v>682</v>
      </c>
      <c r="C88" s="13">
        <v>0.04</v>
      </c>
      <c r="D88" s="13"/>
      <c r="E88" s="10" t="s">
        <v>396</v>
      </c>
      <c r="F88" s="10" t="s">
        <v>444</v>
      </c>
      <c r="G88" s="10" t="s">
        <v>471</v>
      </c>
      <c r="H88" s="10" t="s">
        <v>372</v>
      </c>
      <c r="I88" s="10" t="s">
        <v>87</v>
      </c>
      <c r="J88" s="6" t="s">
        <v>143</v>
      </c>
      <c r="K88" s="12">
        <v>32</v>
      </c>
      <c r="L88" s="10" t="s">
        <v>373</v>
      </c>
      <c r="M88" s="5" t="s">
        <v>651</v>
      </c>
      <c r="N88" s="5" t="s">
        <v>679</v>
      </c>
      <c r="O88" s="5" t="s">
        <v>439</v>
      </c>
      <c r="P88" s="5" t="s">
        <v>401</v>
      </c>
      <c r="Q88" s="10" t="s">
        <v>94</v>
      </c>
      <c r="R88" s="10" t="s">
        <v>94</v>
      </c>
      <c r="S88" s="10" t="s">
        <v>94</v>
      </c>
      <c r="T88" s="10" t="s">
        <v>683</v>
      </c>
      <c r="U88" s="5" t="s">
        <v>378</v>
      </c>
      <c r="V88" s="10" t="s">
        <v>146</v>
      </c>
      <c r="W88" s="10" t="s">
        <v>147</v>
      </c>
      <c r="X88" s="10" t="s">
        <v>148</v>
      </c>
      <c r="Y88" s="10" t="s">
        <v>684</v>
      </c>
      <c r="Z88" s="10" t="s">
        <v>691</v>
      </c>
    </row>
    <row r="89" spans="1:26">
      <c r="A89" s="10" t="s">
        <v>81</v>
      </c>
      <c r="B89" s="10" t="s">
        <v>692</v>
      </c>
      <c r="C89" s="13">
        <v>-0.04</v>
      </c>
      <c r="D89" s="13"/>
      <c r="E89" s="10" t="s">
        <v>396</v>
      </c>
      <c r="F89" s="10" t="s">
        <v>444</v>
      </c>
      <c r="G89" s="10" t="s">
        <v>511</v>
      </c>
      <c r="H89" s="10" t="s">
        <v>397</v>
      </c>
      <c r="I89" s="10" t="s">
        <v>87</v>
      </c>
      <c r="J89" s="6" t="s">
        <v>88</v>
      </c>
      <c r="K89" s="12">
        <v>31</v>
      </c>
      <c r="L89" s="10" t="s">
        <v>373</v>
      </c>
      <c r="M89" s="5" t="s">
        <v>626</v>
      </c>
      <c r="N89" s="5" t="s">
        <v>693</v>
      </c>
      <c r="O89" s="5" t="s">
        <v>694</v>
      </c>
      <c r="P89" s="5" t="s">
        <v>401</v>
      </c>
      <c r="Q89" s="10" t="s">
        <v>94</v>
      </c>
      <c r="R89" s="10" t="s">
        <v>94</v>
      </c>
      <c r="S89" s="10" t="s">
        <v>94</v>
      </c>
      <c r="T89" s="10" t="s">
        <v>695</v>
      </c>
      <c r="U89" s="5" t="s">
        <v>378</v>
      </c>
      <c r="V89" s="10" t="s">
        <v>97</v>
      </c>
      <c r="W89" s="10" t="s">
        <v>98</v>
      </c>
      <c r="X89" s="10" t="s">
        <v>99</v>
      </c>
      <c r="Y89" s="10" t="s">
        <v>696</v>
      </c>
      <c r="Z89" s="10" t="s">
        <v>697</v>
      </c>
    </row>
    <row r="90" spans="1:26">
      <c r="A90" s="10" t="s">
        <v>102</v>
      </c>
      <c r="B90" s="10" t="s">
        <v>692</v>
      </c>
      <c r="C90" s="13">
        <v>0.19</v>
      </c>
      <c r="D90" s="13"/>
      <c r="E90" s="10" t="s">
        <v>396</v>
      </c>
      <c r="F90" s="10" t="s">
        <v>444</v>
      </c>
      <c r="G90" s="10" t="s">
        <v>511</v>
      </c>
      <c r="H90" s="10" t="s">
        <v>397</v>
      </c>
      <c r="I90" s="10" t="s">
        <v>87</v>
      </c>
      <c r="J90" s="6" t="s">
        <v>103</v>
      </c>
      <c r="K90" s="12">
        <v>32</v>
      </c>
      <c r="L90" s="10" t="s">
        <v>373</v>
      </c>
      <c r="M90" s="5" t="s">
        <v>626</v>
      </c>
      <c r="N90" s="5" t="s">
        <v>698</v>
      </c>
      <c r="O90" s="5" t="s">
        <v>699</v>
      </c>
      <c r="P90" s="5" t="s">
        <v>401</v>
      </c>
      <c r="Q90" s="10" t="s">
        <v>94</v>
      </c>
      <c r="R90" s="10" t="s">
        <v>94</v>
      </c>
      <c r="S90" s="10" t="s">
        <v>94</v>
      </c>
      <c r="T90" s="10" t="s">
        <v>695</v>
      </c>
      <c r="U90" s="5" t="s">
        <v>378</v>
      </c>
      <c r="V90" s="10" t="s">
        <v>106</v>
      </c>
      <c r="W90" s="10" t="s">
        <v>107</v>
      </c>
      <c r="X90" s="10" t="s">
        <v>108</v>
      </c>
      <c r="Y90" s="10" t="s">
        <v>696</v>
      </c>
      <c r="Z90" s="10" t="s">
        <v>700</v>
      </c>
    </row>
    <row r="91" spans="1:26">
      <c r="A91" s="10" t="s">
        <v>110</v>
      </c>
      <c r="B91" s="10" t="s">
        <v>692</v>
      </c>
      <c r="C91" s="13">
        <v>0.05</v>
      </c>
      <c r="D91" s="13"/>
      <c r="E91" s="10" t="s">
        <v>396</v>
      </c>
      <c r="F91" s="10" t="s">
        <v>444</v>
      </c>
      <c r="G91" s="10" t="s">
        <v>511</v>
      </c>
      <c r="H91" s="10" t="s">
        <v>397</v>
      </c>
      <c r="I91" s="10" t="s">
        <v>87</v>
      </c>
      <c r="J91" s="6" t="s">
        <v>111</v>
      </c>
      <c r="K91" s="12">
        <v>32</v>
      </c>
      <c r="L91" s="10" t="s">
        <v>373</v>
      </c>
      <c r="M91" s="5" t="s">
        <v>626</v>
      </c>
      <c r="N91" s="5" t="s">
        <v>701</v>
      </c>
      <c r="O91" s="5" t="s">
        <v>680</v>
      </c>
      <c r="P91" s="5" t="s">
        <v>401</v>
      </c>
      <c r="Q91" s="10" t="s">
        <v>94</v>
      </c>
      <c r="R91" s="10" t="s">
        <v>94</v>
      </c>
      <c r="S91" s="10" t="s">
        <v>94</v>
      </c>
      <c r="T91" s="10" t="s">
        <v>695</v>
      </c>
      <c r="U91" s="5" t="s">
        <v>378</v>
      </c>
      <c r="V91" s="10" t="s">
        <v>114</v>
      </c>
      <c r="W91" s="10" t="s">
        <v>115</v>
      </c>
      <c r="X91" s="10" t="s">
        <v>116</v>
      </c>
      <c r="Y91" s="10" t="s">
        <v>696</v>
      </c>
      <c r="Z91" s="10" t="s">
        <v>702</v>
      </c>
    </row>
    <row r="92" spans="1:26">
      <c r="A92" s="10" t="s">
        <v>118</v>
      </c>
      <c r="B92" s="10" t="s">
        <v>692</v>
      </c>
      <c r="C92" s="13">
        <v>0.1</v>
      </c>
      <c r="D92" s="13"/>
      <c r="E92" s="10" t="s">
        <v>396</v>
      </c>
      <c r="F92" s="10" t="s">
        <v>444</v>
      </c>
      <c r="G92" s="10" t="s">
        <v>511</v>
      </c>
      <c r="H92" s="10" t="s">
        <v>397</v>
      </c>
      <c r="I92" s="10" t="s">
        <v>87</v>
      </c>
      <c r="J92" s="6" t="s">
        <v>119</v>
      </c>
      <c r="K92" s="12">
        <v>32</v>
      </c>
      <c r="L92" s="10" t="s">
        <v>373</v>
      </c>
      <c r="M92" s="5" t="s">
        <v>626</v>
      </c>
      <c r="N92" s="5" t="s">
        <v>703</v>
      </c>
      <c r="O92" s="5" t="s">
        <v>704</v>
      </c>
      <c r="P92" s="5" t="s">
        <v>401</v>
      </c>
      <c r="Q92" s="10" t="s">
        <v>94</v>
      </c>
      <c r="R92" s="10" t="s">
        <v>94</v>
      </c>
      <c r="S92" s="10" t="s">
        <v>94</v>
      </c>
      <c r="T92" s="10" t="s">
        <v>695</v>
      </c>
      <c r="U92" s="5" t="s">
        <v>378</v>
      </c>
      <c r="V92" s="10" t="s">
        <v>122</v>
      </c>
      <c r="W92" s="10" t="s">
        <v>123</v>
      </c>
      <c r="X92" s="10" t="s">
        <v>124</v>
      </c>
      <c r="Y92" s="10" t="s">
        <v>696</v>
      </c>
      <c r="Z92" s="10" t="s">
        <v>705</v>
      </c>
    </row>
    <row r="93" spans="1:26">
      <c r="A93" s="10" t="s">
        <v>126</v>
      </c>
      <c r="B93" s="10" t="s">
        <v>692</v>
      </c>
      <c r="C93" s="13">
        <v>0.01</v>
      </c>
      <c r="D93" s="13"/>
      <c r="E93" s="10" t="s">
        <v>396</v>
      </c>
      <c r="F93" s="10" t="s">
        <v>444</v>
      </c>
      <c r="G93" s="10" t="s">
        <v>511</v>
      </c>
      <c r="H93" s="10" t="s">
        <v>397</v>
      </c>
      <c r="I93" s="10" t="s">
        <v>87</v>
      </c>
      <c r="J93" s="6" t="s">
        <v>127</v>
      </c>
      <c r="K93" s="12">
        <v>34</v>
      </c>
      <c r="L93" s="10" t="s">
        <v>373</v>
      </c>
      <c r="M93" s="5" t="s">
        <v>626</v>
      </c>
      <c r="N93" s="5" t="s">
        <v>706</v>
      </c>
      <c r="O93" s="5" t="s">
        <v>707</v>
      </c>
      <c r="P93" s="5" t="s">
        <v>401</v>
      </c>
      <c r="Q93" s="10" t="s">
        <v>94</v>
      </c>
      <c r="R93" s="10" t="s">
        <v>94</v>
      </c>
      <c r="S93" s="10" t="s">
        <v>94</v>
      </c>
      <c r="T93" s="10" t="s">
        <v>695</v>
      </c>
      <c r="U93" s="5" t="s">
        <v>378</v>
      </c>
      <c r="V93" s="10" t="s">
        <v>130</v>
      </c>
      <c r="W93" s="10" t="s">
        <v>131</v>
      </c>
      <c r="X93" s="10" t="s">
        <v>132</v>
      </c>
      <c r="Y93" s="10" t="s">
        <v>696</v>
      </c>
      <c r="Z93" s="10" t="s">
        <v>708</v>
      </c>
    </row>
    <row r="94" spans="1:26">
      <c r="A94" s="10" t="s">
        <v>134</v>
      </c>
      <c r="B94" s="10" t="s">
        <v>692</v>
      </c>
      <c r="C94" s="13">
        <v>-0.09</v>
      </c>
      <c r="D94" s="13"/>
      <c r="E94" s="10" t="s">
        <v>396</v>
      </c>
      <c r="F94" s="10" t="s">
        <v>444</v>
      </c>
      <c r="G94" s="10" t="s">
        <v>511</v>
      </c>
      <c r="H94" s="10" t="s">
        <v>397</v>
      </c>
      <c r="I94" s="10" t="s">
        <v>87</v>
      </c>
      <c r="J94" s="6" t="s">
        <v>135</v>
      </c>
      <c r="K94" s="12">
        <v>33</v>
      </c>
      <c r="L94" s="10" t="s">
        <v>373</v>
      </c>
      <c r="M94" s="5" t="s">
        <v>626</v>
      </c>
      <c r="N94" s="5" t="s">
        <v>709</v>
      </c>
      <c r="O94" s="5" t="s">
        <v>710</v>
      </c>
      <c r="P94" s="5" t="s">
        <v>401</v>
      </c>
      <c r="Q94" s="10" t="s">
        <v>94</v>
      </c>
      <c r="R94" s="10" t="s">
        <v>94</v>
      </c>
      <c r="S94" s="10" t="s">
        <v>94</v>
      </c>
      <c r="T94" s="10" t="s">
        <v>695</v>
      </c>
      <c r="U94" s="5" t="s">
        <v>378</v>
      </c>
      <c r="V94" s="10" t="s">
        <v>138</v>
      </c>
      <c r="W94" s="10" t="s">
        <v>139</v>
      </c>
      <c r="X94" s="10" t="s">
        <v>140</v>
      </c>
      <c r="Y94" s="10" t="s">
        <v>696</v>
      </c>
      <c r="Z94" s="10" t="s">
        <v>711</v>
      </c>
    </row>
    <row r="95" spans="1:26">
      <c r="A95" s="10" t="s">
        <v>142</v>
      </c>
      <c r="B95" s="10" t="s">
        <v>692</v>
      </c>
      <c r="C95" s="13">
        <v>0.01</v>
      </c>
      <c r="D95" s="13"/>
      <c r="E95" s="10" t="s">
        <v>396</v>
      </c>
      <c r="F95" s="10" t="s">
        <v>444</v>
      </c>
      <c r="G95" s="10" t="s">
        <v>511</v>
      </c>
      <c r="H95" s="10" t="s">
        <v>397</v>
      </c>
      <c r="I95" s="10" t="s">
        <v>87</v>
      </c>
      <c r="J95" s="6" t="s">
        <v>143</v>
      </c>
      <c r="K95" s="12">
        <v>32</v>
      </c>
      <c r="L95" s="10" t="s">
        <v>373</v>
      </c>
      <c r="M95" s="5" t="s">
        <v>626</v>
      </c>
      <c r="N95" s="5" t="s">
        <v>712</v>
      </c>
      <c r="O95" s="5" t="s">
        <v>610</v>
      </c>
      <c r="P95" s="5" t="s">
        <v>401</v>
      </c>
      <c r="Q95" s="10" t="s">
        <v>94</v>
      </c>
      <c r="R95" s="10" t="s">
        <v>94</v>
      </c>
      <c r="S95" s="10" t="s">
        <v>94</v>
      </c>
      <c r="T95" s="10" t="s">
        <v>695</v>
      </c>
      <c r="U95" s="5" t="s">
        <v>378</v>
      </c>
      <c r="V95" s="10" t="s">
        <v>146</v>
      </c>
      <c r="W95" s="10" t="s">
        <v>147</v>
      </c>
      <c r="X95" s="10" t="s">
        <v>148</v>
      </c>
      <c r="Y95" s="10" t="s">
        <v>696</v>
      </c>
      <c r="Z95" s="10" t="s">
        <v>713</v>
      </c>
    </row>
    <row r="96" spans="1:26">
      <c r="A96" s="10" t="s">
        <v>81</v>
      </c>
      <c r="B96" s="10" t="s">
        <v>714</v>
      </c>
      <c r="C96" s="13">
        <v>-0.02</v>
      </c>
      <c r="D96" s="13"/>
      <c r="E96" s="10" t="s">
        <v>396</v>
      </c>
      <c r="F96" s="10" t="s">
        <v>444</v>
      </c>
      <c r="G96" s="10" t="s">
        <v>511</v>
      </c>
      <c r="H96" s="10" t="s">
        <v>372</v>
      </c>
      <c r="I96" s="10" t="s">
        <v>87</v>
      </c>
      <c r="J96" s="6" t="s">
        <v>88</v>
      </c>
      <c r="K96" s="12">
        <v>31</v>
      </c>
      <c r="L96" s="10" t="s">
        <v>373</v>
      </c>
      <c r="M96" s="5" t="s">
        <v>651</v>
      </c>
      <c r="N96" s="5" t="s">
        <v>693</v>
      </c>
      <c r="O96" s="5" t="s">
        <v>425</v>
      </c>
      <c r="P96" s="5" t="s">
        <v>401</v>
      </c>
      <c r="Q96" s="10" t="s">
        <v>94</v>
      </c>
      <c r="R96" s="10" t="s">
        <v>94</v>
      </c>
      <c r="S96" s="10" t="s">
        <v>94</v>
      </c>
      <c r="T96" s="10" t="s">
        <v>715</v>
      </c>
      <c r="U96" s="5" t="s">
        <v>378</v>
      </c>
      <c r="V96" s="10" t="s">
        <v>97</v>
      </c>
      <c r="W96" s="10" t="s">
        <v>98</v>
      </c>
      <c r="X96" s="10" t="s">
        <v>99</v>
      </c>
      <c r="Y96" s="10" t="s">
        <v>716</v>
      </c>
      <c r="Z96" s="10" t="s">
        <v>717</v>
      </c>
    </row>
    <row r="97" spans="1:26">
      <c r="A97" s="10" t="s">
        <v>102</v>
      </c>
      <c r="B97" s="10" t="s">
        <v>714</v>
      </c>
      <c r="C97" s="13">
        <v>0.17</v>
      </c>
      <c r="D97" s="13"/>
      <c r="E97" s="10" t="s">
        <v>396</v>
      </c>
      <c r="F97" s="10" t="s">
        <v>444</v>
      </c>
      <c r="G97" s="10" t="s">
        <v>511</v>
      </c>
      <c r="H97" s="10" t="s">
        <v>372</v>
      </c>
      <c r="I97" s="10" t="s">
        <v>87</v>
      </c>
      <c r="J97" s="6" t="s">
        <v>103</v>
      </c>
      <c r="K97" s="12">
        <v>32</v>
      </c>
      <c r="L97" s="10" t="s">
        <v>373</v>
      </c>
      <c r="M97" s="5" t="s">
        <v>651</v>
      </c>
      <c r="N97" s="5" t="s">
        <v>698</v>
      </c>
      <c r="O97" s="5" t="s">
        <v>429</v>
      </c>
      <c r="P97" s="5" t="s">
        <v>401</v>
      </c>
      <c r="Q97" s="10" t="s">
        <v>94</v>
      </c>
      <c r="R97" s="10" t="s">
        <v>94</v>
      </c>
      <c r="S97" s="10" t="s">
        <v>94</v>
      </c>
      <c r="T97" s="10" t="s">
        <v>715</v>
      </c>
      <c r="U97" s="5" t="s">
        <v>378</v>
      </c>
      <c r="V97" s="10" t="s">
        <v>106</v>
      </c>
      <c r="W97" s="10" t="s">
        <v>107</v>
      </c>
      <c r="X97" s="10" t="s">
        <v>108</v>
      </c>
      <c r="Y97" s="10" t="s">
        <v>716</v>
      </c>
      <c r="Z97" s="10" t="s">
        <v>718</v>
      </c>
    </row>
    <row r="98" spans="1:26">
      <c r="A98" s="10" t="s">
        <v>110</v>
      </c>
      <c r="B98" s="10" t="s">
        <v>714</v>
      </c>
      <c r="C98" s="13">
        <v>0.06</v>
      </c>
      <c r="D98" s="13"/>
      <c r="E98" s="10" t="s">
        <v>396</v>
      </c>
      <c r="F98" s="10" t="s">
        <v>444</v>
      </c>
      <c r="G98" s="10" t="s">
        <v>511</v>
      </c>
      <c r="H98" s="10" t="s">
        <v>372</v>
      </c>
      <c r="I98" s="10" t="s">
        <v>87</v>
      </c>
      <c r="J98" s="6" t="s">
        <v>111</v>
      </c>
      <c r="K98" s="12">
        <v>32</v>
      </c>
      <c r="L98" s="10" t="s">
        <v>373</v>
      </c>
      <c r="M98" s="5" t="s">
        <v>651</v>
      </c>
      <c r="N98" s="5" t="s">
        <v>701</v>
      </c>
      <c r="O98" s="5" t="s">
        <v>431</v>
      </c>
      <c r="P98" s="5" t="s">
        <v>401</v>
      </c>
      <c r="Q98" s="10" t="s">
        <v>94</v>
      </c>
      <c r="R98" s="10" t="s">
        <v>94</v>
      </c>
      <c r="S98" s="10" t="s">
        <v>94</v>
      </c>
      <c r="T98" s="10" t="s">
        <v>715</v>
      </c>
      <c r="U98" s="5" t="s">
        <v>378</v>
      </c>
      <c r="V98" s="10" t="s">
        <v>114</v>
      </c>
      <c r="W98" s="10" t="s">
        <v>115</v>
      </c>
      <c r="X98" s="10" t="s">
        <v>116</v>
      </c>
      <c r="Y98" s="10" t="s">
        <v>716</v>
      </c>
      <c r="Z98" s="10" t="s">
        <v>719</v>
      </c>
    </row>
    <row r="99" spans="1:26">
      <c r="A99" s="10" t="s">
        <v>118</v>
      </c>
      <c r="B99" s="10" t="s">
        <v>714</v>
      </c>
      <c r="C99" s="13">
        <v>0.16</v>
      </c>
      <c r="D99" s="13"/>
      <c r="E99" s="10" t="s">
        <v>396</v>
      </c>
      <c r="F99" s="10" t="s">
        <v>444</v>
      </c>
      <c r="G99" s="10" t="s">
        <v>511</v>
      </c>
      <c r="H99" s="10" t="s">
        <v>372</v>
      </c>
      <c r="I99" s="10" t="s">
        <v>87</v>
      </c>
      <c r="J99" s="6" t="s">
        <v>119</v>
      </c>
      <c r="K99" s="12">
        <v>32</v>
      </c>
      <c r="L99" s="10" t="s">
        <v>373</v>
      </c>
      <c r="M99" s="5" t="s">
        <v>651</v>
      </c>
      <c r="N99" s="5" t="s">
        <v>703</v>
      </c>
      <c r="O99" s="5" t="s">
        <v>433</v>
      </c>
      <c r="P99" s="5" t="s">
        <v>401</v>
      </c>
      <c r="Q99" s="10" t="s">
        <v>94</v>
      </c>
      <c r="R99" s="10" t="s">
        <v>94</v>
      </c>
      <c r="S99" s="10" t="s">
        <v>94</v>
      </c>
      <c r="T99" s="10" t="s">
        <v>715</v>
      </c>
      <c r="U99" s="5" t="s">
        <v>378</v>
      </c>
      <c r="V99" s="10" t="s">
        <v>122</v>
      </c>
      <c r="W99" s="10" t="s">
        <v>123</v>
      </c>
      <c r="X99" s="10" t="s">
        <v>124</v>
      </c>
      <c r="Y99" s="10" t="s">
        <v>716</v>
      </c>
      <c r="Z99" s="10" t="s">
        <v>720</v>
      </c>
    </row>
    <row r="100" spans="1:26">
      <c r="A100" s="10" t="s">
        <v>126</v>
      </c>
      <c r="B100" s="10" t="s">
        <v>714</v>
      </c>
      <c r="C100" s="13">
        <v>0.01</v>
      </c>
      <c r="D100" s="13"/>
      <c r="E100" s="10" t="s">
        <v>396</v>
      </c>
      <c r="F100" s="10" t="s">
        <v>444</v>
      </c>
      <c r="G100" s="10" t="s">
        <v>511</v>
      </c>
      <c r="H100" s="10" t="s">
        <v>372</v>
      </c>
      <c r="I100" s="10" t="s">
        <v>87</v>
      </c>
      <c r="J100" s="6" t="s">
        <v>127</v>
      </c>
      <c r="K100" s="12">
        <v>34</v>
      </c>
      <c r="L100" s="10" t="s">
        <v>373</v>
      </c>
      <c r="M100" s="5" t="s">
        <v>651</v>
      </c>
      <c r="N100" s="5" t="s">
        <v>706</v>
      </c>
      <c r="O100" s="5" t="s">
        <v>435</v>
      </c>
      <c r="P100" s="5" t="s">
        <v>401</v>
      </c>
      <c r="Q100" s="10" t="s">
        <v>94</v>
      </c>
      <c r="R100" s="10" t="s">
        <v>94</v>
      </c>
      <c r="S100" s="10" t="s">
        <v>94</v>
      </c>
      <c r="T100" s="10" t="s">
        <v>715</v>
      </c>
      <c r="U100" s="5" t="s">
        <v>378</v>
      </c>
      <c r="V100" s="10" t="s">
        <v>130</v>
      </c>
      <c r="W100" s="10" t="s">
        <v>131</v>
      </c>
      <c r="X100" s="10" t="s">
        <v>132</v>
      </c>
      <c r="Y100" s="10" t="s">
        <v>716</v>
      </c>
      <c r="Z100" s="10" t="s">
        <v>721</v>
      </c>
    </row>
    <row r="101" spans="1:26">
      <c r="A101" s="10" t="s">
        <v>134</v>
      </c>
      <c r="B101" s="10" t="s">
        <v>714</v>
      </c>
      <c r="C101" s="13">
        <v>-0.09</v>
      </c>
      <c r="D101" s="13"/>
      <c r="E101" s="10" t="s">
        <v>396</v>
      </c>
      <c r="F101" s="10" t="s">
        <v>444</v>
      </c>
      <c r="G101" s="10" t="s">
        <v>511</v>
      </c>
      <c r="H101" s="10" t="s">
        <v>372</v>
      </c>
      <c r="I101" s="10" t="s">
        <v>87</v>
      </c>
      <c r="J101" s="6" t="s">
        <v>135</v>
      </c>
      <c r="K101" s="12">
        <v>33</v>
      </c>
      <c r="L101" s="10" t="s">
        <v>373</v>
      </c>
      <c r="M101" s="5" t="s">
        <v>651</v>
      </c>
      <c r="N101" s="5" t="s">
        <v>709</v>
      </c>
      <c r="O101" s="5" t="s">
        <v>437</v>
      </c>
      <c r="P101" s="5" t="s">
        <v>401</v>
      </c>
      <c r="Q101" s="10" t="s">
        <v>94</v>
      </c>
      <c r="R101" s="10" t="s">
        <v>94</v>
      </c>
      <c r="S101" s="10" t="s">
        <v>94</v>
      </c>
      <c r="T101" s="10" t="s">
        <v>715</v>
      </c>
      <c r="U101" s="5" t="s">
        <v>378</v>
      </c>
      <c r="V101" s="10" t="s">
        <v>138</v>
      </c>
      <c r="W101" s="10" t="s">
        <v>139</v>
      </c>
      <c r="X101" s="10" t="s">
        <v>140</v>
      </c>
      <c r="Y101" s="10" t="s">
        <v>716</v>
      </c>
      <c r="Z101" s="10" t="s">
        <v>722</v>
      </c>
    </row>
    <row r="102" spans="1:26">
      <c r="A102" s="10" t="s">
        <v>142</v>
      </c>
      <c r="B102" s="10" t="s">
        <v>714</v>
      </c>
      <c r="C102" s="13">
        <v>-0.01</v>
      </c>
      <c r="D102" s="13"/>
      <c r="E102" s="10" t="s">
        <v>396</v>
      </c>
      <c r="F102" s="10" t="s">
        <v>444</v>
      </c>
      <c r="G102" s="10" t="s">
        <v>511</v>
      </c>
      <c r="H102" s="10" t="s">
        <v>372</v>
      </c>
      <c r="I102" s="10" t="s">
        <v>87</v>
      </c>
      <c r="J102" s="6" t="s">
        <v>143</v>
      </c>
      <c r="K102" s="12">
        <v>32</v>
      </c>
      <c r="L102" s="10" t="s">
        <v>373</v>
      </c>
      <c r="M102" s="5" t="s">
        <v>651</v>
      </c>
      <c r="N102" s="5" t="s">
        <v>712</v>
      </c>
      <c r="O102" s="5" t="s">
        <v>439</v>
      </c>
      <c r="P102" s="5" t="s">
        <v>401</v>
      </c>
      <c r="Q102" s="10" t="s">
        <v>94</v>
      </c>
      <c r="R102" s="10" t="s">
        <v>94</v>
      </c>
      <c r="S102" s="10" t="s">
        <v>94</v>
      </c>
      <c r="T102" s="10" t="s">
        <v>715</v>
      </c>
      <c r="U102" s="5" t="s">
        <v>378</v>
      </c>
      <c r="V102" s="10" t="s">
        <v>146</v>
      </c>
      <c r="W102" s="10" t="s">
        <v>147</v>
      </c>
      <c r="X102" s="10" t="s">
        <v>148</v>
      </c>
      <c r="Y102" s="10" t="s">
        <v>716</v>
      </c>
      <c r="Z102" s="10" t="s">
        <v>723</v>
      </c>
    </row>
  </sheetData>
  <autoFilter ref="A4:Z102"/>
  <conditionalFormatting sqref="I5:I401">
    <cfRule type="cellIs" dxfId="0" priority="1" operator="equal">
      <formula>"Chờ người kiểm tra"</formula>
    </cfRule>
    <cfRule type="cellIs" dxfId="1" priority="2" operator="equal">
      <formula>"Thiếu / không công bố"</formula>
    </cfRule>
    <cfRule type="cellIs" dxfId="2" priority="3" operator="equal">
      <formula>"Đã xác minh (người)"</formula>
    </cfRule>
    <cfRule type="cellIs" dxfId="3" priority="4" operator="equal">
      <formula>"Bằng chứng mâu thuẫn"</formula>
    </cfRule>
  </conditionalFormatting>
  <dataValidations count="1">
    <dataValidation type="list" allowBlank="1" showInputMessage="1" showErrorMessage="1" errorTitle="Trạng thái không hợp lệ" error="Chọn một trạng thái trong danh sách." sqref="I5:I401">
      <formula1>"Khớp nguồn chính thức,Chờ người kiểm tra,Đã xác minh (người),Thiếu / không công bố,Bằng chứng mâu thuẫn"</formula1>
    </dataValidation>
  </dataValidations>
  <hyperlinks>
    <hyperlink ref="J5" r:id="rId1" tooltip="NIKE, Inc. Form 10-K for the fiscal year ended May 31, 2020 – SEC EDGAR"/>
    <hyperlink ref="J6" r:id="rId2" tooltip="NIKE, Inc. Form 10-K for the fiscal year ended May 31, 2021 – SEC EDGAR"/>
    <hyperlink ref="J7" r:id="rId3" tooltip="NIKE, Inc. Form 10-K for the fiscal year ended May 31, 2022 – SEC EDGAR"/>
    <hyperlink ref="J8" r:id="rId4" tooltip="NIKE, Inc. Form 10-K for the fiscal year ended May 31, 2023 – SEC EDGAR"/>
    <hyperlink ref="J9" r:id="rId5" tooltip="NIKE, Inc. Form 10-K for the fiscal year ended May 31, 2024 – SEC EDGAR"/>
    <hyperlink ref="J10" r:id="rId6" tooltip="NIKE, Inc. Form 10-K for the fiscal year ended May 31, 2025 – SEC EDGAR"/>
    <hyperlink ref="J11" r:id="rId7" tooltip="NIKE, Inc. Form 10-K for the fiscal year ended May 31, 2026 – SEC EDGAR"/>
    <hyperlink ref="J12" r:id="rId8" tooltip="NIKE, Inc. Form 10-K for the fiscal year ended May 31, 2020 – SEC EDGAR"/>
    <hyperlink ref="J13" r:id="rId9" tooltip="NIKE, Inc. Form 10-K for the fiscal year ended May 31, 2021 – SEC EDGAR"/>
    <hyperlink ref="J14" r:id="rId10" tooltip="NIKE, Inc. Form 10-K for the fiscal year ended May 31, 2022 – SEC EDGAR"/>
    <hyperlink ref="J15" r:id="rId11" tooltip="NIKE, Inc. Form 10-K for the fiscal year ended May 31, 2023 – SEC EDGAR"/>
    <hyperlink ref="J16" r:id="rId12" tooltip="NIKE, Inc. Form 10-K for the fiscal year ended May 31, 2024 – SEC EDGAR"/>
    <hyperlink ref="J17" r:id="rId13" tooltip="NIKE, Inc. Form 10-K for the fiscal year ended May 31, 2025 – SEC EDGAR"/>
    <hyperlink ref="J18" r:id="rId14" tooltip="NIKE, Inc. Form 10-K for the fiscal year ended May 31, 2026 – SEC EDGAR"/>
    <hyperlink ref="J19" r:id="rId15" tooltip="NIKE, Inc. Form 10-K for the fiscal year ended May 31, 2020 – SEC EDGAR"/>
    <hyperlink ref="J20" r:id="rId16" tooltip="NIKE, Inc. Form 10-K for the fiscal year ended May 31, 2021 – SEC EDGAR"/>
    <hyperlink ref="J21" r:id="rId17" tooltip="NIKE, Inc. Form 10-K for the fiscal year ended May 31, 2022 – SEC EDGAR"/>
    <hyperlink ref="J22" r:id="rId18" tooltip="NIKE, Inc. Form 10-K for the fiscal year ended May 31, 2023 – SEC EDGAR"/>
    <hyperlink ref="J23" r:id="rId19" tooltip="NIKE, Inc. Form 10-K for the fiscal year ended May 31, 2024 – SEC EDGAR"/>
    <hyperlink ref="J24" r:id="rId20" tooltip="NIKE, Inc. Form 10-K for the fiscal year ended May 31, 2025 – SEC EDGAR"/>
    <hyperlink ref="J25" r:id="rId21" tooltip="NIKE, Inc. Form 10-K for the fiscal year ended May 31, 2026 – SEC EDGAR"/>
    <hyperlink ref="J26" r:id="rId22" tooltip="NIKE, Inc. Form 10-K for the fiscal year ended May 31, 2020 – SEC EDGAR"/>
    <hyperlink ref="J27" r:id="rId23" tooltip="NIKE, Inc. Form 10-K for the fiscal year ended May 31, 2021 – SEC EDGAR"/>
    <hyperlink ref="J28" r:id="rId24" tooltip="NIKE, Inc. Form 10-K for the fiscal year ended May 31, 2022 – SEC EDGAR"/>
    <hyperlink ref="J29" r:id="rId25" tooltip="NIKE, Inc. Form 10-K for the fiscal year ended May 31, 2023 – SEC EDGAR"/>
    <hyperlink ref="J30" r:id="rId26" tooltip="NIKE, Inc. Form 10-K for the fiscal year ended May 31, 2024 – SEC EDGAR"/>
    <hyperlink ref="J31" r:id="rId27" tooltip="NIKE, Inc. Form 10-K for the fiscal year ended May 31, 2025 – SEC EDGAR"/>
    <hyperlink ref="J32" r:id="rId28" tooltip="NIKE, Inc. Form 10-K for the fiscal year ended May 31, 2026 – SEC EDGAR"/>
    <hyperlink ref="J33" r:id="rId29" tooltip="NIKE, Inc. Form 10-K for the fiscal year ended May 31, 2020 – SEC EDGAR"/>
    <hyperlink ref="J34" r:id="rId30" tooltip="NIKE, Inc. Form 10-K for the fiscal year ended May 31, 2021 – SEC EDGAR"/>
    <hyperlink ref="J35" r:id="rId31" tooltip="NIKE, Inc. Form 10-K for the fiscal year ended May 31, 2022 – SEC EDGAR"/>
    <hyperlink ref="J36" r:id="rId32" tooltip="NIKE, Inc. Form 10-K for the fiscal year ended May 31, 2023 – SEC EDGAR"/>
    <hyperlink ref="J37" r:id="rId33" tooltip="NIKE, Inc. Form 10-K for the fiscal year ended May 31, 2024 – SEC EDGAR"/>
    <hyperlink ref="J38" r:id="rId34" tooltip="NIKE, Inc. Form 10-K for the fiscal year ended May 31, 2025 – SEC EDGAR"/>
    <hyperlink ref="J39" r:id="rId35" tooltip="NIKE, Inc. Form 10-K for the fiscal year ended May 31, 2026 – SEC EDGAR"/>
    <hyperlink ref="J40" r:id="rId36" tooltip="NIKE, Inc. Form 10-K for the fiscal year ended May 31, 2020 – SEC EDGAR"/>
    <hyperlink ref="J41" r:id="rId37" tooltip="NIKE, Inc. Form 10-K for the fiscal year ended May 31, 2021 – SEC EDGAR"/>
    <hyperlink ref="J42" r:id="rId38" tooltip="NIKE, Inc. Form 10-K for the fiscal year ended May 31, 2022 – SEC EDGAR"/>
    <hyperlink ref="J43" r:id="rId39" tooltip="NIKE, Inc. Form 10-K for the fiscal year ended May 31, 2023 – SEC EDGAR"/>
    <hyperlink ref="J44" r:id="rId40" tooltip="NIKE, Inc. Form 10-K for the fiscal year ended May 31, 2024 – SEC EDGAR"/>
    <hyperlink ref="J45" r:id="rId41" tooltip="NIKE, Inc. Form 10-K for the fiscal year ended May 31, 2025 – SEC EDGAR"/>
    <hyperlink ref="J46" r:id="rId42" tooltip="NIKE, Inc. Form 10-K for the fiscal year ended May 31, 2026 – SEC EDGAR"/>
    <hyperlink ref="J47" r:id="rId43" tooltip="NIKE, Inc. Form 10-K for the fiscal year ended May 31, 2020 – SEC EDGAR"/>
    <hyperlink ref="J48" r:id="rId44" tooltip="NIKE, Inc. Form 10-K for the fiscal year ended May 31, 2021 – SEC EDGAR"/>
    <hyperlink ref="J49" r:id="rId45" tooltip="NIKE, Inc. Form 10-K for the fiscal year ended May 31, 2022 – SEC EDGAR"/>
    <hyperlink ref="J50" r:id="rId46" tooltip="NIKE, Inc. Form 10-K for the fiscal year ended May 31, 2023 – SEC EDGAR"/>
    <hyperlink ref="J51" r:id="rId47" tooltip="NIKE, Inc. Form 10-K for the fiscal year ended May 31, 2024 – SEC EDGAR"/>
    <hyperlink ref="J52" r:id="rId48" tooltip="NIKE, Inc. Form 10-K for the fiscal year ended May 31, 2025 – SEC EDGAR"/>
    <hyperlink ref="J53" r:id="rId49" tooltip="NIKE, Inc. Form 10-K for the fiscal year ended May 31, 2026 – SEC EDGAR"/>
    <hyperlink ref="J54" r:id="rId50" tooltip="NIKE, Inc. Form 10-K for the fiscal year ended May 31, 2020 – SEC EDGAR"/>
    <hyperlink ref="J55" r:id="rId51" tooltip="NIKE, Inc. Form 10-K for the fiscal year ended May 31, 2021 – SEC EDGAR"/>
    <hyperlink ref="J56" r:id="rId52" tooltip="NIKE, Inc. Form 10-K for the fiscal year ended May 31, 2022 – SEC EDGAR"/>
    <hyperlink ref="J57" r:id="rId53" tooltip="NIKE, Inc. Form 10-K for the fiscal year ended May 31, 2023 – SEC EDGAR"/>
    <hyperlink ref="J58" r:id="rId54" tooltip="NIKE, Inc. Form 10-K for the fiscal year ended May 31, 2024 – SEC EDGAR"/>
    <hyperlink ref="J59" r:id="rId55" tooltip="NIKE, Inc. Form 10-K for the fiscal year ended May 31, 2025 – SEC EDGAR"/>
    <hyperlink ref="J60" r:id="rId56" tooltip="NIKE, Inc. Form 10-K for the fiscal year ended May 31, 2026 – SEC EDGAR"/>
    <hyperlink ref="J61" r:id="rId57" tooltip="NIKE, Inc. Form 10-K for the fiscal year ended May 31, 2020 – SEC EDGAR"/>
    <hyperlink ref="J62" r:id="rId58" tooltip="NIKE, Inc. Form 10-K for the fiscal year ended May 31, 2021 – SEC EDGAR"/>
    <hyperlink ref="J63" r:id="rId59" tooltip="NIKE, Inc. Form 10-K for the fiscal year ended May 31, 2022 – SEC EDGAR"/>
    <hyperlink ref="J64" r:id="rId60" tooltip="NIKE, Inc. Form 10-K for the fiscal year ended May 31, 2023 – SEC EDGAR"/>
    <hyperlink ref="J65" r:id="rId61" tooltip="NIKE, Inc. Form 10-K for the fiscal year ended May 31, 2024 – SEC EDGAR"/>
    <hyperlink ref="J66" r:id="rId62" tooltip="NIKE, Inc. Form 10-K for the fiscal year ended May 31, 2025 – SEC EDGAR"/>
    <hyperlink ref="J67" r:id="rId63" tooltip="NIKE, Inc. Form 10-K for the fiscal year ended May 31, 2026 – SEC EDGAR"/>
    <hyperlink ref="J68" r:id="rId64" tooltip="NIKE, Inc. Form 10-K for the fiscal year ended May 31, 2020 – SEC EDGAR"/>
    <hyperlink ref="J69" r:id="rId65" tooltip="NIKE, Inc. Form 10-K for the fiscal year ended May 31, 2021 – SEC EDGAR"/>
    <hyperlink ref="J70" r:id="rId66" tooltip="NIKE, Inc. Form 10-K for the fiscal year ended May 31, 2022 – SEC EDGAR"/>
    <hyperlink ref="J71" r:id="rId67" tooltip="NIKE, Inc. Form 10-K for the fiscal year ended May 31, 2023 – SEC EDGAR"/>
    <hyperlink ref="J72" r:id="rId68" tooltip="NIKE, Inc. Form 10-K for the fiscal year ended May 31, 2024 – SEC EDGAR"/>
    <hyperlink ref="J73" r:id="rId69" tooltip="NIKE, Inc. Form 10-K for the fiscal year ended May 31, 2025 – SEC EDGAR"/>
    <hyperlink ref="J74" r:id="rId70" tooltip="NIKE, Inc. Form 10-K for the fiscal year ended May 31, 2026 – SEC EDGAR"/>
    <hyperlink ref="J75" r:id="rId71" tooltip="NIKE, Inc. Form 10-K for the fiscal year ended May 31, 2020 – SEC EDGAR"/>
    <hyperlink ref="J76" r:id="rId72" tooltip="NIKE, Inc. Form 10-K for the fiscal year ended May 31, 2021 – SEC EDGAR"/>
    <hyperlink ref="J77" r:id="rId73" tooltip="NIKE, Inc. Form 10-K for the fiscal year ended May 31, 2022 – SEC EDGAR"/>
    <hyperlink ref="J78" r:id="rId74" tooltip="NIKE, Inc. Form 10-K for the fiscal year ended May 31, 2023 – SEC EDGAR"/>
    <hyperlink ref="J79" r:id="rId75" tooltip="NIKE, Inc. Form 10-K for the fiscal year ended May 31, 2024 – SEC EDGAR"/>
    <hyperlink ref="J80" r:id="rId76" tooltip="NIKE, Inc. Form 10-K for the fiscal year ended May 31, 2025 – SEC EDGAR"/>
    <hyperlink ref="J81" r:id="rId77" tooltip="NIKE, Inc. Form 10-K for the fiscal year ended May 31, 2026 – SEC EDGAR"/>
    <hyperlink ref="J82" r:id="rId78" tooltip="NIKE, Inc. Form 10-K for the fiscal year ended May 31, 2020 – SEC EDGAR"/>
    <hyperlink ref="J83" r:id="rId79" tooltip="NIKE, Inc. Form 10-K for the fiscal year ended May 31, 2021 – SEC EDGAR"/>
    <hyperlink ref="J84" r:id="rId80" tooltip="NIKE, Inc. Form 10-K for the fiscal year ended May 31, 2022 – SEC EDGAR"/>
    <hyperlink ref="J85" r:id="rId81" tooltip="NIKE, Inc. Form 10-K for the fiscal year ended May 31, 2023 – SEC EDGAR"/>
    <hyperlink ref="J86" r:id="rId82" tooltip="NIKE, Inc. Form 10-K for the fiscal year ended May 31, 2024 – SEC EDGAR"/>
    <hyperlink ref="J87" r:id="rId83" tooltip="NIKE, Inc. Form 10-K for the fiscal year ended May 31, 2025 – SEC EDGAR"/>
    <hyperlink ref="J88" r:id="rId84" tooltip="NIKE, Inc. Form 10-K for the fiscal year ended May 31, 2026 – SEC EDGAR"/>
    <hyperlink ref="J89" r:id="rId85" tooltip="NIKE, Inc. Form 10-K for the fiscal year ended May 31, 2020 – SEC EDGAR"/>
    <hyperlink ref="J90" r:id="rId86" tooltip="NIKE, Inc. Form 10-K for the fiscal year ended May 31, 2021 – SEC EDGAR"/>
    <hyperlink ref="J91" r:id="rId87" tooltip="NIKE, Inc. Form 10-K for the fiscal year ended May 31, 2022 – SEC EDGAR"/>
    <hyperlink ref="J92" r:id="rId88" tooltip="NIKE, Inc. Form 10-K for the fiscal year ended May 31, 2023 – SEC EDGAR"/>
    <hyperlink ref="J93" r:id="rId89" tooltip="NIKE, Inc. Form 10-K for the fiscal year ended May 31, 2024 – SEC EDGAR"/>
    <hyperlink ref="J94" r:id="rId90" tooltip="NIKE, Inc. Form 10-K for the fiscal year ended May 31, 2025 – SEC EDGAR"/>
    <hyperlink ref="J95" r:id="rId91" tooltip="NIKE, Inc. Form 10-K for the fiscal year ended May 31, 2026 – SEC EDGAR"/>
    <hyperlink ref="J96" r:id="rId92" tooltip="NIKE, Inc. Form 10-K for the fiscal year ended May 31, 2020 – SEC EDGAR"/>
    <hyperlink ref="J97" r:id="rId93" tooltip="NIKE, Inc. Form 10-K for the fiscal year ended May 31, 2021 – SEC EDGAR"/>
    <hyperlink ref="J98" r:id="rId94" tooltip="NIKE, Inc. Form 10-K for the fiscal year ended May 31, 2022 – SEC EDGAR"/>
    <hyperlink ref="J99" r:id="rId95" tooltip="NIKE, Inc. Form 10-K for the fiscal year ended May 31, 2023 – SEC EDGAR"/>
    <hyperlink ref="J100" r:id="rId96" tooltip="NIKE, Inc. Form 10-K for the fiscal year ended May 31, 2024 – SEC EDGAR"/>
    <hyperlink ref="J101" r:id="rId97" tooltip="NIKE, Inc. Form 10-K for the fiscal year ended May 31, 2025 – SEC EDGAR"/>
    <hyperlink ref="J102" r:id="rId98" tooltip="NIKE, Inc. Form 10-K for the fiscal year ended May 31, 2026 – SEC EDGAR"/>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L75"/>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44.7109375" customWidth="1"/>
    <col min="2" max="2" width="61.7109375" customWidth="1"/>
    <col min="3" max="3" width="10.7109375" customWidth="1"/>
    <col min="4" max="10" width="11.7109375" customWidth="1"/>
    <col min="11" max="11" width="58.7109375" customWidth="1"/>
    <col min="12" max="12" width="62.7109375" customWidth="1"/>
  </cols>
  <sheetData>
    <row r="1" spans="1:12">
      <c r="A1" s="7" t="s">
        <v>724</v>
      </c>
    </row>
    <row r="2" spans="1:12">
      <c r="A2" s="2" t="s">
        <v>725</v>
      </c>
    </row>
    <row r="4" spans="1:12" ht="21.75" customHeight="1">
      <c r="A4" s="8" t="s">
        <v>726</v>
      </c>
      <c r="B4" s="8" t="s">
        <v>57</v>
      </c>
      <c r="C4" s="8" t="s">
        <v>7</v>
      </c>
      <c r="D4" s="15" t="s">
        <v>81</v>
      </c>
      <c r="E4" s="15" t="s">
        <v>102</v>
      </c>
      <c r="F4" s="15" t="s">
        <v>110</v>
      </c>
      <c r="G4" s="15" t="s">
        <v>118</v>
      </c>
      <c r="H4" s="15" t="s">
        <v>126</v>
      </c>
      <c r="I4" s="15" t="s">
        <v>134</v>
      </c>
      <c r="J4" s="15" t="s">
        <v>142</v>
      </c>
      <c r="K4" s="8" t="s">
        <v>727</v>
      </c>
      <c r="L4" s="8" t="s">
        <v>728</v>
      </c>
    </row>
    <row r="6" spans="1:12">
      <c r="A6" s="16"/>
      <c r="B6" s="16" t="s">
        <v>729</v>
      </c>
      <c r="C6" s="16"/>
      <c r="D6" s="16"/>
      <c r="E6" s="16"/>
      <c r="F6" s="16"/>
      <c r="G6" s="16"/>
      <c r="H6" s="16"/>
      <c r="I6" s="16"/>
      <c r="J6" s="16"/>
      <c r="K6" s="16"/>
      <c r="L6" s="16"/>
    </row>
    <row r="7" spans="1:12">
      <c r="A7" s="17" t="s">
        <v>100</v>
      </c>
      <c r="B7" s="10" t="s">
        <v>82</v>
      </c>
      <c r="C7" s="10" t="s">
        <v>83</v>
      </c>
      <c r="D7" s="18">
        <f>IF(INDEX('02 Dữ liệu tài chính'!$C$5:$C$401,MATCH(D$4&amp;"|revenues",'02 Dữ liệu tài chính'!$Z$5:$Z$401,0))="","–",INDEX('02 Dữ liệu tài chính'!$C$5:$C$401,MATCH(D$4&amp;"|revenues",'02 Dữ liệu tài chính'!$Z$5:$Z$401,0)))</f>
        <v>37403.0</v>
      </c>
      <c r="E7" s="18">
        <f>IF(INDEX('02 Dữ liệu tài chính'!$C$5:$C$401,MATCH(E$4&amp;"|revenues",'02 Dữ liệu tài chính'!$Z$5:$Z$401,0))="","–",INDEX('02 Dữ liệu tài chính'!$C$5:$C$401,MATCH(E$4&amp;"|revenues",'02 Dữ liệu tài chính'!$Z$5:$Z$401,0)))</f>
        <v>44538.0</v>
      </c>
      <c r="F7" s="18">
        <f>IF(INDEX('02 Dữ liệu tài chính'!$C$5:$C$401,MATCH(F$4&amp;"|revenues",'02 Dữ liệu tài chính'!$Z$5:$Z$401,0))="","–",INDEX('02 Dữ liệu tài chính'!$C$5:$C$401,MATCH(F$4&amp;"|revenues",'02 Dữ liệu tài chính'!$Z$5:$Z$401,0)))</f>
        <v>46710.0</v>
      </c>
      <c r="G7" s="18">
        <f>IF(INDEX('02 Dữ liệu tài chính'!$C$5:$C$401,MATCH(G$4&amp;"|revenues",'02 Dữ liệu tài chính'!$Z$5:$Z$401,0))="","–",INDEX('02 Dữ liệu tài chính'!$C$5:$C$401,MATCH(G$4&amp;"|revenues",'02 Dữ liệu tài chính'!$Z$5:$Z$401,0)))</f>
        <v>51217.0</v>
      </c>
      <c r="H7" s="18">
        <f>IF(INDEX('02 Dữ liệu tài chính'!$C$5:$C$401,MATCH(H$4&amp;"|revenues",'02 Dữ liệu tài chính'!$Z$5:$Z$401,0))="","–",INDEX('02 Dữ liệu tài chính'!$C$5:$C$401,MATCH(H$4&amp;"|revenues",'02 Dữ liệu tài chính'!$Z$5:$Z$401,0)))</f>
        <v>51362.0</v>
      </c>
      <c r="I7" s="18">
        <f>IF(INDEX('02 Dữ liệu tài chính'!$C$5:$C$401,MATCH(I$4&amp;"|revenues",'02 Dữ liệu tài chính'!$Z$5:$Z$401,0))="","–",INDEX('02 Dữ liệu tài chính'!$C$5:$C$401,MATCH(I$4&amp;"|revenues",'02 Dữ liệu tài chính'!$Z$5:$Z$401,0)))</f>
        <v>46309.0</v>
      </c>
      <c r="J7" s="18">
        <f>IF(INDEX('02 Dữ liệu tài chính'!$C$5:$C$401,MATCH(J$4&amp;"|revenues",'02 Dữ liệu tài chính'!$Z$5:$Z$401,0))="","–",INDEX('02 Dữ liệu tài chính'!$C$5:$C$401,MATCH(J$4&amp;"|revenues",'02 Dữ liệu tài chính'!$Z$5:$Z$401,0)))</f>
        <v>46398.0</v>
      </c>
      <c r="K7" s="17" t="s">
        <v>730</v>
      </c>
    </row>
    <row r="8" spans="1:12">
      <c r="A8" s="17" t="s">
        <v>731</v>
      </c>
      <c r="B8" s="10" t="s">
        <v>732</v>
      </c>
      <c r="C8" s="10" t="s">
        <v>83</v>
      </c>
      <c r="D8" s="18">
        <f>IF(INDEX('02 Dữ liệu tài chính'!$D$5:$D$401,MATCH(D$4&amp;"|revenues",'02 Dữ liệu tài chính'!$Z$5:$Z$401,0))="","–",INDEX('02 Dữ liệu tài chính'!$D$5:$D$401,MATCH(D$4&amp;"|revenues",'02 Dữ liệu tài chính'!$Z$5:$Z$401,0)))</f>
        <v>39117.0</v>
      </c>
      <c r="E8" s="18">
        <f>IF(INDEX('02 Dữ liệu tài chính'!$D$5:$D$401,MATCH(E$4&amp;"|revenues",'02 Dữ liệu tài chính'!$Z$5:$Z$401,0))="","–",INDEX('02 Dữ liệu tài chính'!$D$5:$D$401,MATCH(E$4&amp;"|revenues",'02 Dữ liệu tài chính'!$Z$5:$Z$401,0)))</f>
        <v>37403.0</v>
      </c>
      <c r="F8" s="18">
        <f>IF(INDEX('02 Dữ liệu tài chính'!$D$5:$D$401,MATCH(F$4&amp;"|revenues",'02 Dữ liệu tài chính'!$Z$5:$Z$401,0))="","–",INDEX('02 Dữ liệu tài chính'!$D$5:$D$401,MATCH(F$4&amp;"|revenues",'02 Dữ liệu tài chính'!$Z$5:$Z$401,0)))</f>
        <v>44538.0</v>
      </c>
      <c r="G8" s="18">
        <f>IF(INDEX('02 Dữ liệu tài chính'!$D$5:$D$401,MATCH(G$4&amp;"|revenues",'02 Dữ liệu tài chính'!$Z$5:$Z$401,0))="","–",INDEX('02 Dữ liệu tài chính'!$D$5:$D$401,MATCH(G$4&amp;"|revenues",'02 Dữ liệu tài chính'!$Z$5:$Z$401,0)))</f>
        <v>46710.0</v>
      </c>
      <c r="H8" s="18">
        <f>IF(INDEX('02 Dữ liệu tài chính'!$D$5:$D$401,MATCH(H$4&amp;"|revenues",'02 Dữ liệu tài chính'!$Z$5:$Z$401,0))="","–",INDEX('02 Dữ liệu tài chính'!$D$5:$D$401,MATCH(H$4&amp;"|revenues",'02 Dữ liệu tài chính'!$Z$5:$Z$401,0)))</f>
        <v>51217.0</v>
      </c>
      <c r="I8" s="18">
        <f>IF(INDEX('02 Dữ liệu tài chính'!$D$5:$D$401,MATCH(I$4&amp;"|revenues",'02 Dữ liệu tài chính'!$Z$5:$Z$401,0))="","–",INDEX('02 Dữ liệu tài chính'!$D$5:$D$401,MATCH(I$4&amp;"|revenues",'02 Dữ liệu tài chính'!$Z$5:$Z$401,0)))</f>
        <v>51362.0</v>
      </c>
      <c r="J8" s="18">
        <f>IF(INDEX('02 Dữ liệu tài chính'!$D$5:$D$401,MATCH(J$4&amp;"|revenues",'02 Dữ liệu tài chính'!$Z$5:$Z$401,0))="","–",INDEX('02 Dữ liệu tài chính'!$D$5:$D$401,MATCH(J$4&amp;"|revenues",'02 Dữ liệu tài chính'!$Z$5:$Z$401,0)))</f>
        <v>46309.0</v>
      </c>
      <c r="K8" s="17" t="s">
        <v>733</v>
      </c>
    </row>
    <row r="9" spans="1:12">
      <c r="A9" s="17" t="s">
        <v>155</v>
      </c>
      <c r="B9" s="10" t="s">
        <v>150</v>
      </c>
      <c r="C9" s="10" t="s">
        <v>83</v>
      </c>
      <c r="D9" s="18">
        <f>IF(INDEX('02 Dữ liệu tài chính'!$C$5:$C$401,MATCH(D$4&amp;"|cost_of_sales",'02 Dữ liệu tài chính'!$Z$5:$Z$401,0))="","–",INDEX('02 Dữ liệu tài chính'!$C$5:$C$401,MATCH(D$4&amp;"|cost_of_sales",'02 Dữ liệu tài chính'!$Z$5:$Z$401,0)))</f>
        <v>21162.0</v>
      </c>
      <c r="E9" s="18">
        <f>IF(INDEX('02 Dữ liệu tài chính'!$C$5:$C$401,MATCH(E$4&amp;"|cost_of_sales",'02 Dữ liệu tài chính'!$Z$5:$Z$401,0))="","–",INDEX('02 Dữ liệu tài chính'!$C$5:$C$401,MATCH(E$4&amp;"|cost_of_sales",'02 Dữ liệu tài chính'!$Z$5:$Z$401,0)))</f>
        <v>24576.0</v>
      </c>
      <c r="F9" s="18">
        <f>IF(INDEX('02 Dữ liệu tài chính'!$C$5:$C$401,MATCH(F$4&amp;"|cost_of_sales",'02 Dữ liệu tài chính'!$Z$5:$Z$401,0))="","–",INDEX('02 Dữ liệu tài chính'!$C$5:$C$401,MATCH(F$4&amp;"|cost_of_sales",'02 Dữ liệu tài chính'!$Z$5:$Z$401,0)))</f>
        <v>25231.0</v>
      </c>
      <c r="G9" s="18">
        <f>IF(INDEX('02 Dữ liệu tài chính'!$C$5:$C$401,MATCH(G$4&amp;"|cost_of_sales",'02 Dữ liệu tài chính'!$Z$5:$Z$401,0))="","–",INDEX('02 Dữ liệu tài chính'!$C$5:$C$401,MATCH(G$4&amp;"|cost_of_sales",'02 Dữ liệu tài chính'!$Z$5:$Z$401,0)))</f>
        <v>28925.0</v>
      </c>
      <c r="H9" s="18">
        <f>IF(INDEX('02 Dữ liệu tài chính'!$C$5:$C$401,MATCH(H$4&amp;"|cost_of_sales",'02 Dữ liệu tài chính'!$Z$5:$Z$401,0))="","–",INDEX('02 Dữ liệu tài chính'!$C$5:$C$401,MATCH(H$4&amp;"|cost_of_sales",'02 Dữ liệu tài chính'!$Z$5:$Z$401,0)))</f>
        <v>28475.0</v>
      </c>
      <c r="I9" s="18">
        <f>IF(INDEX('02 Dữ liệu tài chính'!$C$5:$C$401,MATCH(I$4&amp;"|cost_of_sales",'02 Dữ liệu tài chính'!$Z$5:$Z$401,0))="","–",INDEX('02 Dữ liệu tài chính'!$C$5:$C$401,MATCH(I$4&amp;"|cost_of_sales",'02 Dữ liệu tài chính'!$Z$5:$Z$401,0)))</f>
        <v>26519.0</v>
      </c>
      <c r="J9" s="18">
        <f>IF(INDEX('02 Dữ liệu tài chính'!$C$5:$C$401,MATCH(J$4&amp;"|cost_of_sales",'02 Dữ liệu tài chính'!$Z$5:$Z$401,0))="","–",INDEX('02 Dữ liệu tài chính'!$C$5:$C$401,MATCH(J$4&amp;"|cost_of_sales",'02 Dữ liệu tài chính'!$Z$5:$Z$401,0)))</f>
        <v>26487.0</v>
      </c>
      <c r="K9" s="17" t="s">
        <v>734</v>
      </c>
    </row>
    <row r="10" spans="1:12">
      <c r="A10" s="17" t="s">
        <v>174</v>
      </c>
      <c r="B10" s="10" t="s">
        <v>169</v>
      </c>
      <c r="C10" s="10" t="s">
        <v>83</v>
      </c>
      <c r="D10" s="18">
        <f>IF(INDEX('02 Dữ liệu tài chính'!$C$5:$C$401,MATCH(D$4&amp;"|gross_profit",'02 Dữ liệu tài chính'!$Z$5:$Z$401,0))="","–",INDEX('02 Dữ liệu tài chính'!$C$5:$C$401,MATCH(D$4&amp;"|gross_profit",'02 Dữ liệu tài chính'!$Z$5:$Z$401,0)))</f>
        <v>16241.0</v>
      </c>
      <c r="E10" s="18">
        <f>IF(INDEX('02 Dữ liệu tài chính'!$C$5:$C$401,MATCH(E$4&amp;"|gross_profit",'02 Dữ liệu tài chính'!$Z$5:$Z$401,0))="","–",INDEX('02 Dữ liệu tài chính'!$C$5:$C$401,MATCH(E$4&amp;"|gross_profit",'02 Dữ liệu tài chính'!$Z$5:$Z$401,0)))</f>
        <v>19962.0</v>
      </c>
      <c r="F10" s="18">
        <f>IF(INDEX('02 Dữ liệu tài chính'!$C$5:$C$401,MATCH(F$4&amp;"|gross_profit",'02 Dữ liệu tài chính'!$Z$5:$Z$401,0))="","–",INDEX('02 Dữ liệu tài chính'!$C$5:$C$401,MATCH(F$4&amp;"|gross_profit",'02 Dữ liệu tài chính'!$Z$5:$Z$401,0)))</f>
        <v>21479.0</v>
      </c>
      <c r="G10" s="18">
        <f>IF(INDEX('02 Dữ liệu tài chính'!$C$5:$C$401,MATCH(G$4&amp;"|gross_profit",'02 Dữ liệu tài chính'!$Z$5:$Z$401,0))="","–",INDEX('02 Dữ liệu tài chính'!$C$5:$C$401,MATCH(G$4&amp;"|gross_profit",'02 Dữ liệu tài chính'!$Z$5:$Z$401,0)))</f>
        <v>22292.0</v>
      </c>
      <c r="H10" s="18">
        <f>IF(INDEX('02 Dữ liệu tài chính'!$C$5:$C$401,MATCH(H$4&amp;"|gross_profit",'02 Dữ liệu tài chính'!$Z$5:$Z$401,0))="","–",INDEX('02 Dữ liệu tài chính'!$C$5:$C$401,MATCH(H$4&amp;"|gross_profit",'02 Dữ liệu tài chính'!$Z$5:$Z$401,0)))</f>
        <v>22887.0</v>
      </c>
      <c r="I10" s="18">
        <f>IF(INDEX('02 Dữ liệu tài chính'!$C$5:$C$401,MATCH(I$4&amp;"|gross_profit",'02 Dữ liệu tài chính'!$Z$5:$Z$401,0))="","–",INDEX('02 Dữ liệu tài chính'!$C$5:$C$401,MATCH(I$4&amp;"|gross_profit",'02 Dữ liệu tài chính'!$Z$5:$Z$401,0)))</f>
        <v>19790.0</v>
      </c>
      <c r="J10" s="18">
        <f>IF(INDEX('02 Dữ liệu tài chính'!$C$5:$C$401,MATCH(J$4&amp;"|gross_profit",'02 Dữ liệu tài chính'!$Z$5:$Z$401,0))="","–",INDEX('02 Dữ liệu tài chính'!$C$5:$C$401,MATCH(J$4&amp;"|gross_profit",'02 Dữ liệu tài chính'!$Z$5:$Z$401,0)))</f>
        <v>19911.0</v>
      </c>
      <c r="K10" s="17" t="s">
        <v>735</v>
      </c>
    </row>
    <row r="11" spans="1:12">
      <c r="A11" s="17" t="s">
        <v>193</v>
      </c>
      <c r="B11" s="10" t="s">
        <v>188</v>
      </c>
      <c r="C11" s="10" t="s">
        <v>83</v>
      </c>
      <c r="D11" s="18">
        <f>IF(INDEX('02 Dữ liệu tài chính'!$C$5:$C$401,MATCH(D$4&amp;"|demand_creation_expense",'02 Dữ liệu tài chính'!$Z$5:$Z$401,0))="","–",INDEX('02 Dữ liệu tài chính'!$C$5:$C$401,MATCH(D$4&amp;"|demand_creation_expense",'02 Dữ liệu tài chính'!$Z$5:$Z$401,0)))</f>
        <v>3592.0</v>
      </c>
      <c r="E11" s="18">
        <f>IF(INDEX('02 Dữ liệu tài chính'!$C$5:$C$401,MATCH(E$4&amp;"|demand_creation_expense",'02 Dữ liệu tài chính'!$Z$5:$Z$401,0))="","–",INDEX('02 Dữ liệu tài chính'!$C$5:$C$401,MATCH(E$4&amp;"|demand_creation_expense",'02 Dữ liệu tài chính'!$Z$5:$Z$401,0)))</f>
        <v>3114.0</v>
      </c>
      <c r="F11" s="18">
        <f>IF(INDEX('02 Dữ liệu tài chính'!$C$5:$C$401,MATCH(F$4&amp;"|demand_creation_expense",'02 Dữ liệu tài chính'!$Z$5:$Z$401,0))="","–",INDEX('02 Dữ liệu tài chính'!$C$5:$C$401,MATCH(F$4&amp;"|demand_creation_expense",'02 Dữ liệu tài chính'!$Z$5:$Z$401,0)))</f>
        <v>3850.0</v>
      </c>
      <c r="G11" s="18">
        <f>IF(INDEX('02 Dữ liệu tài chính'!$C$5:$C$401,MATCH(G$4&amp;"|demand_creation_expense",'02 Dữ liệu tài chính'!$Z$5:$Z$401,0))="","–",INDEX('02 Dữ liệu tài chính'!$C$5:$C$401,MATCH(G$4&amp;"|demand_creation_expense",'02 Dữ liệu tài chính'!$Z$5:$Z$401,0)))</f>
        <v>4060.0</v>
      </c>
      <c r="H11" s="18">
        <f>IF(INDEX('02 Dữ liệu tài chính'!$C$5:$C$401,MATCH(H$4&amp;"|demand_creation_expense",'02 Dữ liệu tài chính'!$Z$5:$Z$401,0))="","–",INDEX('02 Dữ liệu tài chính'!$C$5:$C$401,MATCH(H$4&amp;"|demand_creation_expense",'02 Dữ liệu tài chính'!$Z$5:$Z$401,0)))</f>
        <v>4285.0</v>
      </c>
      <c r="I11" s="18">
        <f>IF(INDEX('02 Dữ liệu tài chính'!$C$5:$C$401,MATCH(I$4&amp;"|demand_creation_expense",'02 Dữ liệu tài chính'!$Z$5:$Z$401,0))="","–",INDEX('02 Dữ liệu tài chính'!$C$5:$C$401,MATCH(I$4&amp;"|demand_creation_expense",'02 Dữ liệu tài chính'!$Z$5:$Z$401,0)))</f>
        <v>4689.0</v>
      </c>
      <c r="J11" s="18">
        <f>IF(INDEX('02 Dữ liệu tài chính'!$C$5:$C$401,MATCH(J$4&amp;"|demand_creation_expense",'02 Dữ liệu tài chính'!$Z$5:$Z$401,0))="","–",INDEX('02 Dữ liệu tài chính'!$C$5:$C$401,MATCH(J$4&amp;"|demand_creation_expense",'02 Dữ liệu tài chính'!$Z$5:$Z$401,0)))</f>
        <v>4754.0</v>
      </c>
      <c r="K11" s="17" t="s">
        <v>736</v>
      </c>
    </row>
    <row r="12" spans="1:12">
      <c r="A12" s="17" t="s">
        <v>212</v>
      </c>
      <c r="B12" s="10" t="s">
        <v>207</v>
      </c>
      <c r="C12" s="10" t="s">
        <v>83</v>
      </c>
      <c r="D12" s="18">
        <f>IF(INDEX('02 Dữ liệu tài chính'!$C$5:$C$401,MATCH(D$4&amp;"|operating_overhead_expense",'02 Dữ liệu tài chính'!$Z$5:$Z$401,0))="","–",INDEX('02 Dữ liệu tài chính'!$C$5:$C$401,MATCH(D$4&amp;"|operating_overhead_expense",'02 Dữ liệu tài chính'!$Z$5:$Z$401,0)))</f>
        <v>9534.0</v>
      </c>
      <c r="E12" s="18">
        <f>IF(INDEX('02 Dữ liệu tài chính'!$C$5:$C$401,MATCH(E$4&amp;"|operating_overhead_expense",'02 Dữ liệu tài chính'!$Z$5:$Z$401,0))="","–",INDEX('02 Dữ liệu tài chính'!$C$5:$C$401,MATCH(E$4&amp;"|operating_overhead_expense",'02 Dữ liệu tài chính'!$Z$5:$Z$401,0)))</f>
        <v>9911.0</v>
      </c>
      <c r="F12" s="18">
        <f>IF(INDEX('02 Dữ liệu tài chính'!$C$5:$C$401,MATCH(F$4&amp;"|operating_overhead_expense",'02 Dữ liệu tài chính'!$Z$5:$Z$401,0))="","–",INDEX('02 Dữ liệu tài chính'!$C$5:$C$401,MATCH(F$4&amp;"|operating_overhead_expense",'02 Dữ liệu tài chính'!$Z$5:$Z$401,0)))</f>
        <v>10954.0</v>
      </c>
      <c r="G12" s="18">
        <f>IF(INDEX('02 Dữ liệu tài chính'!$C$5:$C$401,MATCH(G$4&amp;"|operating_overhead_expense",'02 Dữ liệu tài chính'!$Z$5:$Z$401,0))="","–",INDEX('02 Dữ liệu tài chính'!$C$5:$C$401,MATCH(G$4&amp;"|operating_overhead_expense",'02 Dữ liệu tài chính'!$Z$5:$Z$401,0)))</f>
        <v>12317.0</v>
      </c>
      <c r="H12" s="18">
        <f>IF(INDEX('02 Dữ liệu tài chính'!$C$5:$C$401,MATCH(H$4&amp;"|operating_overhead_expense",'02 Dữ liệu tài chính'!$Z$5:$Z$401,0))="","–",INDEX('02 Dữ liệu tài chính'!$C$5:$C$401,MATCH(H$4&amp;"|operating_overhead_expense",'02 Dữ liệu tài chính'!$Z$5:$Z$401,0)))</f>
        <v>12291.0</v>
      </c>
      <c r="I12" s="18">
        <f>IF(INDEX('02 Dữ liệu tài chính'!$C$5:$C$401,MATCH(I$4&amp;"|operating_overhead_expense",'02 Dữ liệu tài chính'!$Z$5:$Z$401,0))="","–",INDEX('02 Dữ liệu tài chính'!$C$5:$C$401,MATCH(I$4&amp;"|operating_overhead_expense",'02 Dữ liệu tài chính'!$Z$5:$Z$401,0)))</f>
        <v>11399.0</v>
      </c>
      <c r="J12" s="18">
        <f>IF(INDEX('02 Dữ liệu tài chính'!$C$5:$C$401,MATCH(J$4&amp;"|operating_overhead_expense",'02 Dữ liệu tài chính'!$Z$5:$Z$401,0))="","–",INDEX('02 Dữ liệu tài chính'!$C$5:$C$401,MATCH(J$4&amp;"|operating_overhead_expense",'02 Dữ liệu tài chính'!$Z$5:$Z$401,0)))</f>
        <v>11360.0</v>
      </c>
      <c r="K12" s="17" t="s">
        <v>737</v>
      </c>
    </row>
    <row r="13" spans="1:12">
      <c r="A13" s="17" t="s">
        <v>231</v>
      </c>
      <c r="B13" s="10" t="s">
        <v>226</v>
      </c>
      <c r="C13" s="10" t="s">
        <v>83</v>
      </c>
      <c r="D13" s="18">
        <f>IF(INDEX('02 Dữ liệu tài chính'!$C$5:$C$401,MATCH(D$4&amp;"|total_selling_admin_expense",'02 Dữ liệu tài chính'!$Z$5:$Z$401,0))="","–",INDEX('02 Dữ liệu tài chính'!$C$5:$C$401,MATCH(D$4&amp;"|total_selling_admin_expense",'02 Dữ liệu tài chính'!$Z$5:$Z$401,0)))</f>
        <v>13126.0</v>
      </c>
      <c r="E13" s="18">
        <f>IF(INDEX('02 Dữ liệu tài chính'!$C$5:$C$401,MATCH(E$4&amp;"|total_selling_admin_expense",'02 Dữ liệu tài chính'!$Z$5:$Z$401,0))="","–",INDEX('02 Dữ liệu tài chính'!$C$5:$C$401,MATCH(E$4&amp;"|total_selling_admin_expense",'02 Dữ liệu tài chính'!$Z$5:$Z$401,0)))</f>
        <v>13025.0</v>
      </c>
      <c r="F13" s="18">
        <f>IF(INDEX('02 Dữ liệu tài chính'!$C$5:$C$401,MATCH(F$4&amp;"|total_selling_admin_expense",'02 Dữ liệu tài chính'!$Z$5:$Z$401,0))="","–",INDEX('02 Dữ liệu tài chính'!$C$5:$C$401,MATCH(F$4&amp;"|total_selling_admin_expense",'02 Dữ liệu tài chính'!$Z$5:$Z$401,0)))</f>
        <v>14804.0</v>
      </c>
      <c r="G13" s="18">
        <f>IF(INDEX('02 Dữ liệu tài chính'!$C$5:$C$401,MATCH(G$4&amp;"|total_selling_admin_expense",'02 Dữ liệu tài chính'!$Z$5:$Z$401,0))="","–",INDEX('02 Dữ liệu tài chính'!$C$5:$C$401,MATCH(G$4&amp;"|total_selling_admin_expense",'02 Dữ liệu tài chính'!$Z$5:$Z$401,0)))</f>
        <v>16377.0</v>
      </c>
      <c r="H13" s="18">
        <f>IF(INDEX('02 Dữ liệu tài chính'!$C$5:$C$401,MATCH(H$4&amp;"|total_selling_admin_expense",'02 Dữ liệu tài chính'!$Z$5:$Z$401,0))="","–",INDEX('02 Dữ liệu tài chính'!$C$5:$C$401,MATCH(H$4&amp;"|total_selling_admin_expense",'02 Dữ liệu tài chính'!$Z$5:$Z$401,0)))</f>
        <v>16576.0</v>
      </c>
      <c r="I13" s="18">
        <f>IF(INDEX('02 Dữ liệu tài chính'!$C$5:$C$401,MATCH(I$4&amp;"|total_selling_admin_expense",'02 Dữ liệu tài chính'!$Z$5:$Z$401,0))="","–",INDEX('02 Dữ liệu tài chính'!$C$5:$C$401,MATCH(I$4&amp;"|total_selling_admin_expense",'02 Dữ liệu tài chính'!$Z$5:$Z$401,0)))</f>
        <v>16088.0</v>
      </c>
      <c r="J13" s="18">
        <f>IF(INDEX('02 Dữ liệu tài chính'!$C$5:$C$401,MATCH(J$4&amp;"|total_selling_admin_expense",'02 Dữ liệu tài chính'!$Z$5:$Z$401,0))="","–",INDEX('02 Dữ liệu tài chính'!$C$5:$C$401,MATCH(J$4&amp;"|total_selling_admin_expense",'02 Dữ liệu tài chính'!$Z$5:$Z$401,0)))</f>
        <v>16114.0</v>
      </c>
      <c r="K13" s="17" t="s">
        <v>738</v>
      </c>
    </row>
    <row r="14" spans="1:12">
      <c r="A14" s="17" t="s">
        <v>250</v>
      </c>
      <c r="B14" s="10" t="s">
        <v>245</v>
      </c>
      <c r="C14" s="10" t="s">
        <v>83</v>
      </c>
      <c r="D14" s="18">
        <f>IF(INDEX('02 Dữ liệu tài chính'!$C$5:$C$401,MATCH(D$4&amp;"|interest_expense_net",'02 Dữ liệu tài chính'!$Z$5:$Z$401,0))="","–",INDEX('02 Dữ liệu tài chính'!$C$5:$C$401,MATCH(D$4&amp;"|interest_expense_net",'02 Dữ liệu tài chính'!$Z$5:$Z$401,0)))</f>
        <v>89.0</v>
      </c>
      <c r="E14" s="18">
        <f>IF(INDEX('02 Dữ liệu tài chính'!$C$5:$C$401,MATCH(E$4&amp;"|interest_expense_net",'02 Dữ liệu tài chính'!$Z$5:$Z$401,0))="","–",INDEX('02 Dữ liệu tài chính'!$C$5:$C$401,MATCH(E$4&amp;"|interest_expense_net",'02 Dữ liệu tài chính'!$Z$5:$Z$401,0)))</f>
        <v>262.0</v>
      </c>
      <c r="F14" s="18">
        <f>IF(INDEX('02 Dữ liệu tài chính'!$C$5:$C$401,MATCH(F$4&amp;"|interest_expense_net",'02 Dữ liệu tài chính'!$Z$5:$Z$401,0))="","–",INDEX('02 Dữ liệu tài chính'!$C$5:$C$401,MATCH(F$4&amp;"|interest_expense_net",'02 Dữ liệu tài chính'!$Z$5:$Z$401,0)))</f>
        <v>205.0</v>
      </c>
      <c r="G14" s="18">
        <f>IF(INDEX('02 Dữ liệu tài chính'!$C$5:$C$401,MATCH(G$4&amp;"|interest_expense_net",'02 Dữ liệu tài chính'!$Z$5:$Z$401,0))="","–",INDEX('02 Dữ liệu tài chính'!$C$5:$C$401,MATCH(G$4&amp;"|interest_expense_net",'02 Dữ liệu tài chính'!$Z$5:$Z$401,0)))</f>
        <v>-6.0</v>
      </c>
      <c r="H14" s="18">
        <f>IF(INDEX('02 Dữ liệu tài chính'!$C$5:$C$401,MATCH(H$4&amp;"|interest_expense_net",'02 Dữ liệu tài chính'!$Z$5:$Z$401,0))="","–",INDEX('02 Dữ liệu tài chính'!$C$5:$C$401,MATCH(H$4&amp;"|interest_expense_net",'02 Dữ liệu tài chính'!$Z$5:$Z$401,0)))</f>
        <v>-161.0</v>
      </c>
      <c r="I14" s="18">
        <f>IF(INDEX('02 Dữ liệu tài chính'!$C$5:$C$401,MATCH(I$4&amp;"|interest_expense_net",'02 Dữ liệu tài chính'!$Z$5:$Z$401,0))="","–",INDEX('02 Dữ liệu tài chính'!$C$5:$C$401,MATCH(I$4&amp;"|interest_expense_net",'02 Dữ liệu tài chính'!$Z$5:$Z$401,0)))</f>
        <v>-107.0</v>
      </c>
      <c r="J14" s="18">
        <f>IF(INDEX('02 Dữ liệu tài chính'!$C$5:$C$401,MATCH(J$4&amp;"|interest_expense_net",'02 Dữ liệu tài chính'!$Z$5:$Z$401,0))="","–",INDEX('02 Dữ liệu tài chính'!$C$5:$C$401,MATCH(J$4&amp;"|interest_expense_net",'02 Dữ liệu tài chính'!$Z$5:$Z$401,0)))</f>
        <v>-50.0</v>
      </c>
      <c r="K14" s="17" t="s">
        <v>739</v>
      </c>
    </row>
    <row r="15" spans="1:12">
      <c r="A15" s="17" t="s">
        <v>269</v>
      </c>
      <c r="B15" s="10" t="s">
        <v>264</v>
      </c>
      <c r="C15" s="10" t="s">
        <v>83</v>
      </c>
      <c r="D15" s="18">
        <f>IF(INDEX('02 Dữ liệu tài chính'!$C$5:$C$401,MATCH(D$4&amp;"|other_expense_net",'02 Dữ liệu tài chính'!$Z$5:$Z$401,0))="","–",INDEX('02 Dữ liệu tài chính'!$C$5:$C$401,MATCH(D$4&amp;"|other_expense_net",'02 Dữ liệu tài chính'!$Z$5:$Z$401,0)))</f>
        <v>139.0</v>
      </c>
      <c r="E15" s="18">
        <f>IF(INDEX('02 Dữ liệu tài chính'!$C$5:$C$401,MATCH(E$4&amp;"|other_expense_net",'02 Dữ liệu tài chính'!$Z$5:$Z$401,0))="","–",INDEX('02 Dữ liệu tài chính'!$C$5:$C$401,MATCH(E$4&amp;"|other_expense_net",'02 Dữ liệu tài chính'!$Z$5:$Z$401,0)))</f>
        <v>14.0</v>
      </c>
      <c r="F15" s="18">
        <f>IF(INDEX('02 Dữ liệu tài chính'!$C$5:$C$401,MATCH(F$4&amp;"|other_expense_net",'02 Dữ liệu tài chính'!$Z$5:$Z$401,0))="","–",INDEX('02 Dữ liệu tài chính'!$C$5:$C$401,MATCH(F$4&amp;"|other_expense_net",'02 Dữ liệu tài chính'!$Z$5:$Z$401,0)))</f>
        <v>-181.0</v>
      </c>
      <c r="G15" s="18">
        <f>IF(INDEX('02 Dữ liệu tài chính'!$C$5:$C$401,MATCH(G$4&amp;"|other_expense_net",'02 Dữ liệu tài chính'!$Z$5:$Z$401,0))="","–",INDEX('02 Dữ liệu tài chính'!$C$5:$C$401,MATCH(G$4&amp;"|other_expense_net",'02 Dữ liệu tài chính'!$Z$5:$Z$401,0)))</f>
        <v>-280.0</v>
      </c>
      <c r="H15" s="18">
        <f>IF(INDEX('02 Dữ liệu tài chính'!$C$5:$C$401,MATCH(H$4&amp;"|other_expense_net",'02 Dữ liệu tài chính'!$Z$5:$Z$401,0))="","–",INDEX('02 Dữ liệu tài chính'!$C$5:$C$401,MATCH(H$4&amp;"|other_expense_net",'02 Dữ liệu tài chính'!$Z$5:$Z$401,0)))</f>
        <v>-228.0</v>
      </c>
      <c r="I15" s="18">
        <f>IF(INDEX('02 Dữ liệu tài chính'!$C$5:$C$401,MATCH(I$4&amp;"|other_expense_net",'02 Dữ liệu tài chính'!$Z$5:$Z$401,0))="","–",INDEX('02 Dữ liệu tài chính'!$C$5:$C$401,MATCH(I$4&amp;"|other_expense_net",'02 Dữ liệu tài chính'!$Z$5:$Z$401,0)))</f>
        <v>-76.0</v>
      </c>
      <c r="J15" s="18">
        <f>IF(INDEX('02 Dữ liệu tài chính'!$C$5:$C$401,MATCH(J$4&amp;"|other_expense_net",'02 Dữ liệu tài chính'!$Z$5:$Z$401,0))="","–",INDEX('02 Dữ liệu tài chính'!$C$5:$C$401,MATCH(J$4&amp;"|other_expense_net",'02 Dữ liệu tài chính'!$Z$5:$Z$401,0)))</f>
        <v>-53.0</v>
      </c>
      <c r="K15" s="17" t="s">
        <v>740</v>
      </c>
    </row>
    <row r="16" spans="1:12">
      <c r="A16" s="17" t="s">
        <v>288</v>
      </c>
      <c r="B16" s="10" t="s">
        <v>283</v>
      </c>
      <c r="C16" s="10" t="s">
        <v>83</v>
      </c>
      <c r="D16" s="18">
        <f>IF(INDEX('02 Dữ liệu tài chính'!$C$5:$C$401,MATCH(D$4&amp;"|income_before_taxes",'02 Dữ liệu tài chính'!$Z$5:$Z$401,0))="","–",INDEX('02 Dữ liệu tài chính'!$C$5:$C$401,MATCH(D$4&amp;"|income_before_taxes",'02 Dữ liệu tài chính'!$Z$5:$Z$401,0)))</f>
        <v>2887.0</v>
      </c>
      <c r="E16" s="18">
        <f>IF(INDEX('02 Dữ liệu tài chính'!$C$5:$C$401,MATCH(E$4&amp;"|income_before_taxes",'02 Dữ liệu tài chính'!$Z$5:$Z$401,0))="","–",INDEX('02 Dữ liệu tài chính'!$C$5:$C$401,MATCH(E$4&amp;"|income_before_taxes",'02 Dữ liệu tài chính'!$Z$5:$Z$401,0)))</f>
        <v>6661.0</v>
      </c>
      <c r="F16" s="18">
        <f>IF(INDEX('02 Dữ liệu tài chính'!$C$5:$C$401,MATCH(F$4&amp;"|income_before_taxes",'02 Dữ liệu tài chính'!$Z$5:$Z$401,0))="","–",INDEX('02 Dữ liệu tài chính'!$C$5:$C$401,MATCH(F$4&amp;"|income_before_taxes",'02 Dữ liệu tài chính'!$Z$5:$Z$401,0)))</f>
        <v>6651.0</v>
      </c>
      <c r="G16" s="18">
        <f>IF(INDEX('02 Dữ liệu tài chính'!$C$5:$C$401,MATCH(G$4&amp;"|income_before_taxes",'02 Dữ liệu tài chính'!$Z$5:$Z$401,0))="","–",INDEX('02 Dữ liệu tài chính'!$C$5:$C$401,MATCH(G$4&amp;"|income_before_taxes",'02 Dữ liệu tài chính'!$Z$5:$Z$401,0)))</f>
        <v>6201.0</v>
      </c>
      <c r="H16" s="18">
        <f>IF(INDEX('02 Dữ liệu tài chính'!$C$5:$C$401,MATCH(H$4&amp;"|income_before_taxes",'02 Dữ liệu tài chính'!$Z$5:$Z$401,0))="","–",INDEX('02 Dữ liệu tài chính'!$C$5:$C$401,MATCH(H$4&amp;"|income_before_taxes",'02 Dữ liệu tài chính'!$Z$5:$Z$401,0)))</f>
        <v>6700.0</v>
      </c>
      <c r="I16" s="18">
        <f>IF(INDEX('02 Dữ liệu tài chính'!$C$5:$C$401,MATCH(I$4&amp;"|income_before_taxes",'02 Dữ liệu tài chính'!$Z$5:$Z$401,0))="","–",INDEX('02 Dữ liệu tài chính'!$C$5:$C$401,MATCH(I$4&amp;"|income_before_taxes",'02 Dữ liệu tài chính'!$Z$5:$Z$401,0)))</f>
        <v>3885.0</v>
      </c>
      <c r="J16" s="18">
        <f>IF(INDEX('02 Dữ liệu tài chính'!$C$5:$C$401,MATCH(J$4&amp;"|income_before_taxes",'02 Dữ liệu tài chính'!$Z$5:$Z$401,0))="","–",INDEX('02 Dữ liệu tài chính'!$C$5:$C$401,MATCH(J$4&amp;"|income_before_taxes",'02 Dữ liệu tài chính'!$Z$5:$Z$401,0)))</f>
        <v>3900.0</v>
      </c>
      <c r="K16" s="17" t="s">
        <v>741</v>
      </c>
    </row>
    <row r="17" spans="1:11">
      <c r="A17" s="17" t="s">
        <v>308</v>
      </c>
      <c r="B17" s="10" t="s">
        <v>303</v>
      </c>
      <c r="C17" s="10" t="s">
        <v>83</v>
      </c>
      <c r="D17" s="18">
        <f>IF(INDEX('02 Dữ liệu tài chính'!$C$5:$C$401,MATCH(D$4&amp;"|income_tax_expense",'02 Dữ liệu tài chính'!$Z$5:$Z$401,0))="","–",INDEX('02 Dữ liệu tài chính'!$C$5:$C$401,MATCH(D$4&amp;"|income_tax_expense",'02 Dữ liệu tài chính'!$Z$5:$Z$401,0)))</f>
        <v>348.0</v>
      </c>
      <c r="E17" s="18">
        <f>IF(INDEX('02 Dữ liệu tài chính'!$C$5:$C$401,MATCH(E$4&amp;"|income_tax_expense",'02 Dữ liệu tài chính'!$Z$5:$Z$401,0))="","–",INDEX('02 Dữ liệu tài chính'!$C$5:$C$401,MATCH(E$4&amp;"|income_tax_expense",'02 Dữ liệu tài chính'!$Z$5:$Z$401,0)))</f>
        <v>934.0</v>
      </c>
      <c r="F17" s="18">
        <f>IF(INDEX('02 Dữ liệu tài chính'!$C$5:$C$401,MATCH(F$4&amp;"|income_tax_expense",'02 Dữ liệu tài chính'!$Z$5:$Z$401,0))="","–",INDEX('02 Dữ liệu tài chính'!$C$5:$C$401,MATCH(F$4&amp;"|income_tax_expense",'02 Dữ liệu tài chính'!$Z$5:$Z$401,0)))</f>
        <v>605.0</v>
      </c>
      <c r="G17" s="18">
        <f>IF(INDEX('02 Dữ liệu tài chính'!$C$5:$C$401,MATCH(G$4&amp;"|income_tax_expense",'02 Dữ liệu tài chính'!$Z$5:$Z$401,0))="","–",INDEX('02 Dữ liệu tài chính'!$C$5:$C$401,MATCH(G$4&amp;"|income_tax_expense",'02 Dữ liệu tài chính'!$Z$5:$Z$401,0)))</f>
        <v>1131.0</v>
      </c>
      <c r="H17" s="18">
        <f>IF(INDEX('02 Dữ liệu tài chính'!$C$5:$C$401,MATCH(H$4&amp;"|income_tax_expense",'02 Dữ liệu tài chính'!$Z$5:$Z$401,0))="","–",INDEX('02 Dữ liệu tài chính'!$C$5:$C$401,MATCH(H$4&amp;"|income_tax_expense",'02 Dữ liệu tài chính'!$Z$5:$Z$401,0)))</f>
        <v>1000.0</v>
      </c>
      <c r="I17" s="18">
        <f>IF(INDEX('02 Dữ liệu tài chính'!$C$5:$C$401,MATCH(I$4&amp;"|income_tax_expense",'02 Dữ liệu tài chính'!$Z$5:$Z$401,0))="","–",INDEX('02 Dữ liệu tài chính'!$C$5:$C$401,MATCH(I$4&amp;"|income_tax_expense",'02 Dữ liệu tài chính'!$Z$5:$Z$401,0)))</f>
        <v>666.0</v>
      </c>
      <c r="J17" s="18">
        <f>IF(INDEX('02 Dữ liệu tài chính'!$C$5:$C$401,MATCH(J$4&amp;"|income_tax_expense",'02 Dữ liệu tài chính'!$Z$5:$Z$401,0))="","–",INDEX('02 Dữ liệu tài chính'!$C$5:$C$401,MATCH(J$4&amp;"|income_tax_expense",'02 Dữ liệu tài chính'!$Z$5:$Z$401,0)))</f>
        <v>792.0</v>
      </c>
      <c r="K17" s="17" t="s">
        <v>742</v>
      </c>
    </row>
    <row r="18" spans="1:11">
      <c r="A18" s="17" t="s">
        <v>327</v>
      </c>
      <c r="B18" s="10" t="s">
        <v>322</v>
      </c>
      <c r="C18" s="10" t="s">
        <v>83</v>
      </c>
      <c r="D18" s="18">
        <f>IF(INDEX('02 Dữ liệu tài chính'!$C$5:$C$401,MATCH(D$4&amp;"|net_income",'02 Dữ liệu tài chính'!$Z$5:$Z$401,0))="","–",INDEX('02 Dữ liệu tài chính'!$C$5:$C$401,MATCH(D$4&amp;"|net_income",'02 Dữ liệu tài chính'!$Z$5:$Z$401,0)))</f>
        <v>2539.0</v>
      </c>
      <c r="E18" s="18">
        <f>IF(INDEX('02 Dữ liệu tài chính'!$C$5:$C$401,MATCH(E$4&amp;"|net_income",'02 Dữ liệu tài chính'!$Z$5:$Z$401,0))="","–",INDEX('02 Dữ liệu tài chính'!$C$5:$C$401,MATCH(E$4&amp;"|net_income",'02 Dữ liệu tài chính'!$Z$5:$Z$401,0)))</f>
        <v>5727.0</v>
      </c>
      <c r="F18" s="18">
        <f>IF(INDEX('02 Dữ liệu tài chính'!$C$5:$C$401,MATCH(F$4&amp;"|net_income",'02 Dữ liệu tài chính'!$Z$5:$Z$401,0))="","–",INDEX('02 Dữ liệu tài chính'!$C$5:$C$401,MATCH(F$4&amp;"|net_income",'02 Dữ liệu tài chính'!$Z$5:$Z$401,0)))</f>
        <v>6046.0</v>
      </c>
      <c r="G18" s="18">
        <f>IF(INDEX('02 Dữ liệu tài chính'!$C$5:$C$401,MATCH(G$4&amp;"|net_income",'02 Dữ liệu tài chính'!$Z$5:$Z$401,0))="","–",INDEX('02 Dữ liệu tài chính'!$C$5:$C$401,MATCH(G$4&amp;"|net_income",'02 Dữ liệu tài chính'!$Z$5:$Z$401,0)))</f>
        <v>5070.0</v>
      </c>
      <c r="H18" s="18">
        <f>IF(INDEX('02 Dữ liệu tài chính'!$C$5:$C$401,MATCH(H$4&amp;"|net_income",'02 Dữ liệu tài chính'!$Z$5:$Z$401,0))="","–",INDEX('02 Dữ liệu tài chính'!$C$5:$C$401,MATCH(H$4&amp;"|net_income",'02 Dữ liệu tài chính'!$Z$5:$Z$401,0)))</f>
        <v>5700.0</v>
      </c>
      <c r="I18" s="18">
        <f>IF(INDEX('02 Dữ liệu tài chính'!$C$5:$C$401,MATCH(I$4&amp;"|net_income",'02 Dữ liệu tài chính'!$Z$5:$Z$401,0))="","–",INDEX('02 Dữ liệu tài chính'!$C$5:$C$401,MATCH(I$4&amp;"|net_income",'02 Dữ liệu tài chính'!$Z$5:$Z$401,0)))</f>
        <v>3219.0</v>
      </c>
      <c r="J18" s="18">
        <f>IF(INDEX('02 Dữ liệu tài chính'!$C$5:$C$401,MATCH(J$4&amp;"|net_income",'02 Dữ liệu tài chính'!$Z$5:$Z$401,0))="","–",INDEX('02 Dữ liệu tài chính'!$C$5:$C$401,MATCH(J$4&amp;"|net_income",'02 Dữ liệu tài chính'!$Z$5:$Z$401,0)))</f>
        <v>3108.0</v>
      </c>
      <c r="K18" s="17" t="s">
        <v>743</v>
      </c>
    </row>
    <row r="19" spans="1:11">
      <c r="A19" s="17" t="s">
        <v>349</v>
      </c>
      <c r="B19" s="10" t="s">
        <v>341</v>
      </c>
      <c r="C19" s="10" t="s">
        <v>83</v>
      </c>
      <c r="D19" s="18">
        <f>IF(INDEX('02 Dữ liệu tài chính'!$C$5:$C$401,MATCH(D$4&amp;"|inventories",'02 Dữ liệu tài chính'!$Z$5:$Z$401,0))="","–",INDEX('02 Dữ liệu tài chính'!$C$5:$C$401,MATCH(D$4&amp;"|inventories",'02 Dữ liệu tài chính'!$Z$5:$Z$401,0)))</f>
        <v>7367.0</v>
      </c>
      <c r="E19" s="18">
        <f>IF(INDEX('02 Dữ liệu tài chính'!$C$5:$C$401,MATCH(E$4&amp;"|inventories",'02 Dữ liệu tài chính'!$Z$5:$Z$401,0))="","–",INDEX('02 Dữ liệu tài chính'!$C$5:$C$401,MATCH(E$4&amp;"|inventories",'02 Dữ liệu tài chính'!$Z$5:$Z$401,0)))</f>
        <v>6854.0</v>
      </c>
      <c r="F19" s="18">
        <f>IF(INDEX('02 Dữ liệu tài chính'!$C$5:$C$401,MATCH(F$4&amp;"|inventories",'02 Dữ liệu tài chính'!$Z$5:$Z$401,0))="","–",INDEX('02 Dữ liệu tài chính'!$C$5:$C$401,MATCH(F$4&amp;"|inventories",'02 Dữ liệu tài chính'!$Z$5:$Z$401,0)))</f>
        <v>8420.0</v>
      </c>
      <c r="G19" s="18">
        <f>IF(INDEX('02 Dữ liệu tài chính'!$C$5:$C$401,MATCH(G$4&amp;"|inventories",'02 Dữ liệu tài chính'!$Z$5:$Z$401,0))="","–",INDEX('02 Dữ liệu tài chính'!$C$5:$C$401,MATCH(G$4&amp;"|inventories",'02 Dữ liệu tài chính'!$Z$5:$Z$401,0)))</f>
        <v>8454.0</v>
      </c>
      <c r="H19" s="18">
        <f>IF(INDEX('02 Dữ liệu tài chính'!$C$5:$C$401,MATCH(H$4&amp;"|inventories",'02 Dữ liệu tài chính'!$Z$5:$Z$401,0))="","–",INDEX('02 Dữ liệu tài chính'!$C$5:$C$401,MATCH(H$4&amp;"|inventories",'02 Dữ liệu tài chính'!$Z$5:$Z$401,0)))</f>
        <v>7519.0</v>
      </c>
      <c r="I19" s="18">
        <f>IF(INDEX('02 Dữ liệu tài chính'!$C$5:$C$401,MATCH(I$4&amp;"|inventories",'02 Dữ liệu tài chính'!$Z$5:$Z$401,0))="","–",INDEX('02 Dữ liệu tài chính'!$C$5:$C$401,MATCH(I$4&amp;"|inventories",'02 Dữ liệu tài chính'!$Z$5:$Z$401,0)))</f>
        <v>7489.0</v>
      </c>
      <c r="J19" s="18">
        <f>IF(INDEX('02 Dữ liệu tài chính'!$C$5:$C$401,MATCH(J$4&amp;"|inventories",'02 Dữ liệu tài chính'!$Z$5:$Z$401,0))="","–",INDEX('02 Dữ liệu tài chính'!$C$5:$C$401,MATCH(J$4&amp;"|inventories",'02 Dữ liệu tài chính'!$Z$5:$Z$401,0)))</f>
        <v>7501.0</v>
      </c>
      <c r="K19" s="17" t="s">
        <v>744</v>
      </c>
    </row>
    <row r="20" spans="1:11">
      <c r="A20" s="17" t="s">
        <v>745</v>
      </c>
      <c r="B20" s="10" t="s">
        <v>746</v>
      </c>
      <c r="C20" s="10" t="s">
        <v>83</v>
      </c>
      <c r="D20" s="18">
        <f>IF(INDEX('02 Dữ liệu tài chính'!$D$5:$D$401,MATCH(D$4&amp;"|inventories",'02 Dữ liệu tài chính'!$Z$5:$Z$401,0))="","–",INDEX('02 Dữ liệu tài chính'!$D$5:$D$401,MATCH(D$4&amp;"|inventories",'02 Dữ liệu tài chính'!$Z$5:$Z$401,0)))</f>
        <v>5622.0</v>
      </c>
      <c r="E20" s="18">
        <f>IF(INDEX('02 Dữ liệu tài chính'!$D$5:$D$401,MATCH(E$4&amp;"|inventories",'02 Dữ liệu tài chính'!$Z$5:$Z$401,0))="","–",INDEX('02 Dữ liệu tài chính'!$D$5:$D$401,MATCH(E$4&amp;"|inventories",'02 Dữ liệu tài chính'!$Z$5:$Z$401,0)))</f>
        <v>7367.0</v>
      </c>
      <c r="F20" s="18">
        <f>IF(INDEX('02 Dữ liệu tài chính'!$D$5:$D$401,MATCH(F$4&amp;"|inventories",'02 Dữ liệu tài chính'!$Z$5:$Z$401,0))="","–",INDEX('02 Dữ liệu tài chính'!$D$5:$D$401,MATCH(F$4&amp;"|inventories",'02 Dữ liệu tài chính'!$Z$5:$Z$401,0)))</f>
        <v>6854.0</v>
      </c>
      <c r="G20" s="18">
        <f>IF(INDEX('02 Dữ liệu tài chính'!$D$5:$D$401,MATCH(G$4&amp;"|inventories",'02 Dữ liệu tài chính'!$Z$5:$Z$401,0))="","–",INDEX('02 Dữ liệu tài chính'!$D$5:$D$401,MATCH(G$4&amp;"|inventories",'02 Dữ liệu tài chính'!$Z$5:$Z$401,0)))</f>
        <v>8420.0</v>
      </c>
      <c r="H20" s="18">
        <f>IF(INDEX('02 Dữ liệu tài chính'!$D$5:$D$401,MATCH(H$4&amp;"|inventories",'02 Dữ liệu tài chính'!$Z$5:$Z$401,0))="","–",INDEX('02 Dữ liệu tài chính'!$D$5:$D$401,MATCH(H$4&amp;"|inventories",'02 Dữ liệu tài chính'!$Z$5:$Z$401,0)))</f>
        <v>8454.0</v>
      </c>
      <c r="I20" s="18">
        <f>IF(INDEX('02 Dữ liệu tài chính'!$D$5:$D$401,MATCH(I$4&amp;"|inventories",'02 Dữ liệu tài chính'!$Z$5:$Z$401,0))="","–",INDEX('02 Dữ liệu tài chính'!$D$5:$D$401,MATCH(I$4&amp;"|inventories",'02 Dữ liệu tài chính'!$Z$5:$Z$401,0)))</f>
        <v>7519.0</v>
      </c>
      <c r="J20" s="18">
        <f>IF(INDEX('02 Dữ liệu tài chính'!$D$5:$D$401,MATCH(J$4&amp;"|inventories",'02 Dữ liệu tài chính'!$Z$5:$Z$401,0))="","–",INDEX('02 Dữ liệu tài chính'!$D$5:$D$401,MATCH(J$4&amp;"|inventories",'02 Dữ liệu tài chính'!$Z$5:$Z$401,0)))</f>
        <v>7489.0</v>
      </c>
      <c r="K20" s="17" t="s">
        <v>747</v>
      </c>
    </row>
    <row r="21" spans="1:11">
      <c r="A21" s="17" t="s">
        <v>379</v>
      </c>
      <c r="B21" s="10" t="s">
        <v>371</v>
      </c>
      <c r="C21" s="10" t="s">
        <v>83</v>
      </c>
      <c r="D21" s="18">
        <f>IF(INDEX('02 Dữ liệu tài chính'!$C$5:$C$401,MATCH(D$4&amp;"|ebit_reported",'02 Dữ liệu tài chính'!$Z$5:$Z$401,0))="","–",INDEX('02 Dữ liệu tài chính'!$C$5:$C$401,MATCH(D$4&amp;"|ebit_reported",'02 Dữ liệu tài chính'!$Z$5:$Z$401,0)))</f>
        <v>2976.0</v>
      </c>
      <c r="E21" s="18">
        <f>IF(INDEX('02 Dữ liệu tài chính'!$C$5:$C$401,MATCH(E$4&amp;"|ebit_reported",'02 Dữ liệu tài chính'!$Z$5:$Z$401,0))="","–",INDEX('02 Dữ liệu tài chính'!$C$5:$C$401,MATCH(E$4&amp;"|ebit_reported",'02 Dữ liệu tài chính'!$Z$5:$Z$401,0)))</f>
        <v>6923.0</v>
      </c>
      <c r="F21" s="18">
        <f>IF(INDEX('02 Dữ liệu tài chính'!$C$5:$C$401,MATCH(F$4&amp;"|ebit_reported",'02 Dữ liệu tài chính'!$Z$5:$Z$401,0))="","–",INDEX('02 Dữ liệu tài chính'!$C$5:$C$401,MATCH(F$4&amp;"|ebit_reported",'02 Dữ liệu tài chính'!$Z$5:$Z$401,0)))</f>
        <v>6856.0</v>
      </c>
      <c r="G21" s="18">
        <f>IF(INDEX('02 Dữ liệu tài chính'!$C$5:$C$401,MATCH(G$4&amp;"|ebit_reported",'02 Dữ liệu tài chính'!$Z$5:$Z$401,0))="","–",INDEX('02 Dữ liệu tài chính'!$C$5:$C$401,MATCH(G$4&amp;"|ebit_reported",'02 Dữ liệu tài chính'!$Z$5:$Z$401,0)))</f>
        <v>6195.0</v>
      </c>
      <c r="H21" s="18">
        <f>IF(INDEX('02 Dữ liệu tài chính'!$C$5:$C$401,MATCH(H$4&amp;"|ebit_reported",'02 Dữ liệu tài chính'!$Z$5:$Z$401,0))="","–",INDEX('02 Dữ liệu tài chính'!$C$5:$C$401,MATCH(H$4&amp;"|ebit_reported",'02 Dữ liệu tài chính'!$Z$5:$Z$401,0)))</f>
        <v>6539.0</v>
      </c>
      <c r="I21" s="18">
        <f>IF(INDEX('02 Dữ liệu tài chính'!$C$5:$C$401,MATCH(I$4&amp;"|ebit_reported",'02 Dữ liệu tài chính'!$Z$5:$Z$401,0))="","–",INDEX('02 Dữ liệu tài chính'!$C$5:$C$401,MATCH(I$4&amp;"|ebit_reported",'02 Dữ liệu tài chính'!$Z$5:$Z$401,0)))</f>
        <v>3778.0</v>
      </c>
      <c r="J21" s="18">
        <f>IF(INDEX('02 Dữ liệu tài chính'!$C$5:$C$401,MATCH(J$4&amp;"|ebit_reported",'02 Dữ liệu tài chính'!$Z$5:$Z$401,0))="","–",INDEX('02 Dữ liệu tài chính'!$C$5:$C$401,MATCH(J$4&amp;"|ebit_reported",'02 Dữ liệu tài chính'!$Z$5:$Z$401,0)))</f>
        <v>3850.0</v>
      </c>
      <c r="K21" s="17" t="s">
        <v>748</v>
      </c>
    </row>
    <row r="22" spans="1:11">
      <c r="A22" s="17" t="s">
        <v>403</v>
      </c>
      <c r="B22" s="10" t="s">
        <v>395</v>
      </c>
      <c r="C22" s="10" t="s">
        <v>396</v>
      </c>
      <c r="D22" s="19">
        <f>IF(INDEX('02 Dữ liệu tài chính'!$C$5:$C$401,MATCH(D$4&amp;"|revenues_pct_change_reported",'02 Dữ liệu tài chính'!$Z$5:$Z$401,0))="","–",INDEX('02 Dữ liệu tài chính'!$C$5:$C$401,MATCH(D$4&amp;"|revenues_pct_change_reported",'02 Dữ liệu tài chính'!$Z$5:$Z$401,0)))</f>
        <v>-0.04</v>
      </c>
      <c r="E22" s="19">
        <f>IF(INDEX('02 Dữ liệu tài chính'!$C$5:$C$401,MATCH(E$4&amp;"|revenues_pct_change_reported",'02 Dữ liệu tài chính'!$Z$5:$Z$401,0))="","–",INDEX('02 Dữ liệu tài chính'!$C$5:$C$401,MATCH(E$4&amp;"|revenues_pct_change_reported",'02 Dữ liệu tài chính'!$Z$5:$Z$401,0)))</f>
        <v>0.19</v>
      </c>
      <c r="F22" s="19">
        <f>IF(INDEX('02 Dữ liệu tài chính'!$C$5:$C$401,MATCH(F$4&amp;"|revenues_pct_change_reported",'02 Dữ liệu tài chính'!$Z$5:$Z$401,0))="","–",INDEX('02 Dữ liệu tài chính'!$C$5:$C$401,MATCH(F$4&amp;"|revenues_pct_change_reported",'02 Dữ liệu tài chính'!$Z$5:$Z$401,0)))</f>
        <v>0.05</v>
      </c>
      <c r="G22" s="19">
        <f>IF(INDEX('02 Dữ liệu tài chính'!$C$5:$C$401,MATCH(G$4&amp;"|revenues_pct_change_reported",'02 Dữ liệu tài chính'!$Z$5:$Z$401,0))="","–",INDEX('02 Dữ liệu tài chính'!$C$5:$C$401,MATCH(G$4&amp;"|revenues_pct_change_reported",'02 Dữ liệu tài chính'!$Z$5:$Z$401,0)))</f>
        <v>0.1</v>
      </c>
      <c r="H22" s="19">
        <f>IF(INDEX('02 Dữ liệu tài chính'!$C$5:$C$401,MATCH(H$4&amp;"|revenues_pct_change_reported",'02 Dữ liệu tài chính'!$Z$5:$Z$401,0))="","–",INDEX('02 Dữ liệu tài chính'!$C$5:$C$401,MATCH(H$4&amp;"|revenues_pct_change_reported",'02 Dữ liệu tài chính'!$Z$5:$Z$401,0)))</f>
        <v>0.0</v>
      </c>
      <c r="I22" s="19">
        <f>IF(INDEX('02 Dữ liệu tài chính'!$C$5:$C$401,MATCH(I$4&amp;"|revenues_pct_change_reported",'02 Dữ liệu tài chính'!$Z$5:$Z$401,0))="","–",INDEX('02 Dữ liệu tài chính'!$C$5:$C$401,MATCH(I$4&amp;"|revenues_pct_change_reported",'02 Dữ liệu tài chính'!$Z$5:$Z$401,0)))</f>
        <v>-0.1</v>
      </c>
      <c r="J22" s="19">
        <f>IF(INDEX('02 Dữ liệu tài chính'!$C$5:$C$401,MATCH(J$4&amp;"|revenues_pct_change_reported",'02 Dữ liệu tài chính'!$Z$5:$Z$401,0))="","–",INDEX('02 Dữ liệu tài chính'!$C$5:$C$401,MATCH(J$4&amp;"|revenues_pct_change_reported",'02 Dữ liệu tài chính'!$Z$5:$Z$401,0)))</f>
        <v>0.0</v>
      </c>
      <c r="K22" s="17" t="s">
        <v>749</v>
      </c>
    </row>
    <row r="23" spans="1:11">
      <c r="A23" s="17" t="s">
        <v>452</v>
      </c>
      <c r="B23" s="10" t="s">
        <v>443</v>
      </c>
      <c r="C23" s="10" t="s">
        <v>83</v>
      </c>
      <c r="D23" s="18">
        <f>IF(INDEX('03 Kênh phân phối'!$C$5:$C$401,MATCH(D$4&amp;"|nike_direct_revenue",'03 Kênh phân phối'!$Z$5:$Z$401,0))="","–",INDEX('03 Kênh phân phối'!$C$5:$C$401,MATCH(D$4&amp;"|nike_direct_revenue",'03 Kênh phân phối'!$Z$5:$Z$401,0)))</f>
        <v>12382.0</v>
      </c>
      <c r="E23" s="18">
        <f>IF(INDEX('03 Kênh phân phối'!$C$5:$C$401,MATCH(E$4&amp;"|nike_direct_revenue",'03 Kênh phân phối'!$Z$5:$Z$401,0))="","–",INDEX('03 Kênh phân phối'!$C$5:$C$401,MATCH(E$4&amp;"|nike_direct_revenue",'03 Kênh phân phối'!$Z$5:$Z$401,0)))</f>
        <v>16370.0</v>
      </c>
      <c r="F23" s="18">
        <f>IF(INDEX('03 Kênh phân phối'!$C$5:$C$401,MATCH(F$4&amp;"|nike_direct_revenue",'03 Kênh phân phối'!$Z$5:$Z$401,0))="","–",INDEX('03 Kênh phân phối'!$C$5:$C$401,MATCH(F$4&amp;"|nike_direct_revenue",'03 Kênh phân phối'!$Z$5:$Z$401,0)))</f>
        <v>18726.0</v>
      </c>
      <c r="G23" s="18">
        <f>IF(INDEX('03 Kênh phân phối'!$C$5:$C$401,MATCH(G$4&amp;"|nike_direct_revenue",'03 Kênh phân phối'!$Z$5:$Z$401,0))="","–",INDEX('03 Kênh phân phối'!$C$5:$C$401,MATCH(G$4&amp;"|nike_direct_revenue",'03 Kênh phân phối'!$Z$5:$Z$401,0)))</f>
        <v>21308.0</v>
      </c>
      <c r="H23" s="18">
        <f>IF(INDEX('03 Kênh phân phối'!$C$5:$C$401,MATCH(H$4&amp;"|nike_direct_revenue",'03 Kênh phân phối'!$Z$5:$Z$401,0))="","–",INDEX('03 Kênh phân phối'!$C$5:$C$401,MATCH(H$4&amp;"|nike_direct_revenue",'03 Kênh phân phối'!$Z$5:$Z$401,0)))</f>
        <v>21519.0</v>
      </c>
      <c r="I23" s="18">
        <f>IF(INDEX('03 Kênh phân phối'!$C$5:$C$401,MATCH(I$4&amp;"|nike_direct_revenue",'03 Kênh phân phối'!$Z$5:$Z$401,0))="","–",INDEX('03 Kênh phân phối'!$C$5:$C$401,MATCH(I$4&amp;"|nike_direct_revenue",'03 Kênh phân phối'!$Z$5:$Z$401,0)))</f>
        <v>18783.0</v>
      </c>
      <c r="J23" s="18">
        <f>IF(INDEX('03 Kênh phân phối'!$C$5:$C$401,MATCH(J$4&amp;"|nike_direct_revenue",'03 Kênh phân phối'!$Z$5:$Z$401,0))="","–",INDEX('03 Kênh phân phối'!$C$5:$C$401,MATCH(J$4&amp;"|nike_direct_revenue",'03 Kênh phân phối'!$Z$5:$Z$401,0)))</f>
        <v>17720.0</v>
      </c>
      <c r="K23" s="17" t="s">
        <v>750</v>
      </c>
    </row>
    <row r="24" spans="1:11">
      <c r="A24" s="17" t="s">
        <v>751</v>
      </c>
      <c r="B24" s="10" t="s">
        <v>752</v>
      </c>
      <c r="C24" s="10" t="s">
        <v>83</v>
      </c>
      <c r="D24" s="18">
        <f>IF(INDEX('03 Kênh phân phối'!$D$5:$D$401,MATCH(D$4&amp;"|nike_direct_revenue",'03 Kênh phân phối'!$Z$5:$Z$401,0))="","–",INDEX('03 Kênh phân phối'!$D$5:$D$401,MATCH(D$4&amp;"|nike_direct_revenue",'03 Kênh phân phối'!$Z$5:$Z$401,0)))</f>
        <v>11753.0</v>
      </c>
      <c r="E24" s="18">
        <f>IF(INDEX('03 Kênh phân phối'!$D$5:$D$401,MATCH(E$4&amp;"|nike_direct_revenue",'03 Kênh phân phối'!$Z$5:$Z$401,0))="","–",INDEX('03 Kênh phân phối'!$D$5:$D$401,MATCH(E$4&amp;"|nike_direct_revenue",'03 Kênh phân phối'!$Z$5:$Z$401,0)))</f>
        <v>12382.0</v>
      </c>
      <c r="F24" s="18">
        <f>IF(INDEX('03 Kênh phân phối'!$D$5:$D$401,MATCH(F$4&amp;"|nike_direct_revenue",'03 Kênh phân phối'!$Z$5:$Z$401,0))="","–",INDEX('03 Kênh phân phối'!$D$5:$D$401,MATCH(F$4&amp;"|nike_direct_revenue",'03 Kênh phân phối'!$Z$5:$Z$401,0)))</f>
        <v>16370.0</v>
      </c>
      <c r="G24" s="18">
        <f>IF(INDEX('03 Kênh phân phối'!$D$5:$D$401,MATCH(G$4&amp;"|nike_direct_revenue",'03 Kênh phân phối'!$Z$5:$Z$401,0))="","–",INDEX('03 Kênh phân phối'!$D$5:$D$401,MATCH(G$4&amp;"|nike_direct_revenue",'03 Kênh phân phối'!$Z$5:$Z$401,0)))</f>
        <v>18726.0</v>
      </c>
      <c r="H24" s="18">
        <f>IF(INDEX('03 Kênh phân phối'!$D$5:$D$401,MATCH(H$4&amp;"|nike_direct_revenue",'03 Kênh phân phối'!$Z$5:$Z$401,0))="","–",INDEX('03 Kênh phân phối'!$D$5:$D$401,MATCH(H$4&amp;"|nike_direct_revenue",'03 Kênh phân phối'!$Z$5:$Z$401,0)))</f>
        <v>21308.0</v>
      </c>
      <c r="I24" s="18">
        <f>IF(INDEX('03 Kênh phân phối'!$D$5:$D$401,MATCH(I$4&amp;"|nike_direct_revenue",'03 Kênh phân phối'!$Z$5:$Z$401,0))="","–",INDEX('03 Kênh phân phối'!$D$5:$D$401,MATCH(I$4&amp;"|nike_direct_revenue",'03 Kênh phân phối'!$Z$5:$Z$401,0)))</f>
        <v>21519.0</v>
      </c>
      <c r="J24" s="18">
        <f>IF(INDEX('03 Kênh phân phối'!$D$5:$D$401,MATCH(J$4&amp;"|nike_direct_revenue",'03 Kênh phân phối'!$Z$5:$Z$401,0))="","–",INDEX('03 Kênh phân phối'!$D$5:$D$401,MATCH(J$4&amp;"|nike_direct_revenue",'03 Kênh phân phối'!$Z$5:$Z$401,0)))</f>
        <v>18783.0</v>
      </c>
      <c r="K24" s="17" t="s">
        <v>753</v>
      </c>
    </row>
    <row r="25" spans="1:11">
      <c r="A25" s="17" t="s">
        <v>476</v>
      </c>
      <c r="B25" s="10" t="s">
        <v>470</v>
      </c>
      <c r="C25" s="10" t="s">
        <v>83</v>
      </c>
      <c r="D25" s="18">
        <f>IF(INDEX('03 Kênh phân phối'!$C$5:$C$401,MATCH(D$4&amp;"|nike_brand_wholesale_revenue",'03 Kênh phân phối'!$Z$5:$Z$401,0))="","–",INDEX('03 Kênh phân phối'!$C$5:$C$401,MATCH(D$4&amp;"|nike_brand_wholesale_revenue",'03 Kênh phân phối'!$Z$5:$Z$401,0)))</f>
        <v>23156.0</v>
      </c>
      <c r="E25" s="18">
        <f>IF(INDEX('03 Kênh phân phối'!$C$5:$C$401,MATCH(E$4&amp;"|nike_brand_wholesale_revenue",'03 Kênh phân phối'!$Z$5:$Z$401,0))="","–",INDEX('03 Kênh phân phối'!$C$5:$C$401,MATCH(E$4&amp;"|nike_brand_wholesale_revenue",'03 Kênh phân phối'!$Z$5:$Z$401,0)))</f>
        <v>25898.0</v>
      </c>
      <c r="F25" s="18">
        <f>IF(INDEX('03 Kênh phân phối'!$C$5:$C$401,MATCH(F$4&amp;"|nike_brand_wholesale_revenue",'03 Kênh phân phối'!$Z$5:$Z$401,0))="","–",INDEX('03 Kênh phân phối'!$C$5:$C$401,MATCH(F$4&amp;"|nike_brand_wholesale_revenue",'03 Kênh phân phối'!$Z$5:$Z$401,0)))</f>
        <v>25608.0</v>
      </c>
      <c r="G25" s="18">
        <f>IF(INDEX('03 Kênh phân phối'!$C$5:$C$401,MATCH(G$4&amp;"|nike_brand_wholesale_revenue",'03 Kênh phân phối'!$Z$5:$Z$401,0))="","–",INDEX('03 Kênh phân phối'!$C$5:$C$401,MATCH(G$4&amp;"|nike_brand_wholesale_revenue",'03 Kênh phân phối'!$Z$5:$Z$401,0)))</f>
        <v>27397.0</v>
      </c>
      <c r="H25" s="18">
        <f>IF(INDEX('03 Kênh phân phối'!$C$5:$C$401,MATCH(H$4&amp;"|nike_brand_wholesale_revenue",'03 Kênh phân phối'!$Z$5:$Z$401,0))="","–",INDEX('03 Kênh phân phối'!$C$5:$C$401,MATCH(H$4&amp;"|nike_brand_wholesale_revenue",'03 Kênh phân phối'!$Z$5:$Z$401,0)))</f>
        <v>27758.0</v>
      </c>
      <c r="I25" s="18">
        <f>IF(INDEX('03 Kênh phân phối'!$C$5:$C$401,MATCH(I$4&amp;"|nike_brand_wholesale_revenue",'03 Kênh phân phối'!$Z$5:$Z$401,0))="","–",INDEX('03 Kênh phân phối'!$C$5:$C$401,MATCH(I$4&amp;"|nike_brand_wholesale_revenue",'03 Kênh phân phối'!$Z$5:$Z$401,0)))</f>
        <v>25883.0</v>
      </c>
      <c r="J25" s="18">
        <f>IF(INDEX('03 Kênh phân phối'!$C$5:$C$401,MATCH(J$4&amp;"|nike_brand_wholesale_revenue",'03 Kênh phân phối'!$Z$5:$Z$401,0))="","–",INDEX('03 Kênh phân phối'!$C$5:$C$401,MATCH(J$4&amp;"|nike_brand_wholesale_revenue",'03 Kênh phân phối'!$Z$5:$Z$401,0)))</f>
        <v>27453.0</v>
      </c>
      <c r="K25" s="17" t="s">
        <v>754</v>
      </c>
    </row>
    <row r="26" spans="1:11">
      <c r="A26" s="17" t="s">
        <v>755</v>
      </c>
      <c r="B26" s="10" t="s">
        <v>756</v>
      </c>
      <c r="C26" s="10" t="s">
        <v>83</v>
      </c>
      <c r="D26" s="18">
        <f>IF(INDEX('03 Kênh phân phối'!$D$5:$D$401,MATCH(D$4&amp;"|nike_brand_wholesale_revenue",'03 Kênh phân phối'!$Z$5:$Z$401,0))="","–",INDEX('03 Kênh phân phối'!$D$5:$D$401,MATCH(D$4&amp;"|nike_brand_wholesale_revenue",'03 Kênh phân phối'!$Z$5:$Z$401,0)))</f>
        <v>25423.0</v>
      </c>
      <c r="E26" s="18">
        <f>IF(INDEX('03 Kênh phân phối'!$D$5:$D$401,MATCH(E$4&amp;"|nike_brand_wholesale_revenue",'03 Kênh phân phối'!$Z$5:$Z$401,0))="","–",INDEX('03 Kênh phân phối'!$D$5:$D$401,MATCH(E$4&amp;"|nike_brand_wholesale_revenue",'03 Kênh phân phối'!$Z$5:$Z$401,0)))</f>
        <v>23156.0</v>
      </c>
      <c r="F26" s="18">
        <f>IF(INDEX('03 Kênh phân phối'!$D$5:$D$401,MATCH(F$4&amp;"|nike_brand_wholesale_revenue",'03 Kênh phân phối'!$Z$5:$Z$401,0))="","–",INDEX('03 Kênh phân phối'!$D$5:$D$401,MATCH(F$4&amp;"|nike_brand_wholesale_revenue",'03 Kênh phân phối'!$Z$5:$Z$401,0)))</f>
        <v>25898.0</v>
      </c>
      <c r="G26" s="18">
        <f>IF(INDEX('03 Kênh phân phối'!$D$5:$D$401,MATCH(G$4&amp;"|nike_brand_wholesale_revenue",'03 Kênh phân phối'!$Z$5:$Z$401,0))="","–",INDEX('03 Kênh phân phối'!$D$5:$D$401,MATCH(G$4&amp;"|nike_brand_wholesale_revenue",'03 Kênh phân phối'!$Z$5:$Z$401,0)))</f>
        <v>25608.0</v>
      </c>
      <c r="H26" s="18">
        <f>IF(INDEX('03 Kênh phân phối'!$D$5:$D$401,MATCH(H$4&amp;"|nike_brand_wholesale_revenue",'03 Kênh phân phối'!$Z$5:$Z$401,0))="","–",INDEX('03 Kênh phân phối'!$D$5:$D$401,MATCH(H$4&amp;"|nike_brand_wholesale_revenue",'03 Kênh phân phối'!$Z$5:$Z$401,0)))</f>
        <v>27397.0</v>
      </c>
      <c r="I26" s="18">
        <f>IF(INDEX('03 Kênh phân phối'!$D$5:$D$401,MATCH(I$4&amp;"|nike_brand_wholesale_revenue",'03 Kênh phân phối'!$Z$5:$Z$401,0))="","–",INDEX('03 Kênh phân phối'!$D$5:$D$401,MATCH(I$4&amp;"|nike_brand_wholesale_revenue",'03 Kênh phân phối'!$Z$5:$Z$401,0)))</f>
        <v>27758.0</v>
      </c>
      <c r="J26" s="18">
        <f>IF(INDEX('03 Kênh phân phối'!$D$5:$D$401,MATCH(J$4&amp;"|nike_brand_wholesale_revenue",'03 Kênh phân phối'!$Z$5:$Z$401,0))="","–",INDEX('03 Kênh phân phối'!$D$5:$D$401,MATCH(J$4&amp;"|nike_brand_wholesale_revenue",'03 Kênh phân phối'!$Z$5:$Z$401,0)))</f>
        <v>25883.0</v>
      </c>
      <c r="K26" s="17" t="s">
        <v>757</v>
      </c>
    </row>
    <row r="27" spans="1:11">
      <c r="A27" s="17" t="s">
        <v>496</v>
      </c>
      <c r="B27" s="10" t="s">
        <v>490</v>
      </c>
      <c r="C27" s="10" t="s">
        <v>83</v>
      </c>
      <c r="D27" s="18">
        <f>IF(INDEX('03 Kênh phân phối'!$C$5:$C$401,MATCH(D$4&amp;"|global_brand_divisions_revenue",'03 Kênh phân phối'!$Z$5:$Z$401,0))="","–",INDEX('03 Kênh phân phối'!$C$5:$C$401,MATCH(D$4&amp;"|global_brand_divisions_revenue",'03 Kênh phân phối'!$Z$5:$Z$401,0)))</f>
        <v>30.0</v>
      </c>
      <c r="E27" s="18">
        <f>IF(INDEX('03 Kênh phân phối'!$C$5:$C$401,MATCH(E$4&amp;"|global_brand_divisions_revenue",'03 Kênh phân phối'!$Z$5:$Z$401,0))="","–",INDEX('03 Kênh phân phối'!$C$5:$C$401,MATCH(E$4&amp;"|global_brand_divisions_revenue",'03 Kênh phân phối'!$Z$5:$Z$401,0)))</f>
        <v>25.0</v>
      </c>
      <c r="F27" s="18">
        <f>IF(INDEX('03 Kênh phân phối'!$C$5:$C$401,MATCH(F$4&amp;"|global_brand_divisions_revenue",'03 Kênh phân phối'!$Z$5:$Z$401,0))="","–",INDEX('03 Kênh phân phối'!$C$5:$C$401,MATCH(F$4&amp;"|global_brand_divisions_revenue",'03 Kênh phân phối'!$Z$5:$Z$401,0)))</f>
        <v>102.0</v>
      </c>
      <c r="G27" s="18">
        <f>IF(INDEX('03 Kênh phân phối'!$C$5:$C$401,MATCH(G$4&amp;"|global_brand_divisions_revenue",'03 Kênh phân phối'!$Z$5:$Z$401,0))="","–",INDEX('03 Kênh phân phối'!$C$5:$C$401,MATCH(G$4&amp;"|global_brand_divisions_revenue",'03 Kênh phân phối'!$Z$5:$Z$401,0)))</f>
        <v>58.0</v>
      </c>
      <c r="H27" s="18">
        <f>IF(INDEX('03 Kênh phân phối'!$C$5:$C$401,MATCH(H$4&amp;"|global_brand_divisions_revenue",'03 Kênh phân phối'!$Z$5:$Z$401,0))="","–",INDEX('03 Kênh phân phối'!$C$5:$C$401,MATCH(H$4&amp;"|global_brand_divisions_revenue",'03 Kênh phân phối'!$Z$5:$Z$401,0)))</f>
        <v>45.0</v>
      </c>
      <c r="I27" s="18">
        <f>IF(INDEX('03 Kênh phân phối'!$C$5:$C$401,MATCH(I$4&amp;"|global_brand_divisions_revenue",'03 Kênh phân phối'!$Z$5:$Z$401,0))="","–",INDEX('03 Kênh phân phối'!$C$5:$C$401,MATCH(I$4&amp;"|global_brand_divisions_revenue",'03 Kênh phân phối'!$Z$5:$Z$401,0)))</f>
        <v>48.0</v>
      </c>
      <c r="J27" s="18">
        <f>IF(INDEX('03 Kênh phân phối'!$C$5:$C$401,MATCH(J$4&amp;"|global_brand_divisions_revenue",'03 Kênh phân phối'!$Z$5:$Z$401,0))="","–",INDEX('03 Kênh phân phối'!$C$5:$C$401,MATCH(J$4&amp;"|global_brand_divisions_revenue",'03 Kênh phân phối'!$Z$5:$Z$401,0)))</f>
        <v>49.0</v>
      </c>
      <c r="K27" s="17" t="s">
        <v>758</v>
      </c>
    </row>
    <row r="28" spans="1:11">
      <c r="A28" s="17" t="s">
        <v>516</v>
      </c>
      <c r="B28" s="10" t="s">
        <v>510</v>
      </c>
      <c r="C28" s="10" t="s">
        <v>83</v>
      </c>
      <c r="D28" s="18">
        <f>IF(INDEX('03 Kênh phân phối'!$C$5:$C$401,MATCH(D$4&amp;"|nike_brand_revenue",'03 Kênh phân phối'!$Z$5:$Z$401,0))="","–",INDEX('03 Kênh phân phối'!$C$5:$C$401,MATCH(D$4&amp;"|nike_brand_revenue",'03 Kênh phân phối'!$Z$5:$Z$401,0)))</f>
        <v>35568.0</v>
      </c>
      <c r="E28" s="18">
        <f>IF(INDEX('03 Kênh phân phối'!$C$5:$C$401,MATCH(E$4&amp;"|nike_brand_revenue",'03 Kênh phân phối'!$Z$5:$Z$401,0))="","–",INDEX('03 Kênh phân phối'!$C$5:$C$401,MATCH(E$4&amp;"|nike_brand_revenue",'03 Kênh phân phối'!$Z$5:$Z$401,0)))</f>
        <v>42293.0</v>
      </c>
      <c r="F28" s="18">
        <f>IF(INDEX('03 Kênh phân phối'!$C$5:$C$401,MATCH(F$4&amp;"|nike_brand_revenue",'03 Kênh phân phối'!$Z$5:$Z$401,0))="","–",INDEX('03 Kênh phân phối'!$C$5:$C$401,MATCH(F$4&amp;"|nike_brand_revenue",'03 Kênh phân phối'!$Z$5:$Z$401,0)))</f>
        <v>44436.0</v>
      </c>
      <c r="G28" s="18">
        <f>IF(INDEX('03 Kênh phân phối'!$C$5:$C$401,MATCH(G$4&amp;"|nike_brand_revenue",'03 Kênh phân phối'!$Z$5:$Z$401,0))="","–",INDEX('03 Kênh phân phối'!$C$5:$C$401,MATCH(G$4&amp;"|nike_brand_revenue",'03 Kênh phân phối'!$Z$5:$Z$401,0)))</f>
        <v>48763.0</v>
      </c>
      <c r="H28" s="18">
        <f>IF(INDEX('03 Kênh phân phối'!$C$5:$C$401,MATCH(H$4&amp;"|nike_brand_revenue",'03 Kênh phân phối'!$Z$5:$Z$401,0))="","–",INDEX('03 Kênh phân phối'!$C$5:$C$401,MATCH(H$4&amp;"|nike_brand_revenue",'03 Kênh phân phối'!$Z$5:$Z$401,0)))</f>
        <v>49322.0</v>
      </c>
      <c r="I28" s="18">
        <f>IF(INDEX('03 Kênh phân phối'!$C$5:$C$401,MATCH(I$4&amp;"|nike_brand_revenue",'03 Kênh phân phối'!$Z$5:$Z$401,0))="","–",INDEX('03 Kênh phân phối'!$C$5:$C$401,MATCH(I$4&amp;"|nike_brand_revenue",'03 Kênh phân phối'!$Z$5:$Z$401,0)))</f>
        <v>44714.0</v>
      </c>
      <c r="J28" s="18">
        <f>IF(INDEX('03 Kênh phân phối'!$C$5:$C$401,MATCH(J$4&amp;"|nike_brand_revenue",'03 Kênh phân phối'!$Z$5:$Z$401,0))="","–",INDEX('03 Kênh phân phối'!$C$5:$C$401,MATCH(J$4&amp;"|nike_brand_revenue",'03 Kênh phân phối'!$Z$5:$Z$401,0)))</f>
        <v>45222.0</v>
      </c>
      <c r="K28" s="17" t="s">
        <v>759</v>
      </c>
    </row>
    <row r="29" spans="1:11">
      <c r="A29" s="17" t="s">
        <v>760</v>
      </c>
      <c r="B29" s="10" t="s">
        <v>761</v>
      </c>
      <c r="C29" s="10" t="s">
        <v>83</v>
      </c>
      <c r="D29" s="18">
        <f>IF(INDEX('03 Kênh phân phối'!$D$5:$D$401,MATCH(D$4&amp;"|nike_brand_revenue",'03 Kênh phân phối'!$Z$5:$Z$401,0))="","–",INDEX('03 Kênh phân phối'!$D$5:$D$401,MATCH(D$4&amp;"|nike_brand_revenue",'03 Kênh phân phối'!$Z$5:$Z$401,0)))</f>
        <v>37218.0</v>
      </c>
      <c r="E29" s="18">
        <f>IF(INDEX('03 Kênh phân phối'!$D$5:$D$401,MATCH(E$4&amp;"|nike_brand_revenue",'03 Kênh phân phối'!$Z$5:$Z$401,0))="","–",INDEX('03 Kênh phân phối'!$D$5:$D$401,MATCH(E$4&amp;"|nike_brand_revenue",'03 Kênh phân phối'!$Z$5:$Z$401,0)))</f>
        <v>35568.0</v>
      </c>
      <c r="F29" s="18">
        <f>IF(INDEX('03 Kênh phân phối'!$D$5:$D$401,MATCH(F$4&amp;"|nike_brand_revenue",'03 Kênh phân phối'!$Z$5:$Z$401,0))="","–",INDEX('03 Kênh phân phối'!$D$5:$D$401,MATCH(F$4&amp;"|nike_brand_revenue",'03 Kênh phân phối'!$Z$5:$Z$401,0)))</f>
        <v>42293.0</v>
      </c>
      <c r="G29" s="18">
        <f>IF(INDEX('03 Kênh phân phối'!$D$5:$D$401,MATCH(G$4&amp;"|nike_brand_revenue",'03 Kênh phân phối'!$Z$5:$Z$401,0))="","–",INDEX('03 Kênh phân phối'!$D$5:$D$401,MATCH(G$4&amp;"|nike_brand_revenue",'03 Kênh phân phối'!$Z$5:$Z$401,0)))</f>
        <v>44436.0</v>
      </c>
      <c r="H29" s="18">
        <f>IF(INDEX('03 Kênh phân phối'!$D$5:$D$401,MATCH(H$4&amp;"|nike_brand_revenue",'03 Kênh phân phối'!$Z$5:$Z$401,0))="","–",INDEX('03 Kênh phân phối'!$D$5:$D$401,MATCH(H$4&amp;"|nike_brand_revenue",'03 Kênh phân phối'!$Z$5:$Z$401,0)))</f>
        <v>48763.0</v>
      </c>
      <c r="I29" s="18">
        <f>IF(INDEX('03 Kênh phân phối'!$D$5:$D$401,MATCH(I$4&amp;"|nike_brand_revenue",'03 Kênh phân phối'!$Z$5:$Z$401,0))="","–",INDEX('03 Kênh phân phối'!$D$5:$D$401,MATCH(I$4&amp;"|nike_brand_revenue",'03 Kênh phân phối'!$Z$5:$Z$401,0)))</f>
        <v>49322.0</v>
      </c>
      <c r="J29" s="18">
        <f>IF(INDEX('03 Kênh phân phối'!$D$5:$D$401,MATCH(J$4&amp;"|nike_brand_revenue",'03 Kênh phân phối'!$Z$5:$Z$401,0))="","–",INDEX('03 Kênh phân phối'!$D$5:$D$401,MATCH(J$4&amp;"|nike_brand_revenue",'03 Kênh phân phối'!$Z$5:$Z$401,0)))</f>
        <v>44714.0</v>
      </c>
      <c r="K29" s="17" t="s">
        <v>762</v>
      </c>
    </row>
    <row r="30" spans="1:11">
      <c r="A30" s="17" t="s">
        <v>536</v>
      </c>
      <c r="B30" s="10" t="s">
        <v>530</v>
      </c>
      <c r="C30" s="10" t="s">
        <v>83</v>
      </c>
      <c r="D30" s="18">
        <f>IF(INDEX('03 Kênh phân phối'!$C$5:$C$401,MATCH(D$4&amp;"|converse_revenue",'03 Kênh phân phối'!$Z$5:$Z$401,0))="","–",INDEX('03 Kênh phân phối'!$C$5:$C$401,MATCH(D$4&amp;"|converse_revenue",'03 Kênh phân phối'!$Z$5:$Z$401,0)))</f>
        <v>1846.0</v>
      </c>
      <c r="E30" s="18">
        <f>IF(INDEX('03 Kênh phân phối'!$C$5:$C$401,MATCH(E$4&amp;"|converse_revenue",'03 Kênh phân phối'!$Z$5:$Z$401,0))="","–",INDEX('03 Kênh phân phối'!$C$5:$C$401,MATCH(E$4&amp;"|converse_revenue",'03 Kênh phân phối'!$Z$5:$Z$401,0)))</f>
        <v>2205.0</v>
      </c>
      <c r="F30" s="18">
        <f>IF(INDEX('03 Kênh phân phối'!$C$5:$C$401,MATCH(F$4&amp;"|converse_revenue",'03 Kênh phân phối'!$Z$5:$Z$401,0))="","–",INDEX('03 Kênh phân phối'!$C$5:$C$401,MATCH(F$4&amp;"|converse_revenue",'03 Kênh phân phối'!$Z$5:$Z$401,0)))</f>
        <v>2346.0</v>
      </c>
      <c r="G30" s="18">
        <f>IF(INDEX('03 Kênh phân phối'!$C$5:$C$401,MATCH(G$4&amp;"|converse_revenue",'03 Kênh phân phối'!$Z$5:$Z$401,0))="","–",INDEX('03 Kênh phân phối'!$C$5:$C$401,MATCH(G$4&amp;"|converse_revenue",'03 Kênh phân phối'!$Z$5:$Z$401,0)))</f>
        <v>2427.0</v>
      </c>
      <c r="H30" s="18">
        <f>IF(INDEX('03 Kênh phân phối'!$C$5:$C$401,MATCH(H$4&amp;"|converse_revenue",'03 Kênh phân phối'!$Z$5:$Z$401,0))="","–",INDEX('03 Kênh phân phối'!$C$5:$C$401,MATCH(H$4&amp;"|converse_revenue",'03 Kênh phân phối'!$Z$5:$Z$401,0)))</f>
        <v>2082.0</v>
      </c>
      <c r="I30" s="18">
        <f>IF(INDEX('03 Kênh phân phối'!$C$5:$C$401,MATCH(I$4&amp;"|converse_revenue",'03 Kênh phân phối'!$Z$5:$Z$401,0))="","–",INDEX('03 Kênh phân phối'!$C$5:$C$401,MATCH(I$4&amp;"|converse_revenue",'03 Kênh phân phối'!$Z$5:$Z$401,0)))</f>
        <v>1692.0</v>
      </c>
      <c r="J30" s="18">
        <f>IF(INDEX('03 Kênh phân phối'!$C$5:$C$401,MATCH(J$4&amp;"|converse_revenue",'03 Kênh phân phối'!$Z$5:$Z$401,0))="","–",INDEX('03 Kênh phân phối'!$C$5:$C$401,MATCH(J$4&amp;"|converse_revenue",'03 Kênh phân phối'!$Z$5:$Z$401,0)))</f>
        <v>1174.0</v>
      </c>
      <c r="K30" s="17" t="s">
        <v>763</v>
      </c>
    </row>
    <row r="31" spans="1:11">
      <c r="A31" s="17" t="s">
        <v>556</v>
      </c>
      <c r="B31" s="10" t="s">
        <v>550</v>
      </c>
      <c r="C31" s="10" t="s">
        <v>83</v>
      </c>
      <c r="D31" s="18">
        <f>IF(INDEX('03 Kênh phân phối'!$C$5:$C$401,MATCH(D$4&amp;"|corporate_revenue",'03 Kênh phân phối'!$Z$5:$Z$401,0))="","–",INDEX('03 Kênh phân phối'!$C$5:$C$401,MATCH(D$4&amp;"|corporate_revenue",'03 Kênh phân phối'!$Z$5:$Z$401,0)))</f>
        <v>-11.0</v>
      </c>
      <c r="E31" s="18">
        <f>IF(INDEX('03 Kênh phân phối'!$C$5:$C$401,MATCH(E$4&amp;"|corporate_revenue",'03 Kênh phân phối'!$Z$5:$Z$401,0))="","–",INDEX('03 Kênh phân phối'!$C$5:$C$401,MATCH(E$4&amp;"|corporate_revenue",'03 Kênh phân phối'!$Z$5:$Z$401,0)))</f>
        <v>40.0</v>
      </c>
      <c r="F31" s="18">
        <f>IF(INDEX('03 Kênh phân phối'!$C$5:$C$401,MATCH(F$4&amp;"|corporate_revenue",'03 Kênh phân phối'!$Z$5:$Z$401,0))="","–",INDEX('03 Kênh phân phối'!$C$5:$C$401,MATCH(F$4&amp;"|corporate_revenue",'03 Kênh phân phối'!$Z$5:$Z$401,0)))</f>
        <v>-72.0</v>
      </c>
      <c r="G31" s="18">
        <f>IF(INDEX('03 Kênh phân phối'!$C$5:$C$401,MATCH(G$4&amp;"|corporate_revenue",'03 Kênh phân phối'!$Z$5:$Z$401,0))="","–",INDEX('03 Kênh phân phối'!$C$5:$C$401,MATCH(G$4&amp;"|corporate_revenue",'03 Kênh phân phối'!$Z$5:$Z$401,0)))</f>
        <v>27.0</v>
      </c>
      <c r="H31" s="18">
        <f>IF(INDEX('03 Kênh phân phối'!$C$5:$C$401,MATCH(H$4&amp;"|corporate_revenue",'03 Kênh phân phối'!$Z$5:$Z$401,0))="","–",INDEX('03 Kênh phân phối'!$C$5:$C$401,MATCH(H$4&amp;"|corporate_revenue",'03 Kênh phân phối'!$Z$5:$Z$401,0)))</f>
        <v>-42.0</v>
      </c>
      <c r="I31" s="18">
        <f>IF(INDEX('03 Kênh phân phối'!$C$5:$C$401,MATCH(I$4&amp;"|corporate_revenue",'03 Kênh phân phối'!$Z$5:$Z$401,0))="","–",INDEX('03 Kênh phân phối'!$C$5:$C$401,MATCH(I$4&amp;"|corporate_revenue",'03 Kênh phân phối'!$Z$5:$Z$401,0)))</f>
        <v>-97.0</v>
      </c>
      <c r="J31" s="18">
        <f>IF(INDEX('03 Kênh phân phối'!$C$5:$C$401,MATCH(J$4&amp;"|corporate_revenue",'03 Kênh phân phối'!$Z$5:$Z$401,0))="","–",INDEX('03 Kênh phân phối'!$C$5:$C$401,MATCH(J$4&amp;"|corporate_revenue",'03 Kênh phân phối'!$Z$5:$Z$401,0)))</f>
        <v>2.0</v>
      </c>
      <c r="K31" s="17" t="s">
        <v>764</v>
      </c>
    </row>
    <row r="32" spans="1:11">
      <c r="A32" s="17" t="s">
        <v>578</v>
      </c>
      <c r="B32" s="10" t="s">
        <v>570</v>
      </c>
      <c r="C32" s="10" t="s">
        <v>571</v>
      </c>
      <c r="D32" s="20">
        <f>IF(INDEX('03 Kênh phân phối'!$C$5:$C$401,MATCH(D$4&amp;"|nike_brand_digital_sales",'03 Kênh phân phối'!$Z$5:$Z$401,0))="","–",INDEX('03 Kênh phân phối'!$C$5:$C$401,MATCH(D$4&amp;"|nike_brand_digital_sales",'03 Kênh phân phối'!$Z$5:$Z$401,0)))</f>
        <v>5.5</v>
      </c>
      <c r="E32" s="20">
        <f>IF(INDEX('03 Kênh phân phối'!$C$5:$C$401,MATCH(E$4&amp;"|nike_brand_digital_sales",'03 Kênh phân phối'!$Z$5:$Z$401,0))="","–",INDEX('03 Kênh phân phối'!$C$5:$C$401,MATCH(E$4&amp;"|nike_brand_digital_sales",'03 Kênh phân phối'!$Z$5:$Z$401,0)))</f>
        <v>9.1</v>
      </c>
      <c r="F32" s="20">
        <f>IF(INDEX('03 Kênh phân phối'!$C$5:$C$401,MATCH(F$4&amp;"|nike_brand_digital_sales",'03 Kênh phân phối'!$Z$5:$Z$401,0))="","–",INDEX('03 Kênh phân phối'!$C$5:$C$401,MATCH(F$4&amp;"|nike_brand_digital_sales",'03 Kênh phân phối'!$Z$5:$Z$401,0)))</f>
        <v>10.7</v>
      </c>
      <c r="G32" s="20">
        <f>IF(INDEX('03 Kênh phân phối'!$C$5:$C$401,MATCH(G$4&amp;"|nike_brand_digital_sales",'03 Kênh phân phối'!$Z$5:$Z$401,0))="","–",INDEX('03 Kênh phân phối'!$C$5:$C$401,MATCH(G$4&amp;"|nike_brand_digital_sales",'03 Kênh phân phối'!$Z$5:$Z$401,0)))</f>
        <v>12.6</v>
      </c>
      <c r="H32" s="20">
        <f>IF(INDEX('03 Kênh phân phối'!$C$5:$C$401,MATCH(H$4&amp;"|nike_brand_digital_sales",'03 Kênh phân phối'!$Z$5:$Z$401,0))="","–",INDEX('03 Kênh phân phối'!$C$5:$C$401,MATCH(H$4&amp;"|nike_brand_digital_sales",'03 Kênh phân phối'!$Z$5:$Z$401,0)))</f>
        <v>12.1</v>
      </c>
      <c r="I32" s="20">
        <f>IF(INDEX('03 Kênh phân phối'!$C$5:$C$401,MATCH(I$4&amp;"|nike_brand_digital_sales",'03 Kênh phân phối'!$Z$5:$Z$401,0))="","–",INDEX('03 Kênh phân phối'!$C$5:$C$401,MATCH(I$4&amp;"|nike_brand_digital_sales",'03 Kênh phân phối'!$Z$5:$Z$401,0)))</f>
        <v>9.6</v>
      </c>
      <c r="J32" s="20">
        <f>IF(INDEX('03 Kênh phân phối'!$C$5:$C$401,MATCH(J$4&amp;"|nike_brand_digital_sales",'03 Kênh phân phối'!$Z$5:$Z$401,0))="","–",INDEX('03 Kênh phân phối'!$C$5:$C$401,MATCH(J$4&amp;"|nike_brand_digital_sales",'03 Kênh phân phối'!$Z$5:$Z$401,0)))</f>
        <v>8.6</v>
      </c>
      <c r="K32" s="17" t="s">
        <v>765</v>
      </c>
    </row>
    <row r="33" spans="1:12">
      <c r="A33" s="17" t="s">
        <v>604</v>
      </c>
      <c r="B33" s="10" t="s">
        <v>599</v>
      </c>
      <c r="C33" s="10" t="s">
        <v>396</v>
      </c>
      <c r="D33" s="19">
        <f>IF(INDEX('03 Kênh phân phối'!$C$5:$C$401,MATCH(D$4&amp;"|nike_direct_share_stated",'03 Kênh phân phối'!$Z$5:$Z$401,0))="","–",INDEX('03 Kênh phân phối'!$C$5:$C$401,MATCH(D$4&amp;"|nike_direct_share_stated",'03 Kênh phân phối'!$Z$5:$Z$401,0)))</f>
        <v>0.35</v>
      </c>
      <c r="E33" s="19">
        <f>IF(INDEX('03 Kênh phân phối'!$C$5:$C$401,MATCH(E$4&amp;"|nike_direct_share_stated",'03 Kênh phân phối'!$Z$5:$Z$401,0))="","–",INDEX('03 Kênh phân phối'!$C$5:$C$401,MATCH(E$4&amp;"|nike_direct_share_stated",'03 Kênh phân phối'!$Z$5:$Z$401,0)))</f>
        <v>0.39</v>
      </c>
      <c r="F33" s="19">
        <f>IF(INDEX('03 Kênh phân phối'!$C$5:$C$401,MATCH(F$4&amp;"|nike_direct_share_stated",'03 Kênh phân phối'!$Z$5:$Z$401,0))="","–",INDEX('03 Kênh phân phối'!$C$5:$C$401,MATCH(F$4&amp;"|nike_direct_share_stated",'03 Kênh phân phối'!$Z$5:$Z$401,0)))</f>
        <v>0.42</v>
      </c>
      <c r="G33" s="19">
        <f>IF(INDEX('03 Kênh phân phối'!$C$5:$C$401,MATCH(G$4&amp;"|nike_direct_share_stated",'03 Kênh phân phối'!$Z$5:$Z$401,0))="","–",INDEX('03 Kênh phân phối'!$C$5:$C$401,MATCH(G$4&amp;"|nike_direct_share_stated",'03 Kênh phân phối'!$Z$5:$Z$401,0)))</f>
        <v>0.44</v>
      </c>
      <c r="H33" s="19">
        <f>IF(INDEX('03 Kênh phân phối'!$C$5:$C$401,MATCH(H$4&amp;"|nike_direct_share_stated",'03 Kênh phân phối'!$Z$5:$Z$401,0))="","–",INDEX('03 Kênh phân phối'!$C$5:$C$401,MATCH(H$4&amp;"|nike_direct_share_stated",'03 Kênh phân phối'!$Z$5:$Z$401,0)))</f>
        <v>0.44</v>
      </c>
      <c r="I33" s="19">
        <f>IF(INDEX('03 Kênh phân phối'!$C$5:$C$401,MATCH(I$4&amp;"|nike_direct_share_stated",'03 Kênh phân phối'!$Z$5:$Z$401,0))="","–",INDEX('03 Kênh phân phối'!$C$5:$C$401,MATCH(I$4&amp;"|nike_direct_share_stated",'03 Kênh phân phối'!$Z$5:$Z$401,0)))</f>
        <v>0.42</v>
      </c>
      <c r="J33" s="19" t="str">
        <f>IF(INDEX('03 Kênh phân phối'!$C$5:$C$401,MATCH(J$4&amp;"|nike_direct_share_stated",'03 Kênh phân phối'!$Z$5:$Z$401,0))="","–",INDEX('03 Kênh phân phối'!$C$5:$C$401,MATCH(J$4&amp;"|nike_direct_share_stated",'03 Kênh phân phối'!$Z$5:$Z$401,0)))</f>
        <v>–</v>
      </c>
      <c r="K33" s="17" t="s">
        <v>766</v>
      </c>
    </row>
    <row r="34" spans="1:12">
      <c r="A34" s="17" t="s">
        <v>630</v>
      </c>
      <c r="B34" s="10" t="s">
        <v>625</v>
      </c>
      <c r="C34" s="10" t="s">
        <v>396</v>
      </c>
      <c r="D34" s="19">
        <f>IF(INDEX('03 Kênh phân phối'!$C$5:$C$401,MATCH(D$4&amp;"|nike_direct_pct_change_reported",'03 Kênh phân phối'!$Z$5:$Z$401,0))="","–",INDEX('03 Kênh phân phối'!$C$5:$C$401,MATCH(D$4&amp;"|nike_direct_pct_change_reported",'03 Kênh phân phối'!$Z$5:$Z$401,0)))</f>
        <v>0.05</v>
      </c>
      <c r="E34" s="19">
        <f>IF(INDEX('03 Kênh phân phối'!$C$5:$C$401,MATCH(E$4&amp;"|nike_direct_pct_change_reported",'03 Kênh phân phối'!$Z$5:$Z$401,0))="","–",INDEX('03 Kênh phân phối'!$C$5:$C$401,MATCH(E$4&amp;"|nike_direct_pct_change_reported",'03 Kênh phân phối'!$Z$5:$Z$401,0)))</f>
        <v>0.32</v>
      </c>
      <c r="F34" s="19">
        <f>IF(INDEX('03 Kênh phân phối'!$C$5:$C$401,MATCH(F$4&amp;"|nike_direct_pct_change_reported",'03 Kênh phân phối'!$Z$5:$Z$401,0))="","–",INDEX('03 Kênh phân phối'!$C$5:$C$401,MATCH(F$4&amp;"|nike_direct_pct_change_reported",'03 Kênh phân phối'!$Z$5:$Z$401,0)))</f>
        <v>0.14</v>
      </c>
      <c r="G34" s="19">
        <f>IF(INDEX('03 Kênh phân phối'!$C$5:$C$401,MATCH(G$4&amp;"|nike_direct_pct_change_reported",'03 Kênh phân phối'!$Z$5:$Z$401,0))="","–",INDEX('03 Kênh phân phối'!$C$5:$C$401,MATCH(G$4&amp;"|nike_direct_pct_change_reported",'03 Kênh phân phối'!$Z$5:$Z$401,0)))</f>
        <v>0.14</v>
      </c>
      <c r="H34" s="19">
        <f>IF(INDEX('03 Kênh phân phối'!$C$5:$C$401,MATCH(H$4&amp;"|nike_direct_pct_change_reported",'03 Kênh phân phối'!$Z$5:$Z$401,0))="","–",INDEX('03 Kênh phân phối'!$C$5:$C$401,MATCH(H$4&amp;"|nike_direct_pct_change_reported",'03 Kênh phân phối'!$Z$5:$Z$401,0)))</f>
        <v>0.01</v>
      </c>
      <c r="I34" s="19">
        <f>IF(INDEX('03 Kênh phân phối'!$C$5:$C$401,MATCH(I$4&amp;"|nike_direct_pct_change_reported",'03 Kênh phân phối'!$Z$5:$Z$401,0))="","–",INDEX('03 Kênh phân phối'!$C$5:$C$401,MATCH(I$4&amp;"|nike_direct_pct_change_reported",'03 Kênh phân phối'!$Z$5:$Z$401,0)))</f>
        <v>-0.13</v>
      </c>
      <c r="J34" s="19">
        <f>IF(INDEX('03 Kênh phân phối'!$C$5:$C$401,MATCH(J$4&amp;"|nike_direct_pct_change_reported",'03 Kênh phân phối'!$Z$5:$Z$401,0))="","–",INDEX('03 Kênh phân phối'!$C$5:$C$401,MATCH(J$4&amp;"|nike_direct_pct_change_reported",'03 Kênh phân phối'!$Z$5:$Z$401,0)))</f>
        <v>-0.06</v>
      </c>
      <c r="K34" s="17" t="s">
        <v>767</v>
      </c>
    </row>
    <row r="35" spans="1:12">
      <c r="A35" s="17" t="s">
        <v>664</v>
      </c>
      <c r="B35" s="10" t="s">
        <v>661</v>
      </c>
      <c r="C35" s="10" t="s">
        <v>396</v>
      </c>
      <c r="D35" s="19">
        <f>IF(INDEX('03 Kênh phân phối'!$C$5:$C$401,MATCH(D$4&amp;"|nike_brand_wholesale_pct_change_reported",'03 Kênh phân phối'!$Z$5:$Z$401,0))="","–",INDEX('03 Kênh phân phối'!$C$5:$C$401,MATCH(D$4&amp;"|nike_brand_wholesale_pct_change_reported",'03 Kênh phân phối'!$Z$5:$Z$401,0)))</f>
        <v>-0.09</v>
      </c>
      <c r="E35" s="19">
        <f>IF(INDEX('03 Kênh phân phối'!$C$5:$C$401,MATCH(E$4&amp;"|nike_brand_wholesale_pct_change_reported",'03 Kênh phân phối'!$Z$5:$Z$401,0))="","–",INDEX('03 Kênh phân phối'!$C$5:$C$401,MATCH(E$4&amp;"|nike_brand_wholesale_pct_change_reported",'03 Kênh phân phối'!$Z$5:$Z$401,0)))</f>
        <v>0.12</v>
      </c>
      <c r="F35" s="19">
        <f>IF(INDEX('03 Kênh phân phối'!$C$5:$C$401,MATCH(F$4&amp;"|nike_brand_wholesale_pct_change_reported",'03 Kênh phân phối'!$Z$5:$Z$401,0))="","–",INDEX('03 Kênh phân phối'!$C$5:$C$401,MATCH(F$4&amp;"|nike_brand_wholesale_pct_change_reported",'03 Kênh phân phối'!$Z$5:$Z$401,0)))</f>
        <v>-0.01</v>
      </c>
      <c r="G35" s="19">
        <f>IF(INDEX('03 Kênh phân phối'!$C$5:$C$401,MATCH(G$4&amp;"|nike_brand_wholesale_pct_change_reported",'03 Kênh phân phối'!$Z$5:$Z$401,0))="","–",INDEX('03 Kênh phân phối'!$C$5:$C$401,MATCH(G$4&amp;"|nike_brand_wholesale_pct_change_reported",'03 Kênh phân phối'!$Z$5:$Z$401,0)))</f>
        <v>0.07</v>
      </c>
      <c r="H35" s="19">
        <f>IF(INDEX('03 Kênh phân phối'!$C$5:$C$401,MATCH(H$4&amp;"|nike_brand_wholesale_pct_change_reported",'03 Kênh phân phối'!$Z$5:$Z$401,0))="","–",INDEX('03 Kênh phân phối'!$C$5:$C$401,MATCH(H$4&amp;"|nike_brand_wholesale_pct_change_reported",'03 Kênh phân phối'!$Z$5:$Z$401,0)))</f>
        <v>0.01</v>
      </c>
      <c r="I35" s="19">
        <f>IF(INDEX('03 Kênh phân phối'!$C$5:$C$401,MATCH(I$4&amp;"|nike_brand_wholesale_pct_change_reported",'03 Kênh phân phối'!$Z$5:$Z$401,0))="","–",INDEX('03 Kênh phân phối'!$C$5:$C$401,MATCH(I$4&amp;"|nike_brand_wholesale_pct_change_reported",'03 Kênh phân phối'!$Z$5:$Z$401,0)))</f>
        <v>-0.07</v>
      </c>
      <c r="J35" s="19">
        <f>IF(INDEX('03 Kênh phân phối'!$C$5:$C$401,MATCH(J$4&amp;"|nike_brand_wholesale_pct_change_reported",'03 Kênh phân phối'!$Z$5:$Z$401,0))="","–",INDEX('03 Kênh phân phối'!$C$5:$C$401,MATCH(J$4&amp;"|nike_brand_wholesale_pct_change_reported",'03 Kênh phân phối'!$Z$5:$Z$401,0)))</f>
        <v>0.06</v>
      </c>
      <c r="K35" s="17" t="s">
        <v>768</v>
      </c>
    </row>
    <row r="36" spans="1:12">
      <c r="A36" s="17" t="s">
        <v>696</v>
      </c>
      <c r="B36" s="10" t="s">
        <v>692</v>
      </c>
      <c r="C36" s="10" t="s">
        <v>396</v>
      </c>
      <c r="D36" s="19">
        <f>IF(INDEX('03 Kênh phân phối'!$C$5:$C$401,MATCH(D$4&amp;"|nike_brand_pct_change_reported",'03 Kênh phân phối'!$Z$5:$Z$401,0))="","–",INDEX('03 Kênh phân phối'!$C$5:$C$401,MATCH(D$4&amp;"|nike_brand_pct_change_reported",'03 Kênh phân phối'!$Z$5:$Z$401,0)))</f>
        <v>-0.04</v>
      </c>
      <c r="E36" s="19">
        <f>IF(INDEX('03 Kênh phân phối'!$C$5:$C$401,MATCH(E$4&amp;"|nike_brand_pct_change_reported",'03 Kênh phân phối'!$Z$5:$Z$401,0))="","–",INDEX('03 Kênh phân phối'!$C$5:$C$401,MATCH(E$4&amp;"|nike_brand_pct_change_reported",'03 Kênh phân phối'!$Z$5:$Z$401,0)))</f>
        <v>0.19</v>
      </c>
      <c r="F36" s="19">
        <f>IF(INDEX('03 Kênh phân phối'!$C$5:$C$401,MATCH(F$4&amp;"|nike_brand_pct_change_reported",'03 Kênh phân phối'!$Z$5:$Z$401,0))="","–",INDEX('03 Kênh phân phối'!$C$5:$C$401,MATCH(F$4&amp;"|nike_brand_pct_change_reported",'03 Kênh phân phối'!$Z$5:$Z$401,0)))</f>
        <v>0.05</v>
      </c>
      <c r="G36" s="19">
        <f>IF(INDEX('03 Kênh phân phối'!$C$5:$C$401,MATCH(G$4&amp;"|nike_brand_pct_change_reported",'03 Kênh phân phối'!$Z$5:$Z$401,0))="","–",INDEX('03 Kênh phân phối'!$C$5:$C$401,MATCH(G$4&amp;"|nike_brand_pct_change_reported",'03 Kênh phân phối'!$Z$5:$Z$401,0)))</f>
        <v>0.1</v>
      </c>
      <c r="H36" s="19">
        <f>IF(INDEX('03 Kênh phân phối'!$C$5:$C$401,MATCH(H$4&amp;"|nike_brand_pct_change_reported",'03 Kênh phân phối'!$Z$5:$Z$401,0))="","–",INDEX('03 Kênh phân phối'!$C$5:$C$401,MATCH(H$4&amp;"|nike_brand_pct_change_reported",'03 Kênh phân phối'!$Z$5:$Z$401,0)))</f>
        <v>0.01</v>
      </c>
      <c r="I36" s="19">
        <f>IF(INDEX('03 Kênh phân phối'!$C$5:$C$401,MATCH(I$4&amp;"|nike_brand_pct_change_reported",'03 Kênh phân phối'!$Z$5:$Z$401,0))="","–",INDEX('03 Kênh phân phối'!$C$5:$C$401,MATCH(I$4&amp;"|nike_brand_pct_change_reported",'03 Kênh phân phối'!$Z$5:$Z$401,0)))</f>
        <v>-0.09</v>
      </c>
      <c r="J36" s="19">
        <f>IF(INDEX('03 Kênh phân phối'!$C$5:$C$401,MATCH(J$4&amp;"|nike_brand_pct_change_reported",'03 Kênh phân phối'!$Z$5:$Z$401,0))="","–",INDEX('03 Kênh phân phối'!$C$5:$C$401,MATCH(J$4&amp;"|nike_brand_pct_change_reported",'03 Kênh phân phối'!$Z$5:$Z$401,0)))</f>
        <v>0.01</v>
      </c>
      <c r="K36" s="17" t="s">
        <v>769</v>
      </c>
    </row>
    <row r="38" spans="1:12">
      <c r="A38" s="16"/>
      <c r="B38" s="16" t="s">
        <v>770</v>
      </c>
      <c r="C38" s="16"/>
      <c r="D38" s="16"/>
      <c r="E38" s="16"/>
      <c r="F38" s="16"/>
      <c r="G38" s="16"/>
      <c r="H38" s="16"/>
      <c r="I38" s="16"/>
      <c r="J38" s="16"/>
      <c r="K38" s="16"/>
      <c r="L38" s="16"/>
    </row>
    <row r="39" spans="1:12">
      <c r="A39" s="17" t="s">
        <v>771</v>
      </c>
      <c r="B39" s="10" t="s">
        <v>772</v>
      </c>
      <c r="C39" s="10" t="s">
        <v>396</v>
      </c>
      <c r="D39" s="21">
        <f>IF(COUNT(D23,D28)&lt;2,"–",D23/D28)</f>
        <v>0.34812190733243364</v>
      </c>
      <c r="E39" s="21">
        <f>IF(COUNT(E23,E28)&lt;2,"–",E23/E28)</f>
        <v>0.3870616886955288</v>
      </c>
      <c r="F39" s="21">
        <f>IF(COUNT(F23,F28)&lt;2,"–",F23/F28)</f>
        <v>0.421415068863084</v>
      </c>
      <c r="G39" s="21">
        <f>IF(COUNT(G23,G28)&lt;2,"–",G23/G28)</f>
        <v>0.4369706539794516</v>
      </c>
      <c r="H39" s="21">
        <f>IF(COUNT(H23,H28)&lt;2,"–",H23/H28)</f>
        <v>0.4362961761485747</v>
      </c>
      <c r="I39" s="21">
        <f>IF(COUNT(I23,I28)&lt;2,"–",I23/I28)</f>
        <v>0.4200697768036856</v>
      </c>
      <c r="J39" s="21">
        <f>IF(COUNT(J23,J28)&lt;2,"–",J23/J28)</f>
        <v>0.39184467736942197</v>
      </c>
      <c r="K39" s="5" t="s">
        <v>773</v>
      </c>
      <c r="L39" s="5" t="s">
        <v>774</v>
      </c>
    </row>
    <row r="40" spans="1:12">
      <c r="A40" s="17" t="s">
        <v>775</v>
      </c>
      <c r="B40" s="10" t="s">
        <v>776</v>
      </c>
      <c r="C40" s="10" t="s">
        <v>396</v>
      </c>
      <c r="D40" s="21">
        <f>IF(COUNT(D25,D28)&lt;2,"–",D25/D28)</f>
        <v>0.6510346378767431</v>
      </c>
      <c r="E40" s="21">
        <f>IF(COUNT(E25,E28)&lt;2,"–",E25/E28)</f>
        <v>0.6123471969356631</v>
      </c>
      <c r="F40" s="21">
        <f>IF(COUNT(F25,F28)&lt;2,"–",F25/F28)</f>
        <v>0.5762894950040508</v>
      </c>
      <c r="G40" s="21">
        <f>IF(COUNT(G25,G28)&lt;2,"–",G25/G28)</f>
        <v>0.5618399196111806</v>
      </c>
      <c r="H40" s="21">
        <f>IF(COUNT(H25,H28)&lt;2,"–",H25/H28)</f>
        <v>0.5627914520903451</v>
      </c>
      <c r="I40" s="21">
        <f>IF(COUNT(I25,I28)&lt;2,"–",I25/I28)</f>
        <v>0.5788567339088428</v>
      </c>
      <c r="J40" s="21">
        <f>IF(COUNT(J25,J28)&lt;2,"–",J25/J28)</f>
        <v>0.6070717792225023</v>
      </c>
      <c r="K40" s="5" t="s">
        <v>777</v>
      </c>
      <c r="L40" s="5" t="s">
        <v>778</v>
      </c>
    </row>
    <row r="41" spans="1:12">
      <c r="A41" s="17" t="s">
        <v>779</v>
      </c>
      <c r="B41" s="10" t="s">
        <v>780</v>
      </c>
      <c r="C41" s="10" t="s">
        <v>396</v>
      </c>
      <c r="D41" s="21">
        <f>IF(COUNT(D27,D28)&lt;2,"–",D27/D28)</f>
        <v>0.0008434547908232119</v>
      </c>
      <c r="E41" s="21">
        <f>IF(COUNT(E27,E28)&lt;2,"–",E27/E28)</f>
        <v>0.000591114368808077</v>
      </c>
      <c r="F41" s="21">
        <f>IF(COUNT(F27,F28)&lt;2,"–",F27/F28)</f>
        <v>0.0022954361328652445</v>
      </c>
      <c r="G41" s="21">
        <f>IF(COUNT(G27,G28)&lt;2,"–",G27/G28)</f>
        <v>0.0011894264093677584</v>
      </c>
      <c r="H41" s="21">
        <f>IF(COUNT(H27,H28)&lt;2,"–",H27/H28)</f>
        <v>0.0009123717610802481</v>
      </c>
      <c r="I41" s="21">
        <f>IF(COUNT(I27,I28)&lt;2,"–",I27/I28)</f>
        <v>0.0010734892874714854</v>
      </c>
      <c r="J41" s="21">
        <f>IF(COUNT(J27,J28)&lt;2,"–",J27/J28)</f>
        <v>0.0010835434080757153</v>
      </c>
      <c r="K41" s="5" t="s">
        <v>781</v>
      </c>
      <c r="L41" s="5" t="s">
        <v>782</v>
      </c>
    </row>
    <row r="42" spans="1:12">
      <c r="A42" s="17" t="s">
        <v>783</v>
      </c>
      <c r="B42" s="10" t="s">
        <v>784</v>
      </c>
      <c r="C42" s="10" t="s">
        <v>396</v>
      </c>
      <c r="D42" s="21">
        <f>IF(COUNT(D23,D24)&lt;2,"–",D23/D24-1)</f>
        <v>0.05351825065940611</v>
      </c>
      <c r="E42" s="21">
        <f>IF(COUNT(E23,E24)&lt;2,"–",E23/E24-1)</f>
        <v>0.32208043934743985</v>
      </c>
      <c r="F42" s="21">
        <f>IF(COUNT(F23,F24)&lt;2,"–",F23/F24-1)</f>
        <v>0.14392180818570555</v>
      </c>
      <c r="G42" s="21">
        <f>IF(COUNT(G23,G24)&lt;2,"–",G23/G24-1)</f>
        <v>0.1378831571077646</v>
      </c>
      <c r="H42" s="21">
        <f>IF(COUNT(H23,H24)&lt;2,"–",H23/H24-1)</f>
        <v>0.009902384081096302</v>
      </c>
      <c r="I42" s="21">
        <f>IF(COUNT(I23,I24)&lt;2,"–",I23/I24-1)</f>
        <v>-0.1271434546214973</v>
      </c>
      <c r="J42" s="21">
        <f>IF(COUNT(J23,J24)&lt;2,"–",J23/J24-1)</f>
        <v>-0.05659372837139967</v>
      </c>
      <c r="K42" s="5" t="s">
        <v>785</v>
      </c>
      <c r="L42" s="5" t="s">
        <v>786</v>
      </c>
    </row>
    <row r="43" spans="1:12">
      <c r="A43" s="17" t="s">
        <v>787</v>
      </c>
      <c r="B43" s="10" t="s">
        <v>788</v>
      </c>
      <c r="C43" s="10" t="s">
        <v>396</v>
      </c>
      <c r="D43" s="21">
        <f>IF(COUNT(D25,D26)&lt;2,"–",D25/D26-1)</f>
        <v>-0.08917122290839004</v>
      </c>
      <c r="E43" s="21">
        <f>IF(COUNT(E25,E26)&lt;2,"–",E25/E26-1)</f>
        <v>0.11841423389186388</v>
      </c>
      <c r="F43" s="21">
        <f>IF(COUNT(F25,F26)&lt;2,"–",F25/F26-1)</f>
        <v>-0.011197775890030117</v>
      </c>
      <c r="G43" s="21">
        <f>IF(COUNT(G25,G26)&lt;2,"–",G25/G26-1)</f>
        <v>0.06986098094345516</v>
      </c>
      <c r="H43" s="21">
        <f>IF(COUNT(H25,H26)&lt;2,"–",H25/H26-1)</f>
        <v>0.01317662517793919</v>
      </c>
      <c r="I43" s="21">
        <f>IF(COUNT(I25,I26)&lt;2,"–",I25/I26-1)</f>
        <v>-0.06754809424310108</v>
      </c>
      <c r="J43" s="21">
        <f>IF(COUNT(J25,J26)&lt;2,"–",J25/J26-1)</f>
        <v>0.060657574469729164</v>
      </c>
      <c r="K43" s="5" t="s">
        <v>789</v>
      </c>
      <c r="L43" s="5" t="s">
        <v>786</v>
      </c>
    </row>
    <row r="44" spans="1:12">
      <c r="A44" s="17" t="s">
        <v>790</v>
      </c>
      <c r="B44" s="10" t="s">
        <v>791</v>
      </c>
      <c r="C44" s="10" t="s">
        <v>396</v>
      </c>
      <c r="D44" s="21">
        <f>IF(COUNT(D28,D29)&lt;2,"–",D28/D29-1)</f>
        <v>-0.04433338707077221</v>
      </c>
      <c r="E44" s="21">
        <f>IF(COUNT(E28,E29)&lt;2,"–",E28/E29-1)</f>
        <v>0.18907444894286998</v>
      </c>
      <c r="F44" s="21">
        <f>IF(COUNT(F28,F29)&lt;2,"–",F28/F29-1)</f>
        <v>0.05067032369422836</v>
      </c>
      <c r="G44" s="21">
        <f>IF(COUNT(G28,G29)&lt;2,"–",G28/G29-1)</f>
        <v>0.09737600144027365</v>
      </c>
      <c r="H44" s="21">
        <f>IF(COUNT(H28,H29)&lt;2,"–",H28/H29-1)</f>
        <v>0.011463609704078913</v>
      </c>
      <c r="I44" s="21">
        <f>IF(COUNT(I28,I29)&lt;2,"–",I28/I29-1)</f>
        <v>-0.09342686833461741</v>
      </c>
      <c r="J44" s="21">
        <f>IF(COUNT(J28,J29)&lt;2,"–",J28/J29-1)</f>
        <v>0.01136109495907322</v>
      </c>
      <c r="K44" s="5" t="s">
        <v>792</v>
      </c>
      <c r="L44" s="5" t="s">
        <v>793</v>
      </c>
    </row>
    <row r="45" spans="1:12">
      <c r="A45" s="17" t="s">
        <v>794</v>
      </c>
      <c r="B45" s="10" t="s">
        <v>795</v>
      </c>
      <c r="C45" s="10" t="s">
        <v>396</v>
      </c>
      <c r="D45" s="22">
        <f>IF(COUNT(D32,D23)&lt;2,"–",D32*1000/D23)</f>
        <v>0.4441931836536908</v>
      </c>
      <c r="E45" s="22">
        <f>IF(COUNT(E32,E23)&lt;2,"–",E32*1000/E23)</f>
        <v>0.5558949297495418</v>
      </c>
      <c r="F45" s="22">
        <f>IF(COUNT(F32,F23)&lt;2,"–",F32*1000/F23)</f>
        <v>0.5713980561785752</v>
      </c>
      <c r="G45" s="22">
        <f>IF(COUNT(G32,G23)&lt;2,"–",G32*1000/G23)</f>
        <v>0.5913272010512484</v>
      </c>
      <c r="H45" s="22">
        <f>IF(COUNT(H32,H23)&lt;2,"–",H32*1000/H23)</f>
        <v>0.5622937868860077</v>
      </c>
      <c r="I45" s="22">
        <f>IF(COUNT(I32,I23)&lt;2,"–",I32*1000/I23)</f>
        <v>0.5111004631847947</v>
      </c>
      <c r="J45" s="22">
        <f>IF(COUNT(J32,J23)&lt;2,"–",J32*1000/J23)</f>
        <v>0.4853273137697517</v>
      </c>
      <c r="K45" s="5" t="s">
        <v>796</v>
      </c>
      <c r="L45" s="5" t="s">
        <v>797</v>
      </c>
    </row>
    <row r="47" spans="1:12">
      <c r="A47" s="16"/>
      <c r="B47" s="16" t="s">
        <v>798</v>
      </c>
      <c r="C47" s="16"/>
      <c r="D47" s="16"/>
      <c r="E47" s="16"/>
      <c r="F47" s="16"/>
      <c r="G47" s="16"/>
      <c r="H47" s="16"/>
      <c r="I47" s="16"/>
      <c r="J47" s="16"/>
      <c r="K47" s="16"/>
      <c r="L47" s="16"/>
    </row>
    <row r="48" spans="1:12">
      <c r="A48" s="17" t="s">
        <v>799</v>
      </c>
      <c r="B48" s="10" t="s">
        <v>800</v>
      </c>
      <c r="C48" s="10" t="s">
        <v>396</v>
      </c>
      <c r="D48" s="21">
        <f>IF(COUNT(D7,D8)&lt;2,"–",D7/D8-1)</f>
        <v>-0.043817266150267146</v>
      </c>
      <c r="E48" s="21">
        <f>IF(COUNT(E7,E8)&lt;2,"–",E7/E8-1)</f>
        <v>0.1907600994572628</v>
      </c>
      <c r="F48" s="21">
        <f>IF(COUNT(F7,F8)&lt;2,"–",F7/F8-1)</f>
        <v>0.048767344739323724</v>
      </c>
      <c r="G48" s="21">
        <f>IF(COUNT(G7,G8)&lt;2,"–",G7/G8-1)</f>
        <v>0.09648897452365661</v>
      </c>
      <c r="H48" s="21">
        <f>IF(COUNT(H7,H8)&lt;2,"–",H7/H8-1)</f>
        <v>0.0028310912392369722</v>
      </c>
      <c r="I48" s="21">
        <f>IF(COUNT(I7,I8)&lt;2,"–",I7/I8-1)</f>
        <v>-0.09838012538452552</v>
      </c>
      <c r="J48" s="21">
        <f>IF(COUNT(J7,J8)&lt;2,"–",J7/J8-1)</f>
        <v>0.0019218726381480921</v>
      </c>
      <c r="K48" s="5" t="s">
        <v>801</v>
      </c>
      <c r="L48" s="5" t="s">
        <v>793</v>
      </c>
    </row>
    <row r="49" spans="1:12">
      <c r="A49" s="17" t="s">
        <v>802</v>
      </c>
      <c r="B49" s="10" t="s">
        <v>803</v>
      </c>
      <c r="C49" s="10" t="s">
        <v>396</v>
      </c>
      <c r="D49" s="21">
        <f>IF(COUNT(D10,D7)&lt;2,"–",D10/D7)</f>
        <v>0.43421650669732376</v>
      </c>
      <c r="E49" s="21">
        <f>IF(COUNT(E10,E7)&lt;2,"–",E10/E7)</f>
        <v>0.44820153576721</v>
      </c>
      <c r="F49" s="21">
        <f>IF(COUNT(F10,F7)&lt;2,"–",F10/F7)</f>
        <v>0.4598372939413402</v>
      </c>
      <c r="G49" s="21">
        <f>IF(COUNT(G10,G7)&lt;2,"–",G10/G7)</f>
        <v>0.43524610969014194</v>
      </c>
      <c r="H49" s="21">
        <f>IF(COUNT(H10,H7)&lt;2,"–",H10/H7)</f>
        <v>0.445601806783225</v>
      </c>
      <c r="I49" s="21">
        <f>IF(COUNT(I10,I7)&lt;2,"–",I10/I7)</f>
        <v>0.42734673605562634</v>
      </c>
      <c r="J49" s="21">
        <f>IF(COUNT(J10,J7)&lt;2,"–",J10/J7)</f>
        <v>0.42913487650329757</v>
      </c>
      <c r="K49" s="5" t="s">
        <v>804</v>
      </c>
      <c r="L49" s="5" t="s">
        <v>805</v>
      </c>
    </row>
    <row r="50" spans="1:12">
      <c r="A50" s="17" t="s">
        <v>806</v>
      </c>
      <c r="B50" s="10" t="s">
        <v>807</v>
      </c>
      <c r="C50" s="10" t="s">
        <v>396</v>
      </c>
      <c r="D50" s="21">
        <f>IF(COUNT(D13,D7)&lt;2,"–",D13/D7)</f>
        <v>0.3509344170253723</v>
      </c>
      <c r="E50" s="21">
        <f>IF(COUNT(E13,E7)&lt;2,"–",E13/E7)</f>
        <v>0.2924468992770219</v>
      </c>
      <c r="F50" s="21">
        <f>IF(COUNT(F13,F7)&lt;2,"–",F13/F7)</f>
        <v>0.3169342753157782</v>
      </c>
      <c r="G50" s="21">
        <f>IF(COUNT(G13,G7)&lt;2,"–",G13/G7)</f>
        <v>0.3197571118964406</v>
      </c>
      <c r="H50" s="21">
        <f>IF(COUNT(H13,H7)&lt;2,"–",H13/H7)</f>
        <v>0.3227288656983762</v>
      </c>
      <c r="I50" s="21">
        <f>IF(COUNT(I13,I7)&lt;2,"–",I13/I7)</f>
        <v>0.3474054719385001</v>
      </c>
      <c r="J50" s="21">
        <f>IF(COUNT(J13,J7)&lt;2,"–",J13/J7)</f>
        <v>0.34729945256261047</v>
      </c>
      <c r="K50" s="5" t="s">
        <v>808</v>
      </c>
      <c r="L50" s="5" t="s">
        <v>809</v>
      </c>
    </row>
    <row r="51" spans="1:12">
      <c r="A51" s="17" t="s">
        <v>810</v>
      </c>
      <c r="B51" s="10" t="s">
        <v>811</v>
      </c>
      <c r="C51" s="10" t="s">
        <v>396</v>
      </c>
      <c r="D51" s="21">
        <f>IF(COUNT(D11,D7)&lt;2,"–",D11/D7)</f>
        <v>0.09603507740020854</v>
      </c>
      <c r="E51" s="21">
        <f>IF(COUNT(E11,E7)&lt;2,"–",E11/E7)</f>
        <v>0.06991782298262159</v>
      </c>
      <c r="F51" s="21">
        <f>IF(COUNT(F11,F7)&lt;2,"–",F11/F7)</f>
        <v>0.08242346392635409</v>
      </c>
      <c r="G51" s="21">
        <f>IF(COUNT(G11,G7)&lt;2,"–",G11/G7)</f>
        <v>0.07927055469863521</v>
      </c>
      <c r="H51" s="21">
        <f>IF(COUNT(H11,H7)&lt;2,"–",H11/H7)</f>
        <v>0.0834274366262996</v>
      </c>
      <c r="I51" s="21">
        <f>IF(COUNT(I11,I7)&lt;2,"–",I11/I7)</f>
        <v>0.10125461573344274</v>
      </c>
      <c r="J51" s="21">
        <f>IF(COUNT(J11,J7)&lt;2,"–",J11/J7)</f>
        <v>0.10246131298762878</v>
      </c>
      <c r="K51" s="5" t="s">
        <v>812</v>
      </c>
      <c r="L51" s="5" t="s">
        <v>813</v>
      </c>
    </row>
    <row r="52" spans="1:12">
      <c r="A52" s="17" t="s">
        <v>814</v>
      </c>
      <c r="B52" s="10" t="s">
        <v>815</v>
      </c>
      <c r="C52" s="10" t="s">
        <v>396</v>
      </c>
      <c r="D52" s="21">
        <f>IF(COUNT(D12,D7)&lt;2,"–",D12/D7)</f>
        <v>0.25489933962516376</v>
      </c>
      <c r="E52" s="21">
        <f>IF(COUNT(E12,E7)&lt;2,"–",E12/E7)</f>
        <v>0.22252907629440027</v>
      </c>
      <c r="F52" s="21">
        <f>IF(COUNT(F12,F7)&lt;2,"–",F12/F7)</f>
        <v>0.23451081138942412</v>
      </c>
      <c r="G52" s="21">
        <f>IF(COUNT(G12,G7)&lt;2,"–",G12/G7)</f>
        <v>0.24048655719780543</v>
      </c>
      <c r="H52" s="21">
        <f>IF(COUNT(H12,H7)&lt;2,"–",H12/H7)</f>
        <v>0.23930142907207663</v>
      </c>
      <c r="I52" s="21">
        <f>IF(COUNT(I12,I7)&lt;2,"–",I12/I7)</f>
        <v>0.24615085620505733</v>
      </c>
      <c r="J52" s="21">
        <f>IF(COUNT(J12,J7)&lt;2,"–",J12/J7)</f>
        <v>0.24483813957498168</v>
      </c>
      <c r="K52" s="5" t="s">
        <v>816</v>
      </c>
      <c r="L52" s="5" t="s">
        <v>817</v>
      </c>
    </row>
    <row r="53" spans="1:12">
      <c r="A53" s="17" t="s">
        <v>818</v>
      </c>
      <c r="B53" s="10" t="s">
        <v>819</v>
      </c>
      <c r="C53" s="10" t="s">
        <v>83</v>
      </c>
      <c r="D53" s="23">
        <f>IF(COUNT(D18,D17,D14)&lt;3,"–",D18+D17+D14)</f>
        <v>2976.0</v>
      </c>
      <c r="E53" s="23">
        <f>IF(COUNT(E18,E17,E14)&lt;3,"–",E18+E17+E14)</f>
        <v>6923.0</v>
      </c>
      <c r="F53" s="23">
        <f>IF(COUNT(F18,F17,F14)&lt;3,"–",F18+F17+F14)</f>
        <v>6856.0</v>
      </c>
      <c r="G53" s="23">
        <f>IF(COUNT(G18,G17,G14)&lt;3,"–",G18+G17+G14)</f>
        <v>6195.0</v>
      </c>
      <c r="H53" s="23">
        <f>IF(COUNT(H18,H17,H14)&lt;3,"–",H18+H17+H14)</f>
        <v>6539.0</v>
      </c>
      <c r="I53" s="23">
        <f>IF(COUNT(I18,I17,I14)&lt;3,"–",I18+I17+I14)</f>
        <v>3778.0</v>
      </c>
      <c r="J53" s="23">
        <f>IF(COUNT(J18,J17,J14)&lt;3,"–",J18+J17+J14)</f>
        <v>3850.0</v>
      </c>
      <c r="K53" s="5" t="s">
        <v>820</v>
      </c>
      <c r="L53" s="5" t="s">
        <v>821</v>
      </c>
    </row>
    <row r="54" spans="1:12">
      <c r="A54" s="17" t="s">
        <v>822</v>
      </c>
      <c r="B54" s="10" t="s">
        <v>823</v>
      </c>
      <c r="C54" s="10" t="s">
        <v>396</v>
      </c>
      <c r="D54" s="21">
        <f>IF(COUNT(D53,D7)&lt;2,"–",D53/D7)</f>
        <v>0.07956581022912601</v>
      </c>
      <c r="E54" s="21">
        <f>IF(COUNT(E53,E7)&lt;2,"–",E53/E7)</f>
        <v>0.1554402981723472</v>
      </c>
      <c r="F54" s="21">
        <f>IF(COUNT(F53,F7)&lt;2,"–",F53/F7)</f>
        <v>0.14677799186469706</v>
      </c>
      <c r="G54" s="21">
        <f>IF(COUNT(G53,G7)&lt;2,"–",G53/G7)</f>
        <v>0.12095593260050373</v>
      </c>
      <c r="H54" s="21">
        <f>IF(COUNT(H53,H7)&lt;2,"–",H53/H7)</f>
        <v>0.12731202055994703</v>
      </c>
      <c r="I54" s="21">
        <f>IF(COUNT(I53,I7)&lt;2,"–",I53/I7)</f>
        <v>0.08158241378565721</v>
      </c>
      <c r="J54" s="21">
        <f>IF(COUNT(J53,J7)&lt;2,"–",J53/J7)</f>
        <v>0.08297771455666192</v>
      </c>
      <c r="K54" s="5" t="s">
        <v>824</v>
      </c>
      <c r="L54" s="5" t="s">
        <v>825</v>
      </c>
    </row>
    <row r="55" spans="1:12">
      <c r="A55" s="17" t="s">
        <v>826</v>
      </c>
      <c r="B55" s="10" t="s">
        <v>827</v>
      </c>
      <c r="C55" s="10" t="s">
        <v>396</v>
      </c>
      <c r="D55" s="21">
        <f>IF(COUNT(D18,D7)&lt;2,"–",D18/D7)</f>
        <v>0.06788225543405609</v>
      </c>
      <c r="E55" s="21">
        <f>IF(COUNT(E18,E7)&lt;2,"–",E18/E7)</f>
        <v>0.12858682473393507</v>
      </c>
      <c r="F55" s="21">
        <f>IF(COUNT(F18,F7)&lt;2,"–",F18/F7)</f>
        <v>0.12943695140226932</v>
      </c>
      <c r="G55" s="21">
        <f>IF(COUNT(G18,G7)&lt;2,"–",G18/G7)</f>
        <v>0.09899056953745826</v>
      </c>
      <c r="H55" s="21">
        <f>IF(COUNT(H18,H7)&lt;2,"–",H18/H7)</f>
        <v>0.11097698687745804</v>
      </c>
      <c r="I55" s="21">
        <f>IF(COUNT(I18,I7)&lt;2,"–",I18/I7)</f>
        <v>0.06951132609212032</v>
      </c>
      <c r="J55" s="21">
        <f>IF(COUNT(J18,J7)&lt;2,"–",J18/J7)</f>
        <v>0.06698564593301436</v>
      </c>
      <c r="K55" s="5" t="s">
        <v>828</v>
      </c>
      <c r="L55" s="5" t="s">
        <v>829</v>
      </c>
    </row>
    <row r="56" spans="1:12">
      <c r="A56" s="17" t="s">
        <v>830</v>
      </c>
      <c r="B56" s="10" t="s">
        <v>831</v>
      </c>
      <c r="C56" s="10" t="s">
        <v>396</v>
      </c>
      <c r="D56" s="21">
        <f>IF(COUNT(D19,D20)&lt;2,"–",D19/D20-1)</f>
        <v>0.3103877623621487</v>
      </c>
      <c r="E56" s="21">
        <f>IF(COUNT(E19,E20)&lt;2,"–",E19/E20-1)</f>
        <v>-0.06963485815121488</v>
      </c>
      <c r="F56" s="21">
        <f>IF(COUNT(F19,F20)&lt;2,"–",F19/F20-1)</f>
        <v>0.2284797198716078</v>
      </c>
      <c r="G56" s="21">
        <f>IF(COUNT(G19,G20)&lt;2,"–",G19/G20-1)</f>
        <v>0.0040380047505938245</v>
      </c>
      <c r="H56" s="21">
        <f>IF(COUNT(H19,H20)&lt;2,"–",H19/H20-1)</f>
        <v>-0.11059853323870357</v>
      </c>
      <c r="I56" s="21">
        <f>IF(COUNT(I19,I20)&lt;2,"–",I19/I20-1)</f>
        <v>-0.0039898922729086315</v>
      </c>
      <c r="J56" s="21">
        <f>IF(COUNT(J19,J20)&lt;2,"–",J19/J20-1)</f>
        <v>0.0016023501134997996</v>
      </c>
      <c r="K56" s="5" t="s">
        <v>832</v>
      </c>
      <c r="L56" s="5" t="s">
        <v>833</v>
      </c>
    </row>
    <row r="57" spans="1:12">
      <c r="A57" s="17" t="s">
        <v>834</v>
      </c>
      <c r="B57" s="10" t="s">
        <v>835</v>
      </c>
      <c r="C57" s="10" t="s">
        <v>83</v>
      </c>
      <c r="D57" s="23">
        <f>IF(COUNT(D19,D20)&lt;2,"–",(D19+D20)/2)</f>
        <v>6494.5</v>
      </c>
      <c r="E57" s="23">
        <f>IF(COUNT(E19,E20)&lt;2,"–",(E19+E20)/2)</f>
        <v>7110.5</v>
      </c>
      <c r="F57" s="23">
        <f>IF(COUNT(F19,F20)&lt;2,"–",(F19+F20)/2)</f>
        <v>7637.0</v>
      </c>
      <c r="G57" s="23">
        <f>IF(COUNT(G19,G20)&lt;2,"–",(G19+G20)/2)</f>
        <v>8437.0</v>
      </c>
      <c r="H57" s="23">
        <f>IF(COUNT(H19,H20)&lt;2,"–",(H19+H20)/2)</f>
        <v>7986.5</v>
      </c>
      <c r="I57" s="23">
        <f>IF(COUNT(I19,I20)&lt;2,"–",(I19+I20)/2)</f>
        <v>7504.0</v>
      </c>
      <c r="J57" s="23">
        <f>IF(COUNT(J19,J20)&lt;2,"–",(J19+J20)/2)</f>
        <v>7495.0</v>
      </c>
      <c r="K57" s="5" t="s">
        <v>836</v>
      </c>
      <c r="L57" s="5" t="s">
        <v>837</v>
      </c>
    </row>
    <row r="58" spans="1:12">
      <c r="A58" s="17" t="s">
        <v>838</v>
      </c>
      <c r="B58" s="10" t="s">
        <v>839</v>
      </c>
      <c r="C58" s="10" t="s">
        <v>840</v>
      </c>
      <c r="D58" s="24">
        <f>IF(COUNT(D9,D57)&lt;2,"–",D9/D57)</f>
        <v>3.258449457233043</v>
      </c>
      <c r="E58" s="24">
        <f>IF(COUNT(E9,E57)&lt;2,"–",E9/E57)</f>
        <v>3.456297025525631</v>
      </c>
      <c r="F58" s="24">
        <f>IF(COUNT(F9,F57)&lt;2,"–",F9/F57)</f>
        <v>3.303784208458819</v>
      </c>
      <c r="G58" s="24">
        <f>IF(COUNT(G9,G57)&lt;2,"–",G9/G57)</f>
        <v>3.428351309707242</v>
      </c>
      <c r="H58" s="24">
        <f>IF(COUNT(H9,H57)&lt;2,"–",H9/H57)</f>
        <v>3.5653915983221687</v>
      </c>
      <c r="I58" s="24">
        <f>IF(COUNT(I9,I57)&lt;2,"–",I9/I57)</f>
        <v>3.5339818763326227</v>
      </c>
      <c r="J58" s="24">
        <f>IF(COUNT(J9,J57)&lt;2,"–",J9/J57)</f>
        <v>3.533955970647098</v>
      </c>
      <c r="K58" s="5" t="s">
        <v>841</v>
      </c>
      <c r="L58" s="5" t="s">
        <v>842</v>
      </c>
    </row>
    <row r="59" spans="1:12">
      <c r="A59" s="17" t="s">
        <v>843</v>
      </c>
      <c r="B59" s="10" t="s">
        <v>844</v>
      </c>
      <c r="C59" s="10" t="s">
        <v>845</v>
      </c>
      <c r="D59" s="25">
        <f>IF(COUNT(D58)&lt;1,"–",365/D58)</f>
        <v>112.01646819771288</v>
      </c>
      <c r="E59" s="25">
        <f>IF(COUNT(E58)&lt;1,"–",365/E58)</f>
        <v>105.60434977213542</v>
      </c>
      <c r="F59" s="25">
        <f>IF(COUNT(F58)&lt;1,"–",365/F58)</f>
        <v>110.47937061551266</v>
      </c>
      <c r="G59" s="25">
        <f>IF(COUNT(G58)&lt;1,"–",365/G58)</f>
        <v>106.46516853932584</v>
      </c>
      <c r="H59" s="25">
        <f>IF(COUNT(H58)&lt;1,"–",365/H58)</f>
        <v>102.37304653204565</v>
      </c>
      <c r="I59" s="25">
        <f>IF(COUNT(I58)&lt;1,"–",365/I58)</f>
        <v>103.28292922055884</v>
      </c>
      <c r="J59" s="25">
        <f>IF(COUNT(J58)&lt;1,"–",365/J58)</f>
        <v>103.28368633669348</v>
      </c>
      <c r="K59" s="5" t="s">
        <v>846</v>
      </c>
      <c r="L59" s="5" t="s">
        <v>847</v>
      </c>
    </row>
    <row r="61" spans="1:12">
      <c r="A61" s="16"/>
      <c r="B61" s="16" t="s">
        <v>848</v>
      </c>
      <c r="C61" s="16"/>
      <c r="D61" s="16"/>
      <c r="E61" s="16"/>
      <c r="F61" s="16"/>
      <c r="G61" s="16"/>
      <c r="H61" s="16"/>
      <c r="I61" s="16"/>
      <c r="J61" s="16"/>
      <c r="K61" s="16"/>
      <c r="L61" s="16"/>
    </row>
    <row r="62" spans="1:12">
      <c r="A62" s="17" t="s">
        <v>849</v>
      </c>
      <c r="B62" s="10" t="s">
        <v>850</v>
      </c>
      <c r="C62" s="10" t="s">
        <v>83</v>
      </c>
      <c r="D62" s="23">
        <f>IF(COUNT(D7,D9,D10)&lt;3,"–",D7-D9-D10)</f>
        <v>0.0</v>
      </c>
      <c r="E62" s="23">
        <f>IF(COUNT(E7,E9,E10)&lt;3,"–",E7-E9-E10)</f>
        <v>0.0</v>
      </c>
      <c r="F62" s="23">
        <f>IF(COUNT(F7,F9,F10)&lt;3,"–",F7-F9-F10)</f>
        <v>0.0</v>
      </c>
      <c r="G62" s="23">
        <f>IF(COUNT(G7,G9,G10)&lt;3,"–",G7-G9-G10)</f>
        <v>0.0</v>
      </c>
      <c r="H62" s="23">
        <f>IF(COUNT(H7,H9,H10)&lt;3,"–",H7-H9-H10)</f>
        <v>0.0</v>
      </c>
      <c r="I62" s="23">
        <f>IF(COUNT(I7,I9,I10)&lt;3,"–",I7-I9-I10)</f>
        <v>0.0</v>
      </c>
      <c r="J62" s="23">
        <f>IF(COUNT(J7,J9,J10)&lt;3,"–",J7-J9-J10)</f>
        <v>0.0</v>
      </c>
      <c r="K62" s="5" t="s">
        <v>851</v>
      </c>
      <c r="L62" s="26" t="str">
        <f>IF(AND(MAX(D62:J62)&lt;=1,MIN(D62:J62)&gt;=-1),"Đạt","Kiểm tra lại")</f>
        <v>Đạt</v>
      </c>
    </row>
    <row r="63" spans="1:12">
      <c r="A63" s="17" t="s">
        <v>852</v>
      </c>
      <c r="B63" s="10" t="s">
        <v>853</v>
      </c>
      <c r="C63" s="10" t="s">
        <v>83</v>
      </c>
      <c r="D63" s="23">
        <f>IF(COUNT(D11,D12,D13)&lt;3,"–",D11+D12-D13)</f>
        <v>0.0</v>
      </c>
      <c r="E63" s="23">
        <f>IF(COUNT(E11,E12,E13)&lt;3,"–",E11+E12-E13)</f>
        <v>0.0</v>
      </c>
      <c r="F63" s="23">
        <f>IF(COUNT(F11,F12,F13)&lt;3,"–",F11+F12-F13)</f>
        <v>0.0</v>
      </c>
      <c r="G63" s="23">
        <f>IF(COUNT(G11,G12,G13)&lt;3,"–",G11+G12-G13)</f>
        <v>0.0</v>
      </c>
      <c r="H63" s="23">
        <f>IF(COUNT(H11,H12,H13)&lt;3,"–",H11+H12-H13)</f>
        <v>0.0</v>
      </c>
      <c r="I63" s="23">
        <f>IF(COUNT(I11,I12,I13)&lt;3,"–",I11+I12-I13)</f>
        <v>0.0</v>
      </c>
      <c r="J63" s="23">
        <f>IF(COUNT(J11,J12,J13)&lt;3,"–",J11+J12-J13)</f>
        <v>0.0</v>
      </c>
      <c r="K63" s="5" t="s">
        <v>854</v>
      </c>
      <c r="L63" s="26" t="str">
        <f>IF(AND(MAX(D63:J63)&lt;=1,MIN(D63:J63)&gt;=-1),"Đạt","Kiểm tra lại")</f>
        <v>Đạt</v>
      </c>
    </row>
    <row r="64" spans="1:12">
      <c r="A64" s="17" t="s">
        <v>855</v>
      </c>
      <c r="B64" s="10" t="s">
        <v>856</v>
      </c>
      <c r="C64" s="10" t="s">
        <v>83</v>
      </c>
      <c r="D64" s="23">
        <f>IF(COUNT(D10,D13,D14,D15,D16)&lt;5,"–",D10-D13-D14-D15-D16)</f>
        <v>0.0</v>
      </c>
      <c r="E64" s="23">
        <f>IF(COUNT(E10,E13,E14,E15,E16)&lt;5,"–",E10-E13-E14-E15-E16)</f>
        <v>0.0</v>
      </c>
      <c r="F64" s="23">
        <f>IF(COUNT(F10,F13,F14,F15,F16)&lt;5,"–",F10-F13-F14-F15-F16)</f>
        <v>0.0</v>
      </c>
      <c r="G64" s="23">
        <f>IF(COUNT(G10,G13,G14,G15,G16)&lt;5,"–",G10-G13-G14-G15-G16)</f>
        <v>0.0</v>
      </c>
      <c r="H64" s="23">
        <f>IF(COUNT(H10,H13,H14,H15,H16)&lt;5,"–",H10-H13-H14-H15-H16)</f>
        <v>0.0</v>
      </c>
      <c r="I64" s="23">
        <f>IF(COUNT(I10,I13,I14,I15,I16)&lt;5,"–",I10-I13-I14-I15-I16)</f>
        <v>0.0</v>
      </c>
      <c r="J64" s="23">
        <f>IF(COUNT(J10,J13,J14,J15,J16)&lt;5,"–",J10-J13-J14-J15-J16)</f>
        <v>0.0</v>
      </c>
      <c r="K64" s="5" t="s">
        <v>857</v>
      </c>
      <c r="L64" s="26" t="str">
        <f>IF(AND(MAX(D64:J64)&lt;=2,MIN(D64:J64)&gt;=-2),"Đạt","Kiểm tra lại")</f>
        <v>Đạt</v>
      </c>
    </row>
    <row r="65" spans="1:12">
      <c r="A65" s="17" t="s">
        <v>858</v>
      </c>
      <c r="B65" s="10" t="s">
        <v>859</v>
      </c>
      <c r="C65" s="10" t="s">
        <v>83</v>
      </c>
      <c r="D65" s="23">
        <f>IF(COUNT(D16,D17,D18)&lt;3,"–",D16-D17-D18)</f>
        <v>0.0</v>
      </c>
      <c r="E65" s="23">
        <f>IF(COUNT(E16,E17,E18)&lt;3,"–",E16-E17-E18)</f>
        <v>0.0</v>
      </c>
      <c r="F65" s="23">
        <f>IF(COUNT(F16,F17,F18)&lt;3,"–",F16-F17-F18)</f>
        <v>0.0</v>
      </c>
      <c r="G65" s="23">
        <f>IF(COUNT(G16,G17,G18)&lt;3,"–",G16-G17-G18)</f>
        <v>0.0</v>
      </c>
      <c r="H65" s="23">
        <f>IF(COUNT(H16,H17,H18)&lt;3,"–",H16-H17-H18)</f>
        <v>0.0</v>
      </c>
      <c r="I65" s="23">
        <f>IF(COUNT(I16,I17,I18)&lt;3,"–",I16-I17-I18)</f>
        <v>0.0</v>
      </c>
      <c r="J65" s="23">
        <f>IF(COUNT(J16,J17,J18)&lt;3,"–",J16-J17-J18)</f>
        <v>0.0</v>
      </c>
      <c r="K65" s="5" t="s">
        <v>860</v>
      </c>
      <c r="L65" s="26" t="str">
        <f>IF(AND(MAX(D65:J65)&lt;=1,MIN(D65:J65)&gt;=-1),"Đạt","Kiểm tra lại")</f>
        <v>Đạt</v>
      </c>
    </row>
    <row r="66" spans="1:12">
      <c r="A66" s="17" t="s">
        <v>861</v>
      </c>
      <c r="B66" s="10" t="s">
        <v>862</v>
      </c>
      <c r="C66" s="10" t="s">
        <v>83</v>
      </c>
      <c r="D66" s="23">
        <f>IF(COUNT(D23,D25,D27,D28)&lt;4,"–",D23+D25+D27-D28)</f>
        <v>0.0</v>
      </c>
      <c r="E66" s="23">
        <f>IF(COUNT(E23,E25,E27,E28)&lt;4,"–",E23+E25+E27-E28)</f>
        <v>0.0</v>
      </c>
      <c r="F66" s="23">
        <f>IF(COUNT(F23,F25,F27,F28)&lt;4,"–",F23+F25+F27-F28)</f>
        <v>0.0</v>
      </c>
      <c r="G66" s="23">
        <f>IF(COUNT(G23,G25,G27,G28)&lt;4,"–",G23+G25+G27-G28)</f>
        <v>0.0</v>
      </c>
      <c r="H66" s="23">
        <f>IF(COUNT(H23,H25,H27,H28)&lt;4,"–",H23+H25+H27-H28)</f>
        <v>0.0</v>
      </c>
      <c r="I66" s="23">
        <f>IF(COUNT(I23,I25,I27,I28)&lt;4,"–",I23+I25+I27-I28)</f>
        <v>0.0</v>
      </c>
      <c r="J66" s="23">
        <f>IF(COUNT(J23,J25,J27,J28)&lt;4,"–",J23+J25+J27-J28)</f>
        <v>0.0</v>
      </c>
      <c r="K66" s="5" t="s">
        <v>863</v>
      </c>
      <c r="L66" s="26" t="str">
        <f>IF(AND(MAX(D66:J66)&lt;=1,MIN(D66:J66)&gt;=-1),"Đạt","Kiểm tra lại")</f>
        <v>Đạt</v>
      </c>
    </row>
    <row r="67" spans="1:12">
      <c r="A67" s="17" t="s">
        <v>864</v>
      </c>
      <c r="B67" s="10" t="s">
        <v>865</v>
      </c>
      <c r="C67" s="10" t="s">
        <v>83</v>
      </c>
      <c r="D67" s="23">
        <f>IF(COUNT(D28,D30,D31,D7)&lt;4,"–",D28+D30+D31-D7)</f>
        <v>0.0</v>
      </c>
      <c r="E67" s="23">
        <f>IF(COUNT(E28,E30,E31,E7)&lt;4,"–",E28+E30+E31-E7)</f>
        <v>0.0</v>
      </c>
      <c r="F67" s="23">
        <f>IF(COUNT(F28,F30,F31,F7)&lt;4,"–",F28+F30+F31-F7)</f>
        <v>0.0</v>
      </c>
      <c r="G67" s="23">
        <f>IF(COUNT(G28,G30,G31,G7)&lt;4,"–",G28+G30+G31-G7)</f>
        <v>0.0</v>
      </c>
      <c r="H67" s="23">
        <f>IF(COUNT(H28,H30,H31,H7)&lt;4,"–",H28+H30+H31-H7)</f>
        <v>0.0</v>
      </c>
      <c r="I67" s="23">
        <f>IF(COUNT(I28,I30,I31,I7)&lt;4,"–",I28+I30+I31-I7)</f>
        <v>0.0</v>
      </c>
      <c r="J67" s="23">
        <f>IF(COUNT(J28,J30,J31,J7)&lt;4,"–",J28+J30+J31-J7)</f>
        <v>0.0</v>
      </c>
      <c r="K67" s="5" t="s">
        <v>866</v>
      </c>
      <c r="L67" s="26" t="str">
        <f>IF(AND(MAX(D67:J67)&lt;=1,MIN(D67:J67)&gt;=-1),"Đạt","Kiểm tra lại")</f>
        <v>Đạt</v>
      </c>
    </row>
    <row r="68" spans="1:12">
      <c r="A68" s="17" t="s">
        <v>867</v>
      </c>
      <c r="B68" s="10" t="s">
        <v>868</v>
      </c>
      <c r="C68" s="10" t="s">
        <v>83</v>
      </c>
      <c r="D68" s="23">
        <f>IF(COUNT(D53,D21)&lt;2,"–",D53-D21)</f>
        <v>0.0</v>
      </c>
      <c r="E68" s="23">
        <f>IF(COUNT(E53,E21)&lt;2,"–",E53-E21)</f>
        <v>0.0</v>
      </c>
      <c r="F68" s="23">
        <f>IF(COUNT(F53,F21)&lt;2,"–",F53-F21)</f>
        <v>0.0</v>
      </c>
      <c r="G68" s="23">
        <f>IF(COUNT(G53,G21)&lt;2,"–",G53-G21)</f>
        <v>0.0</v>
      </c>
      <c r="H68" s="23">
        <f>IF(COUNT(H53,H21)&lt;2,"–",H53-H21)</f>
        <v>0.0</v>
      </c>
      <c r="I68" s="23">
        <f>IF(COUNT(I53,I21)&lt;2,"–",I53-I21)</f>
        <v>0.0</v>
      </c>
      <c r="J68" s="23">
        <f>IF(COUNT(J53,J21)&lt;2,"–",J53-J21)</f>
        <v>0.0</v>
      </c>
      <c r="K68" s="5" t="s">
        <v>869</v>
      </c>
      <c r="L68" s="26" t="str">
        <f>IF(AND(MAX(D68:J68)&lt;=1,MIN(D68:J68)&gt;=-1),"Đạt","Kiểm tra lại")</f>
        <v>Đạt</v>
      </c>
    </row>
    <row r="70" spans="1:12">
      <c r="A70" s="16"/>
      <c r="B70" s="16" t="s">
        <v>870</v>
      </c>
      <c r="C70" s="16"/>
      <c r="D70" s="16"/>
      <c r="E70" s="16"/>
      <c r="F70" s="16"/>
      <c r="G70" s="16"/>
      <c r="H70" s="16"/>
      <c r="I70" s="16"/>
      <c r="J70" s="16"/>
      <c r="K70" s="16"/>
      <c r="L70" s="16"/>
    </row>
    <row r="71" spans="1:12">
      <c r="A71" s="17" t="s">
        <v>871</v>
      </c>
      <c r="B71" s="10" t="s">
        <v>872</v>
      </c>
      <c r="C71" s="10" t="s">
        <v>873</v>
      </c>
      <c r="D71" s="27">
        <f>IF(COUNT(D48,D22)&lt;2,"–",(D48-D22)*100)</f>
        <v>-0.38172661502671473</v>
      </c>
      <c r="E71" s="27">
        <f>IF(COUNT(E48,E22)&lt;2,"–",(E48-E22)*100)</f>
        <v>0.07600994572627864</v>
      </c>
      <c r="F71" s="27">
        <f>IF(COUNT(F48,F22)&lt;2,"–",(F48-F22)*100)</f>
        <v>-0.12326552606762764</v>
      </c>
      <c r="G71" s="27">
        <f>IF(COUNT(G48,G22)&lt;2,"–",(G48-G22)*100)</f>
        <v>-0.3511025476343395</v>
      </c>
      <c r="H71" s="27">
        <f>IF(COUNT(H48,H22)&lt;2,"–",(H48-H22)*100)</f>
        <v>0.28310912392369725</v>
      </c>
      <c r="I71" s="27">
        <f>IF(COUNT(I48,I22)&lt;2,"–",(I48-I22)*100)</f>
        <v>0.16198746154744753</v>
      </c>
      <c r="J71" s="27">
        <f>IF(COUNT(J48,J22)&lt;2,"–",(J48-J22)*100)</f>
        <v>0.19218726381480922</v>
      </c>
      <c r="K71" s="5" t="s">
        <v>874</v>
      </c>
      <c r="L71" s="26" t="str">
        <f>IF(AND(MAX(D71:J71)&lt;=1,MIN(D71:J71)&gt;=-1),"Đạt","Kiểm tra lại")</f>
        <v>Đạt</v>
      </c>
    </row>
    <row r="72" spans="1:12">
      <c r="A72" s="17" t="s">
        <v>875</v>
      </c>
      <c r="B72" s="10" t="s">
        <v>876</v>
      </c>
      <c r="C72" s="10" t="s">
        <v>873</v>
      </c>
      <c r="D72" s="27">
        <f>IF(COUNT(D42,D34)&lt;2,"–",(D42-D34)*100)</f>
        <v>0.3518250659406109</v>
      </c>
      <c r="E72" s="27">
        <f>IF(COUNT(E42,E34)&lt;2,"–",(E42-E34)*100)</f>
        <v>0.2080439347439832</v>
      </c>
      <c r="F72" s="27">
        <f>IF(COUNT(F42,F34)&lt;2,"–",(F42-F34)*100)</f>
        <v>0.3921808185705559</v>
      </c>
      <c r="G72" s="27">
        <f>IF(COUNT(G42,G34)&lt;2,"–",(G42-G34)*100)</f>
        <v>-0.2116842892235395</v>
      </c>
      <c r="H72" s="27">
        <f>IF(COUNT(H42,H34)&lt;2,"–",(H42-H34)*100)</f>
        <v>-0.009761591890369814</v>
      </c>
      <c r="I72" s="27">
        <f>IF(COUNT(I42,I34)&lt;2,"–",(I42-I34)*100)</f>
        <v>0.28565453785027184</v>
      </c>
      <c r="J72" s="27">
        <f>IF(COUNT(J42,J34)&lt;2,"–",(J42-J34)*100)</f>
        <v>0.340627162860033</v>
      </c>
      <c r="K72" s="5" t="s">
        <v>877</v>
      </c>
      <c r="L72" s="26" t="str">
        <f>IF(AND(MAX(D72:J72)&lt;=1,MIN(D72:J72)&gt;=-1),"Đạt","Kiểm tra lại")</f>
        <v>Đạt</v>
      </c>
    </row>
    <row r="73" spans="1:12">
      <c r="A73" s="17" t="s">
        <v>878</v>
      </c>
      <c r="B73" s="10" t="s">
        <v>879</v>
      </c>
      <c r="C73" s="10" t="s">
        <v>873</v>
      </c>
      <c r="D73" s="27">
        <f>IF(COUNT(D43,D35)&lt;2,"–",(D43-D35)*100)</f>
        <v>0.08287770916099595</v>
      </c>
      <c r="E73" s="27">
        <f>IF(COUNT(E43,E35)&lt;2,"–",(E43-E35)*100)</f>
        <v>-0.15857661081361202</v>
      </c>
      <c r="F73" s="27">
        <f>IF(COUNT(F43,F35)&lt;2,"–",(F43-F35)*100)</f>
        <v>-0.1197775890030118</v>
      </c>
      <c r="G73" s="27">
        <f>IF(COUNT(G43,G35)&lt;2,"–",(G43-G35)*100)</f>
        <v>-0.013901905654482974</v>
      </c>
      <c r="H73" s="27">
        <f>IF(COUNT(H43,H35)&lt;2,"–",(H43-H35)*100)</f>
        <v>0.3176625177939191</v>
      </c>
      <c r="I73" s="27">
        <f>IF(COUNT(I43,I35)&lt;2,"–",(I43-I35)*100)</f>
        <v>0.2451905756898912</v>
      </c>
      <c r="J73" s="27">
        <f>IF(COUNT(J43,J35)&lt;2,"–",(J43-J35)*100)</f>
        <v>0.06575744697291659</v>
      </c>
      <c r="K73" s="5" t="s">
        <v>880</v>
      </c>
      <c r="L73" s="26" t="str">
        <f>IF(AND(MAX(D73:J73)&lt;=1,MIN(D73:J73)&gt;=-1),"Đạt","Kiểm tra lại")</f>
        <v>Đạt</v>
      </c>
    </row>
    <row r="74" spans="1:12">
      <c r="A74" s="17" t="s">
        <v>881</v>
      </c>
      <c r="B74" s="10" t="s">
        <v>882</v>
      </c>
      <c r="C74" s="10" t="s">
        <v>873</v>
      </c>
      <c r="D74" s="27">
        <f>IF(COUNT(D44,D36)&lt;2,"–",(D44-D36)*100)</f>
        <v>-0.43333870707722066</v>
      </c>
      <c r="E74" s="27">
        <f>IF(COUNT(E44,E36)&lt;2,"–",(E44-E36)*100)</f>
        <v>-0.09255510571300045</v>
      </c>
      <c r="F74" s="27">
        <f>IF(COUNT(F44,F36)&lt;2,"–",(F44-F36)*100)</f>
        <v>0.06703236942283593</v>
      </c>
      <c r="G74" s="27">
        <f>IF(COUNT(G44,G36)&lt;2,"–",(G44-G36)*100)</f>
        <v>-0.2623998559726348</v>
      </c>
      <c r="H74" s="27">
        <f>IF(COUNT(H44,H36)&lt;2,"–",(H44-H36)*100)</f>
        <v>0.14636097040789123</v>
      </c>
      <c r="I74" s="27">
        <f>IF(COUNT(I44,I36)&lt;2,"–",(I44-I36)*100)</f>
        <v>-0.34268683346174117</v>
      </c>
      <c r="J74" s="27">
        <f>IF(COUNT(J44,J36)&lt;2,"–",(J44-J36)*100)</f>
        <v>0.1361094959073221</v>
      </c>
      <c r="K74" s="5" t="s">
        <v>883</v>
      </c>
      <c r="L74" s="26" t="str">
        <f>IF(AND(MAX(D74:J74)&lt;=1,MIN(D74:J74)&gt;=-1),"Đạt","Kiểm tra lại")</f>
        <v>Đạt</v>
      </c>
    </row>
    <row r="75" spans="1:12">
      <c r="A75" s="17" t="s">
        <v>884</v>
      </c>
      <c r="B75" s="10" t="s">
        <v>885</v>
      </c>
      <c r="C75" s="10" t="s">
        <v>873</v>
      </c>
      <c r="D75" s="27">
        <f>IF(COUNT(D39,D33)&lt;2,"–",(D39-D33)*100)</f>
        <v>-0.18780926675663517</v>
      </c>
      <c r="E75" s="27">
        <f>IF(COUNT(E39,E33)&lt;2,"–",(E39-E33)*100)</f>
        <v>-0.2938311304471189</v>
      </c>
      <c r="F75" s="27">
        <f>IF(COUNT(F39,F33)&lt;2,"–",(F39-F33)*100)</f>
        <v>0.1415068863083986</v>
      </c>
      <c r="G75" s="27">
        <f>IF(COUNT(G39,G33)&lt;2,"–",(G39-G33)*100)</f>
        <v>-0.30293460205483663</v>
      </c>
      <c r="H75" s="27">
        <f>IF(COUNT(H39,H33)&lt;2,"–",(H39-H33)*100)</f>
        <v>-0.37038238514253274</v>
      </c>
      <c r="I75" s="27">
        <f>IF(COUNT(I39,I33)&lt;2,"–",(I39-I33)*100)</f>
        <v>0.0069776803685646545</v>
      </c>
      <c r="J75" s="27" t="str">
        <f>IF(COUNT(J39,J33)&lt;2,"–",(J39-J33)*100)</f>
        <v>–</v>
      </c>
      <c r="K75" s="5" t="s">
        <v>886</v>
      </c>
      <c r="L75" s="26" t="str">
        <f>IF(AND(MAX(D75:J75)&lt;=1,MIN(D75:J75)&gt;=-1),"Đạt","Kiểm tra lại")</f>
        <v>Đạt</v>
      </c>
    </row>
  </sheetData>
  <conditionalFormatting sqref="L5:L76">
    <cfRule type="cellIs" dxfId="4" priority="1" operator="equal">
      <formula>"Kiểm tra lại"</formula>
    </cfRule>
  </conditionalFormatting>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pageSetUpPr fitToPage="1"/>
  </sheetPr>
  <dimension ref="A1:F60"/>
  <sheetViews>
    <sheetView showGridLines="0" workbookViewId="0"/>
  </sheetViews>
  <sheetFormatPr defaultRowHeight="15"/>
  <cols>
    <col min="1" max="1" width="26.7109375" customWidth="1"/>
    <col min="2" max="2" width="30.7109375" customWidth="1"/>
    <col min="3" max="3" width="70.7109375" customWidth="1"/>
    <col min="4" max="4" width="50.7109375" customWidth="1"/>
    <col min="5" max="5" width="14.7109375" customWidth="1"/>
    <col min="6" max="6" width="22.7109375" customWidth="1"/>
    <col min="7" max="7" width="26.7109375" customWidth="1"/>
    <col min="8" max="8" width="40.7109375" customWidth="1"/>
  </cols>
  <sheetData>
    <row r="1" spans="1:6">
      <c r="A1" s="7" t="s">
        <v>887</v>
      </c>
    </row>
    <row r="3" spans="1:6">
      <c r="A3" s="28" t="s">
        <v>888</v>
      </c>
    </row>
    <row r="4" spans="1:6">
      <c r="A4" s="8" t="s">
        <v>889</v>
      </c>
      <c r="B4" s="8" t="s">
        <v>890</v>
      </c>
      <c r="C4" s="8" t="s">
        <v>891</v>
      </c>
      <c r="D4" s="8" t="s">
        <v>892</v>
      </c>
      <c r="E4" s="8" t="s">
        <v>77</v>
      </c>
      <c r="F4" s="8" t="s">
        <v>78</v>
      </c>
    </row>
    <row r="5" spans="1:6">
      <c r="A5" s="5" t="s">
        <v>893</v>
      </c>
      <c r="B5" s="5" t="s">
        <v>894</v>
      </c>
      <c r="C5" s="29" t="s">
        <v>895</v>
      </c>
      <c r="D5" s="29" t="s">
        <v>892</v>
      </c>
      <c r="E5" s="5" t="s">
        <v>98</v>
      </c>
      <c r="F5" s="5" t="s">
        <v>99</v>
      </c>
    </row>
    <row r="6" spans="1:6">
      <c r="A6" s="5" t="s">
        <v>896</v>
      </c>
      <c r="B6" s="5" t="s">
        <v>897</v>
      </c>
      <c r="C6" s="29" t="s">
        <v>898</v>
      </c>
      <c r="D6" s="29" t="s">
        <v>892</v>
      </c>
      <c r="E6" s="5" t="s">
        <v>107</v>
      </c>
      <c r="F6" s="5" t="s">
        <v>108</v>
      </c>
    </row>
    <row r="7" spans="1:6">
      <c r="A7" s="5" t="s">
        <v>899</v>
      </c>
      <c r="B7" s="5" t="s">
        <v>900</v>
      </c>
      <c r="C7" s="29" t="s">
        <v>901</v>
      </c>
      <c r="D7" s="29" t="s">
        <v>892</v>
      </c>
      <c r="E7" s="5" t="s">
        <v>115</v>
      </c>
      <c r="F7" s="5" t="s">
        <v>116</v>
      </c>
    </row>
    <row r="8" spans="1:6">
      <c r="A8" s="5" t="s">
        <v>902</v>
      </c>
      <c r="B8" s="5" t="s">
        <v>903</v>
      </c>
      <c r="C8" s="29" t="s">
        <v>904</v>
      </c>
      <c r="D8" s="29" t="s">
        <v>892</v>
      </c>
      <c r="E8" s="5" t="s">
        <v>123</v>
      </c>
      <c r="F8" s="5" t="s">
        <v>124</v>
      </c>
    </row>
    <row r="9" spans="1:6">
      <c r="A9" s="5" t="s">
        <v>905</v>
      </c>
      <c r="B9" s="5" t="s">
        <v>906</v>
      </c>
      <c r="C9" s="29" t="s">
        <v>907</v>
      </c>
      <c r="D9" s="29" t="s">
        <v>892</v>
      </c>
      <c r="E9" s="5" t="s">
        <v>131</v>
      </c>
      <c r="F9" s="5" t="s">
        <v>132</v>
      </c>
    </row>
    <row r="10" spans="1:6">
      <c r="A10" s="5" t="s">
        <v>908</v>
      </c>
      <c r="B10" s="5" t="s">
        <v>909</v>
      </c>
      <c r="C10" s="29" t="s">
        <v>910</v>
      </c>
      <c r="D10" s="29" t="s">
        <v>892</v>
      </c>
      <c r="E10" s="5" t="s">
        <v>139</v>
      </c>
      <c r="F10" s="5" t="s">
        <v>140</v>
      </c>
    </row>
    <row r="11" spans="1:6">
      <c r="A11" s="5" t="s">
        <v>911</v>
      </c>
      <c r="B11" s="5" t="s">
        <v>912</v>
      </c>
      <c r="C11" s="29" t="s">
        <v>913</v>
      </c>
      <c r="D11" s="29" t="s">
        <v>892</v>
      </c>
      <c r="E11" s="5" t="s">
        <v>147</v>
      </c>
      <c r="F11" s="5" t="s">
        <v>148</v>
      </c>
    </row>
    <row r="13" spans="1:6">
      <c r="A13" s="28" t="s">
        <v>914</v>
      </c>
    </row>
    <row r="14" spans="1:6">
      <c r="A14" s="8" t="s">
        <v>915</v>
      </c>
      <c r="B14" s="8" t="s">
        <v>916</v>
      </c>
      <c r="C14" s="8" t="s">
        <v>917</v>
      </c>
      <c r="D14" s="8" t="s">
        <v>918</v>
      </c>
    </row>
    <row r="15" spans="1:6">
      <c r="A15" s="5" t="s">
        <v>919</v>
      </c>
      <c r="B15" s="5" t="s">
        <v>920</v>
      </c>
      <c r="C15" s="5" t="s">
        <v>921</v>
      </c>
      <c r="D15" s="5" t="s">
        <v>922</v>
      </c>
    </row>
    <row r="16" spans="1:6">
      <c r="A16" s="5" t="s">
        <v>84</v>
      </c>
      <c r="B16" s="5" t="s">
        <v>923</v>
      </c>
      <c r="C16" s="5" t="s">
        <v>924</v>
      </c>
      <c r="D16" s="5" t="s">
        <v>925</v>
      </c>
    </row>
    <row r="17" spans="1:4">
      <c r="A17" s="5" t="s">
        <v>444</v>
      </c>
      <c r="B17" s="5" t="s">
        <v>444</v>
      </c>
      <c r="C17" s="5" t="s">
        <v>926</v>
      </c>
      <c r="D17" s="5" t="s">
        <v>927</v>
      </c>
    </row>
    <row r="18" spans="1:4">
      <c r="A18" s="5" t="s">
        <v>445</v>
      </c>
      <c r="B18" s="5" t="s">
        <v>928</v>
      </c>
      <c r="C18" s="5" t="s">
        <v>929</v>
      </c>
      <c r="D18" s="5" t="s">
        <v>930</v>
      </c>
    </row>
    <row r="19" spans="1:4">
      <c r="A19" s="5" t="s">
        <v>931</v>
      </c>
      <c r="B19" s="5" t="s">
        <v>932</v>
      </c>
      <c r="C19" s="5" t="s">
        <v>933</v>
      </c>
      <c r="D19" s="5" t="s">
        <v>934</v>
      </c>
    </row>
    <row r="20" spans="1:4">
      <c r="A20" s="5" t="s">
        <v>471</v>
      </c>
      <c r="B20" s="5" t="s">
        <v>935</v>
      </c>
      <c r="C20" s="5" t="s">
        <v>936</v>
      </c>
      <c r="D20" s="5" t="s">
        <v>937</v>
      </c>
    </row>
    <row r="21" spans="1:4">
      <c r="A21" s="5" t="s">
        <v>491</v>
      </c>
      <c r="B21" s="5" t="s">
        <v>491</v>
      </c>
      <c r="C21" s="5" t="s">
        <v>938</v>
      </c>
      <c r="D21" s="5" t="s">
        <v>939</v>
      </c>
    </row>
    <row r="22" spans="1:4">
      <c r="A22" s="5" t="s">
        <v>531</v>
      </c>
      <c r="B22" s="5" t="s">
        <v>531</v>
      </c>
      <c r="C22" s="5" t="s">
        <v>940</v>
      </c>
      <c r="D22" s="5" t="s">
        <v>941</v>
      </c>
    </row>
    <row r="23" spans="1:4">
      <c r="A23" s="5" t="s">
        <v>551</v>
      </c>
      <c r="B23" s="5" t="s">
        <v>554</v>
      </c>
      <c r="C23" s="5" t="s">
        <v>942</v>
      </c>
      <c r="D23" s="5" t="s">
        <v>943</v>
      </c>
    </row>
    <row r="24" spans="1:4">
      <c r="A24" s="5" t="s">
        <v>803</v>
      </c>
      <c r="B24" s="5" t="s">
        <v>944</v>
      </c>
      <c r="C24" s="5" t="s">
        <v>945</v>
      </c>
      <c r="D24" s="5" t="s">
        <v>946</v>
      </c>
    </row>
    <row r="25" spans="1:4">
      <c r="A25" s="5" t="s">
        <v>947</v>
      </c>
      <c r="B25" s="5" t="s">
        <v>229</v>
      </c>
      <c r="C25" s="5" t="s">
        <v>948</v>
      </c>
      <c r="D25" s="5" t="s">
        <v>949</v>
      </c>
    </row>
    <row r="26" spans="1:4">
      <c r="A26" s="5" t="s">
        <v>950</v>
      </c>
      <c r="B26" s="5" t="s">
        <v>951</v>
      </c>
      <c r="C26" s="5" t="s">
        <v>952</v>
      </c>
      <c r="D26" s="5" t="s">
        <v>953</v>
      </c>
    </row>
    <row r="27" spans="1:4">
      <c r="A27" s="5" t="s">
        <v>954</v>
      </c>
      <c r="B27" s="5" t="s">
        <v>955</v>
      </c>
      <c r="C27" s="5" t="s">
        <v>956</v>
      </c>
      <c r="D27" s="5" t="s">
        <v>957</v>
      </c>
    </row>
    <row r="28" spans="1:4">
      <c r="A28" s="5" t="s">
        <v>958</v>
      </c>
      <c r="B28" s="5" t="s">
        <v>959</v>
      </c>
      <c r="C28" s="5" t="s">
        <v>960</v>
      </c>
      <c r="D28" s="5" t="s">
        <v>961</v>
      </c>
    </row>
    <row r="29" spans="1:4">
      <c r="A29" s="5" t="s">
        <v>962</v>
      </c>
      <c r="B29" s="5" t="s">
        <v>963</v>
      </c>
      <c r="C29" s="5" t="s">
        <v>964</v>
      </c>
      <c r="D29" s="5" t="s">
        <v>965</v>
      </c>
    </row>
    <row r="30" spans="1:4">
      <c r="A30" s="5" t="s">
        <v>966</v>
      </c>
      <c r="B30" s="5" t="s">
        <v>967</v>
      </c>
      <c r="C30" s="5" t="s">
        <v>968</v>
      </c>
      <c r="D30" s="5" t="s">
        <v>969</v>
      </c>
    </row>
    <row r="31" spans="1:4">
      <c r="A31" s="5" t="s">
        <v>970</v>
      </c>
      <c r="B31" s="5" t="s">
        <v>971</v>
      </c>
      <c r="C31" s="5" t="s">
        <v>972</v>
      </c>
      <c r="D31" s="5" t="s">
        <v>973</v>
      </c>
    </row>
    <row r="32" spans="1:4">
      <c r="A32" s="5" t="s">
        <v>974</v>
      </c>
      <c r="B32" s="5" t="s">
        <v>975</v>
      </c>
      <c r="C32" s="5" t="s">
        <v>976</v>
      </c>
      <c r="D32" s="5" t="s">
        <v>977</v>
      </c>
    </row>
    <row r="33" spans="1:4">
      <c r="A33" s="5" t="s">
        <v>978</v>
      </c>
      <c r="B33" s="5" t="s">
        <v>979</v>
      </c>
      <c r="C33" s="5" t="s">
        <v>980</v>
      </c>
      <c r="D33" s="5" t="s">
        <v>981</v>
      </c>
    </row>
    <row r="35" spans="1:4">
      <c r="A35" s="28" t="s">
        <v>982</v>
      </c>
    </row>
    <row r="36" spans="1:4">
      <c r="A36" s="8" t="s">
        <v>983</v>
      </c>
      <c r="B36" s="8" t="s">
        <v>984</v>
      </c>
      <c r="C36" s="8" t="s">
        <v>985</v>
      </c>
      <c r="D36" s="8" t="s">
        <v>986</v>
      </c>
    </row>
    <row r="37" spans="1:4">
      <c r="A37" s="5" t="s">
        <v>987</v>
      </c>
      <c r="B37" s="5" t="s">
        <v>988</v>
      </c>
      <c r="C37" s="5" t="s">
        <v>989</v>
      </c>
      <c r="D37" s="5" t="s">
        <v>990</v>
      </c>
    </row>
    <row r="38" spans="1:4">
      <c r="A38" s="5" t="s">
        <v>991</v>
      </c>
      <c r="B38" s="5" t="s">
        <v>992</v>
      </c>
      <c r="C38" s="5" t="s">
        <v>993</v>
      </c>
      <c r="D38" s="5" t="s">
        <v>994</v>
      </c>
    </row>
    <row r="39" spans="1:4">
      <c r="A39" s="5" t="s">
        <v>995</v>
      </c>
      <c r="B39" s="5" t="s">
        <v>996</v>
      </c>
      <c r="C39" s="5" t="s">
        <v>997</v>
      </c>
      <c r="D39" s="5" t="s">
        <v>998</v>
      </c>
    </row>
    <row r="40" spans="1:4">
      <c r="A40" s="5" t="s">
        <v>962</v>
      </c>
      <c r="B40" s="5" t="s">
        <v>999</v>
      </c>
      <c r="C40" s="5" t="s">
        <v>1000</v>
      </c>
      <c r="D40" s="5" t="s">
        <v>1001</v>
      </c>
    </row>
    <row r="42" spans="1:4">
      <c r="A42" s="28" t="s">
        <v>1002</v>
      </c>
    </row>
    <row r="43" spans="1:4">
      <c r="A43" s="8" t="s">
        <v>890</v>
      </c>
      <c r="B43" s="8" t="s">
        <v>1003</v>
      </c>
      <c r="C43" s="8" t="s">
        <v>1004</v>
      </c>
      <c r="D43" s="8" t="s">
        <v>1005</v>
      </c>
    </row>
    <row r="44" spans="1:4">
      <c r="A44" s="5" t="s">
        <v>127</v>
      </c>
      <c r="B44" s="5" t="s">
        <v>1006</v>
      </c>
      <c r="C44" s="5" t="s">
        <v>1007</v>
      </c>
      <c r="D44" s="5" t="s">
        <v>1008</v>
      </c>
    </row>
    <row r="45" spans="1:4">
      <c r="A45" s="5" t="s">
        <v>1009</v>
      </c>
      <c r="B45" s="5" t="s">
        <v>1010</v>
      </c>
      <c r="C45" s="5" t="s">
        <v>1011</v>
      </c>
      <c r="D45" s="5" t="s">
        <v>1012</v>
      </c>
    </row>
    <row r="47" spans="1:4">
      <c r="A47" s="28" t="s">
        <v>1013</v>
      </c>
    </row>
    <row r="48" spans="1:4">
      <c r="A48" s="8" t="s">
        <v>1014</v>
      </c>
      <c r="B48" s="8" t="s">
        <v>1015</v>
      </c>
      <c r="C48" s="8" t="s">
        <v>1016</v>
      </c>
      <c r="D48" s="8" t="s">
        <v>1017</v>
      </c>
    </row>
    <row r="49" spans="1:4">
      <c r="A49" s="5" t="s">
        <v>87</v>
      </c>
      <c r="B49" s="5" t="s">
        <v>1018</v>
      </c>
      <c r="C49" s="5" t="s">
        <v>1019</v>
      </c>
      <c r="D49" s="5">
        <v>202</v>
      </c>
    </row>
    <row r="50" spans="1:4">
      <c r="A50" s="5" t="s">
        <v>1020</v>
      </c>
      <c r="B50" s="5" t="s">
        <v>1021</v>
      </c>
      <c r="C50" s="5" t="s">
        <v>1022</v>
      </c>
      <c r="D50" s="5">
        <v>0</v>
      </c>
    </row>
    <row r="51" spans="1:4">
      <c r="A51" s="5" t="s">
        <v>1023</v>
      </c>
      <c r="B51" s="5" t="s">
        <v>1024</v>
      </c>
      <c r="C51" s="5" t="s">
        <v>1025</v>
      </c>
      <c r="D51" s="5">
        <v>0</v>
      </c>
    </row>
    <row r="52" spans="1:4">
      <c r="A52" s="5" t="s">
        <v>622</v>
      </c>
      <c r="B52" s="5" t="s">
        <v>1026</v>
      </c>
      <c r="C52" s="5" t="s">
        <v>1027</v>
      </c>
      <c r="D52" s="5">
        <v>1</v>
      </c>
    </row>
    <row r="53" spans="1:4">
      <c r="A53" s="5" t="s">
        <v>1028</v>
      </c>
      <c r="B53" s="5" t="s">
        <v>1029</v>
      </c>
      <c r="C53" s="5" t="s">
        <v>1030</v>
      </c>
      <c r="D53" s="5">
        <v>0</v>
      </c>
    </row>
    <row r="55" spans="1:4">
      <c r="A55" s="28" t="s">
        <v>1031</v>
      </c>
    </row>
    <row r="56" spans="1:4">
      <c r="A56" s="8" t="s">
        <v>1032</v>
      </c>
      <c r="B56" s="8" t="s">
        <v>1033</v>
      </c>
      <c r="C56" s="8" t="s">
        <v>1034</v>
      </c>
      <c r="D56" s="8" t="s">
        <v>1035</v>
      </c>
    </row>
    <row r="57" spans="1:4">
      <c r="A57" s="5" t="s">
        <v>1036</v>
      </c>
      <c r="B57" s="5" t="s">
        <v>1037</v>
      </c>
      <c r="C57" s="5" t="s">
        <v>1038</v>
      </c>
      <c r="D57" s="5" t="s">
        <v>1039</v>
      </c>
    </row>
    <row r="58" spans="1:4">
      <c r="A58" s="5" t="s">
        <v>1040</v>
      </c>
      <c r="B58" s="5" t="s">
        <v>1041</v>
      </c>
      <c r="C58" s="5" t="s">
        <v>1042</v>
      </c>
      <c r="D58" s="5" t="s">
        <v>1039</v>
      </c>
    </row>
    <row r="59" spans="1:4">
      <c r="A59" s="5" t="s">
        <v>1043</v>
      </c>
      <c r="B59" s="5" t="s">
        <v>1044</v>
      </c>
      <c r="C59" s="5" t="s">
        <v>1045</v>
      </c>
      <c r="D59" s="5" t="s">
        <v>1039</v>
      </c>
    </row>
    <row r="60" spans="1:4">
      <c r="A60" s="5" t="s">
        <v>1046</v>
      </c>
      <c r="B60" s="5" t="s">
        <v>1047</v>
      </c>
      <c r="C60" s="5" t="s">
        <v>1048</v>
      </c>
      <c r="D60" s="5" t="s">
        <v>1049</v>
      </c>
    </row>
  </sheetData>
  <hyperlinks>
    <hyperlink ref="C5" r:id="rId1"/>
    <hyperlink ref="D5" r:id="rId2"/>
    <hyperlink ref="C6" r:id="rId3"/>
    <hyperlink ref="D6" r:id="rId4"/>
    <hyperlink ref="C7" r:id="rId5"/>
    <hyperlink ref="D7" r:id="rId6"/>
    <hyperlink ref="C8" r:id="rId7"/>
    <hyperlink ref="D8" r:id="rId8"/>
    <hyperlink ref="C9" r:id="rId9"/>
    <hyperlink ref="D9" r:id="rId10"/>
    <hyperlink ref="C10" r:id="rId11"/>
    <hyperlink ref="D10" r:id="rId12"/>
    <hyperlink ref="C11" r:id="rId13"/>
    <hyperlink ref="D11" r:id="rId14"/>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01 Tổng quan</vt:lpstr>
      <vt:lpstr>02 Dữ liệu tài chính</vt:lpstr>
      <vt:lpstr>03 Kênh phân phối</vt:lpstr>
      <vt:lpstr>04 KPI &amp; Tính toán</vt:lpstr>
      <vt:lpstr>05 Nguồn &amp; Định nghĩa</vt:lpstr>
      <vt:lpstr>'02 Dữ liệu tài chính'!Print_Titles</vt:lpstr>
      <vt:lpstr>'03 Kênh phân phối'!Print_Titles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NIKE Financial Dataset FY2020–FY2026</dc:title>
  <dc:subject>Dữ liệu tài chính NIKE, Inc. từ Form 10-K</dc:subject>
  <dc:creator>Huyền Trang</dc:creator>
  <dc:description>Nguồn: NIKE, Inc. Form 10-K FY2020–FY2026 (SEC EDGAR).</dc:description>
  <cp:lastModifiedBy>Huyền Trang</cp:lastModifiedBy>
  <dcterms:created xsi:type="dcterms:W3CDTF">2026-10-25T02:35:41Z</dcterms:created>
  <dcterms:modified xsi:type="dcterms:W3CDTF">2026-10-25T02:35:41Z</dcterms:modified>
</cp:coreProperties>
</file>