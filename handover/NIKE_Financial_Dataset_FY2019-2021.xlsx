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01 Tổng quan" sheetId="1" r:id="rId1"/>
    <sheet name="02 Số liệu năm" sheetId="2" r:id="rId2"/>
    <sheet name="03 Số liệu quý" sheetId="3" r:id="rId3"/>
    <sheet name="04 Khu vực" sheetId="4" r:id="rId4"/>
    <sheet name="05 KPI năm" sheetId="5" r:id="rId5"/>
    <sheet name="06 KPI quý" sheetId="6" r:id="rId6"/>
    <sheet name="07 Nguồn và định nghĩa" sheetId="7" r:id="rId7"/>
  </sheets>
  <definedNames>
    <definedName name="_xlnm._FilterDatabase" localSheetId="1" hidden="1">'02 Số liệu năm'!$A$4:$Z$91</definedName>
    <definedName name="_xlnm._FilterDatabase" localSheetId="2" hidden="1">'03 Số liệu quý'!$A$4:$Z$352</definedName>
    <definedName name="_xlnm._FilterDatabase" localSheetId="3" hidden="1">'04 Khu vực'!$A$4:$Z$196</definedName>
    <definedName name="_xlnm.Print_Area" localSheetId="1">'02 Số liệu năm'!$A$1:$H$91</definedName>
    <definedName name="_xlnm.Print_Area" localSheetId="2">'03 Số liệu quý'!$A$1:$H$352</definedName>
    <definedName name="_xlnm.Print_Area" localSheetId="3">'04 Khu vực'!$A$1:$H$196</definedName>
    <definedName name="_xlnm.Print_Area" localSheetId="4">'05 KPI năm'!$B$1:$F$130</definedName>
    <definedName name="_xlnm.Print_Area" localSheetId="5">'06 KPI quý'!$B$1:$O$122</definedName>
    <definedName name="_xlnm.Print_Titles" localSheetId="1">'02 Số liệu năm'!$4:$4</definedName>
    <definedName name="_xlnm.Print_Titles" localSheetId="2">'03 Số liệu quý'!$4:$4</definedName>
    <definedName name="_xlnm.Print_Titles" localSheetId="3">'04 Khu vực'!$4:$4</definedName>
    <definedName name="_xlnm.Print_Titles" localSheetId="4">'05 KPI năm'!$4:$4</definedName>
    <definedName name="_xlnm.Print_Titles" localSheetId="5">'06 KPI quý'!$4:$4</definedName>
  </definedNames>
  <calcPr calcId="124519" fullCalcOnLoad="1"/>
</workbook>
</file>

<file path=xl/sharedStrings.xml><?xml version="1.0" encoding="utf-8"?>
<sst xmlns="http://schemas.openxmlformats.org/spreadsheetml/2006/main" count="16028" uniqueCount="2573">
  <si>
    <t>Bộ dữ liệu tài chính NIKE, Inc. FY2019–FY2021</t>
  </si>
  <si>
    <t>Số liệu theo năm và theo quý cho phần phân tích chiến lược bán trực tiếp (NIKE Direct) của NIKE.</t>
  </si>
  <si>
    <t>Thông tin chung</t>
  </si>
  <si>
    <t>Nội dung</t>
  </si>
  <si>
    <t>Doanh thu theo kênh (NIKE Direct, bán buôn) và theo khu vực, kết quả tài chính của NIKE, Inc., FY2019–FY2021, theo năm và theo 12 quý.</t>
  </si>
  <si>
    <t>Năm tài chính và quý</t>
  </si>
  <si>
    <t>Năm tài chính của NIKE kết thúc ngày 31/5, ví dụ FY2020 là từ 01/06/2019 đến 31/05/2020. Q1: tháng 6–8, Q2: tháng 9–11, Q3: tháng 12–2, Q4: tháng 3–5.</t>
  </si>
  <si>
    <t>Đơn vị</t>
  </si>
  <si>
    <t>Triệu USD, trừ khi cột “Đơn vị” ghi khác (tỷ USD với doanh số Digital, % với các tỷ lệ).</t>
  </si>
  <si>
    <t>Nguồn</t>
  </si>
  <si>
    <t>3 báo cáo năm Form 10‑K và 9 báo cáo quý Form 10‑Q mà NIKE, Inc. nộp cho SEC, cùng 3 thông cáo kết quả quý 4 (Form 8‑K) cho tỷ lệ % của quý 4. 5 báo cáo của các năm sau (đến 10‑K FY2023) chỉ dùng để kiểm tra NIKE có in lại số cũ khác đi không.</t>
  </si>
  <si>
    <t>Quý 4</t>
  </si>
  <si>
    <t>Không có 10‑Q cho quý 4, nên số quý 4 = số cả năm (10‑K) trừ số 9 tháng đầu (in trong 10‑Q quý 3). Số nào có trong thông cáo kết quả quý 4 của NIKE (Form 8‑K) đều khớp; thông cáo không có NIKE Direct, bán buôn và Digital. Tỷ lệ % quý 4 lấy từ thông cáo đó. Riêng hàng tồn kho cuối quý 4 là số ngày 31/5 in trong 10‑K.</t>
  </si>
  <si>
    <t>Cùng kỳ năm trước</t>
  </si>
  <si>
    <t>Số của kỳ nào lấy từ báo cáo của chính kỳ đó. Báo cáo nào cũng in kèm số cùng kỳ năm trước để so sánh; cột “Cùng kỳ năm trước” ghi số này và tăng trưởng được tính từ nó. Riêng tồn kho cuối quý 1–3 lấy số cùng kỳ từ 10‑Q năm trước, vì 10‑Q chỉ in kèm số dư ngày 31/5.</t>
  </si>
  <si>
    <t>Tình trạng</t>
  </si>
  <si>
    <t>Lấy số ngày 25/10/2026. 627 số liệu: 613 số đã được kiểm tra lại và khớp, 14 ô NIKE không công bố (tỷ lệ % của quý 4).</t>
  </si>
  <si>
    <t>Cách dùng</t>
  </si>
  <si>
    <t>1. Đọc số liệu</t>
  </si>
  <si>
    <t>Sheet 02 (theo năm), 03 (theo quý) và 04 (bốn khu vực), mỗi dòng là một chỉ tiêu của một kỳ. Dùng nút lọc ở dòng tiêu đề để chọn chỉ tiêu hoặc kỳ.</t>
  </si>
  <si>
    <t>2. Xem nguồn</t>
  </si>
  <si>
    <t>Bấm link ở cột “Tài liệu nguồn (mở trên SEC)” để mở báo cáo, rồi tìm theo số trang ở cột “Trang” (số in ở cuối trang).</t>
  </si>
  <si>
    <t>3. Trích vào bài</t>
  </si>
  <si>
    <t>Ghi nguồn là báo cáo của kỳ đó kèm số trang. Số quý 4 ghi là tự tính từ 10‑K và 10‑Q quý 3; tỷ lệ % quý 4 ghi nguồn là thông cáo kết quả quý 4 (8‑K).</t>
  </si>
  <si>
    <t>4. Chỉ số</t>
  </si>
  <si>
    <t>Sheet 05 (năm) và 06 (quý) tính các tỷ lệ bằng công thức Excel; cột “Công thức” ghi cách tính, mục E–F là các phép kiểm tra.</t>
  </si>
  <si>
    <t>5. Tra cứu</t>
  </si>
  <si>
    <t>Sheet 07: danh sách báo cáo, thuật ngữ, số liệu còn thiếu, kết quả đối chiếu và các câu NIKE tự giải thích trong 10‑K.</t>
  </si>
  <si>
    <t>Quy ước</t>
  </si>
  <si>
    <t>Màu chữ</t>
  </si>
  <si>
    <t>Xanh dương là số nhập từ báo cáo, xanh lá là số lấy từ sheet khác, đen là số do công thức tính. Số quý 4 tự tính để chữ nghiêng.</t>
  </si>
  <si>
    <t>Số âm</t>
  </si>
  <si>
    <t>Để trong ngoặc đơn, ví dụ (790), như cách NIKE trình bày; tỷ lệ % dùng dấu trừ.</t>
  </si>
  <si>
    <t>Ô trống</t>
  </si>
  <si>
    <t>Số NIKE không công bố để trống, không điền 0. Ở sheet 05–06, “—” là không tính được vì thiếu số.</t>
  </si>
  <si>
    <t>Tỷ lệ %</t>
  </si>
  <si>
    <t>Lưu dạng thập phân (0,14 hiển thị 14%) để dùng được trong công thức.</t>
  </si>
  <si>
    <t>Cột đang ẩn</t>
  </si>
  <si>
    <t>Sheet 02–04 có ba cột ẩn: “Người xác minh”, “Ngày xác minh”, “Ghi chú của nhóm”, để thành viên ghi lại khi tự kiểm tra một số trên báo cáo. Mọi số đều đã được kiểm tra tự động (cột “Đối chiếu”).</t>
  </si>
  <si>
    <t>Dấu phân cách</t>
  </si>
  <si>
    <t>Số được lưu dạng số, nên dấu hàng nghìn và dấu thập phân theo cài đặt vùng của máy: máy đặt tiếng Việt hiện 39.117 và 31,6%; máy đặt tiếng Anh hiện 39,117 và 31.6%.</t>
  </si>
  <si>
    <t>Liên kết dashboard</t>
  </si>
  <si>
    <t>https://miurikyasakytg2006-dot.github.io/nike-financial-dashboard/</t>
  </si>
  <si>
    <t>Số liệu theo năm – FY2019 đến FY2021</t>
  </si>
  <si>
    <t>Kết quả hợp nhất của NIKE, Inc. và doanh thu theo kênh của NIKE Brand. Mỗi dòng là một chỉ tiêu của một năm tài chính.</t>
  </si>
  <si>
    <t>Kỳ</t>
  </si>
  <si>
    <t>Chỉ tiêu</t>
  </si>
  <si>
    <t>Giá trị</t>
  </si>
  <si>
    <t>Tài liệu nguồn (mở trên SEC)</t>
  </si>
  <si>
    <t>Trang</t>
  </si>
  <si>
    <t>Trạng thái dữ liệu</t>
  </si>
  <si>
    <t>Số liệu của</t>
  </si>
  <si>
    <t>Kênh</t>
  </si>
  <si>
    <t>Loại số liệu</t>
  </si>
  <si>
    <t>Mục trong báo cáo</t>
  </si>
  <si>
    <t>Vị trí chi tiết</t>
  </si>
  <si>
    <t>Số hoặc câu in trong báo cáo (số kiểu Mỹ: 39,117 = 39.117; “|” ngăn các ô của một dòng)</t>
  </si>
  <si>
    <t>Đối chiếu</t>
  </si>
  <si>
    <t>Ở báo cáo năm sau</t>
  </si>
  <si>
    <t>Người xác minh</t>
  </si>
  <si>
    <t>Ngày xác minh</t>
  </si>
  <si>
    <t>Ghi chú của nhóm</t>
  </si>
  <si>
    <t>Dòng trong báo cáo (tiếng Anh)</t>
  </si>
  <si>
    <t>Thẻ XBRL</t>
  </si>
  <si>
    <t>Kỳ báo cáo</t>
  </si>
  <si>
    <t>Ngày nộp SEC</t>
  </si>
  <si>
    <t>Số hồ sơ SEC</t>
  </si>
  <si>
    <t>Mã chỉ tiêu</t>
  </si>
  <si>
    <t>Mã quan sát</t>
  </si>
  <si>
    <t>FY2019</t>
  </si>
  <si>
    <t>Doanh thu</t>
  </si>
  <si>
    <t>triệu USD</t>
  </si>
  <si>
    <t>10-K FY2019</t>
  </si>
  <si>
    <t>Khớp nguồn chính thức</t>
  </si>
  <si>
    <t>NIKE, Inc.</t>
  </si>
  <si>
    <t>—</t>
  </si>
  <si>
    <t>Báo cáo tài chính năm, đã kiểm toán (10-K)</t>
  </si>
  <si>
    <t>CONSOLIDATED STATEMENTS OF INCOME</t>
  </si>
  <si>
    <t>Item 8 – Consolidated Statements of Income, dòng “Revenues”</t>
  </si>
  <si>
    <t>39,117</t>
  </si>
  <si>
    <t>Khớp bảng doanh thu trong MD&amp;A (tr. 27); báo cáo năm sau in lại đúng số này.</t>
  </si>
  <si>
    <t>Báo cáo năm sau in lại đúng số này: 10-K FY2020, 10-K FY2021.</t>
  </si>
  <si>
    <t/>
  </si>
  <si>
    <t>Revenues</t>
  </si>
  <si>
    <t>us-gaap:RevenueFromContractWithCustomerExcludingAssessedTax</t>
  </si>
  <si>
    <t>01/06/2018 – 31/05/2019</t>
  </si>
  <si>
    <t>23/07/2019</t>
  </si>
  <si>
    <t>0000320187-19-000051</t>
  </si>
  <si>
    <t>revenues</t>
  </si>
  <si>
    <t>FY2019|revenues</t>
  </si>
  <si>
    <t>FY2020</t>
  </si>
  <si>
    <t>10-K FY2020</t>
  </si>
  <si>
    <t>37,403</t>
  </si>
  <si>
    <t>Khớp bảng doanh thu trong MD&amp;A (tr. 31); báo cáo năm sau in lại đúng số này.</t>
  </si>
  <si>
    <t>Báo cáo năm sau in lại đúng số này: 10-K FY2021, 10-K FY2022.</t>
  </si>
  <si>
    <t>01/06/2019 – 31/05/2020</t>
  </si>
  <si>
    <t>24/07/2020</t>
  </si>
  <si>
    <t>0000320187-20-000047</t>
  </si>
  <si>
    <t>FY2020|revenues</t>
  </si>
  <si>
    <t>FY2021</t>
  </si>
  <si>
    <t>10-K FY2021</t>
  </si>
  <si>
    <t>44,538</t>
  </si>
  <si>
    <t>Khớp bảng doanh thu trong MD&amp;A (tr. 32); báo cáo năm sau in lại đúng số này.</t>
  </si>
  <si>
    <t>Báo cáo năm sau in lại đúng số này: 10-K FY2022, 10-K FY2023.</t>
  </si>
  <si>
    <t>01/06/2020 – 31/05/2021</t>
  </si>
  <si>
    <t>20/07/2021</t>
  </si>
  <si>
    <t>0000320187-21-000028</t>
  </si>
  <si>
    <t>FY2021|revenues</t>
  </si>
  <si>
    <t>Giá vốn hàng bán</t>
  </si>
  <si>
    <t>Item 8 – Consolidated Statements of Income, dòng “Cost of sales”</t>
  </si>
  <si>
    <t>21,643</t>
  </si>
  <si>
    <t>Báo cáo năm sau in lại đúng số này.</t>
  </si>
  <si>
    <t>Cost of sales</t>
  </si>
  <si>
    <t>us-gaap:CostOfGoodsAndServicesSold</t>
  </si>
  <si>
    <t>cost_of_sales</t>
  </si>
  <si>
    <t>FY2019|cost_of_sales</t>
  </si>
  <si>
    <t>21,162</t>
  </si>
  <si>
    <t>FY2020|cost_of_sales</t>
  </si>
  <si>
    <t>24,576</t>
  </si>
  <si>
    <t>FY2021|cost_of_sales</t>
  </si>
  <si>
    <t>Lợi nhuận gộp</t>
  </si>
  <si>
    <t>Item 8 – Consolidated Statements of Income, dòng “Gross profit”</t>
  </si>
  <si>
    <t>17,474</t>
  </si>
  <si>
    <t>Gross profit</t>
  </si>
  <si>
    <t>us-gaap:GrossProfit</t>
  </si>
  <si>
    <t>gross_profit</t>
  </si>
  <si>
    <t>FY2019|gross_profit</t>
  </si>
  <si>
    <t>16,241</t>
  </si>
  <si>
    <t>FY2020|gross_profit</t>
  </si>
  <si>
    <t>19,962</t>
  </si>
  <si>
    <t>FY2021|gross_profit</t>
  </si>
  <si>
    <t>Chi phí tạo nhu cầu</t>
  </si>
  <si>
    <t>Item 8 – Consolidated Statements of Income, dòng “Demand creation expense”</t>
  </si>
  <si>
    <t>3,753</t>
  </si>
  <si>
    <t>Demand creation expense</t>
  </si>
  <si>
    <t>us-gaap:MarketingAndAdvertisingExpense</t>
  </si>
  <si>
    <t>demand_creation_expense</t>
  </si>
  <si>
    <t>FY2019|demand_creation_expense</t>
  </si>
  <si>
    <t>3,592</t>
  </si>
  <si>
    <t>FY2020|demand_creation_expense</t>
  </si>
  <si>
    <t>3,114</t>
  </si>
  <si>
    <t>FY2021|demand_creation_expense</t>
  </si>
  <si>
    <t>Chi phí vận hành chung</t>
  </si>
  <si>
    <t>Item 8 – Consolidated Statements of Income, dòng “Operating overhead expense”</t>
  </si>
  <si>
    <t>8,949</t>
  </si>
  <si>
    <t>Operating overhead expense</t>
  </si>
  <si>
    <t>us-gaap:GeneralAndAdministrativeExpense</t>
  </si>
  <si>
    <t>operating_overhead_expense</t>
  </si>
  <si>
    <t>FY2019|operating_overhead_expense</t>
  </si>
  <si>
    <t>9,534</t>
  </si>
  <si>
    <t>FY2020|operating_overhead_expense</t>
  </si>
  <si>
    <t>9,911</t>
  </si>
  <si>
    <t>FY2021|operating_overhead_expense</t>
  </si>
  <si>
    <t>Tổng chi phí bán hàng và quản lý (SG&amp;A)</t>
  </si>
  <si>
    <t>Item 8 – Consolidated Statements of Income, dòng “Total selling and administrative expense”</t>
  </si>
  <si>
    <t>12,702</t>
  </si>
  <si>
    <t>Total selling and administrative expense</t>
  </si>
  <si>
    <t>us-gaap:SellingGeneralAndAdministrativeExpense</t>
  </si>
  <si>
    <t>total_selling_admin_expense</t>
  </si>
  <si>
    <t>FY2019|total_selling_admin_expense</t>
  </si>
  <si>
    <t>13,126</t>
  </si>
  <si>
    <t>FY2020|total_selling_admin_expense</t>
  </si>
  <si>
    <t>13,025</t>
  </si>
  <si>
    <t>FY2021|total_selling_admin_expense</t>
  </si>
  <si>
    <t>Chi phí (thu nhập) lãi thuần</t>
  </si>
  <si>
    <t>Item 8 – Consolidated Statements of Income, dòng “Interest expense (income), net”</t>
  </si>
  <si>
    <t>49</t>
  </si>
  <si>
    <t>Interest expense (income), net</t>
  </si>
  <si>
    <t>us-gaap:InterestIncomeExpenseNonoperatingNet</t>
  </si>
  <si>
    <t>interest_expense_net</t>
  </si>
  <si>
    <t>FY2019|interest_expense_net</t>
  </si>
  <si>
    <t>89</t>
  </si>
  <si>
    <t>FY2020|interest_expense_net</t>
  </si>
  <si>
    <t>262</t>
  </si>
  <si>
    <t>FY2021|interest_expense_net</t>
  </si>
  <si>
    <t>Chi phí (thu nhập) khác thuần</t>
  </si>
  <si>
    <t>Item 8 – Consolidated Statements of Income, dòng “Other (income) expense, net”</t>
  </si>
  <si>
    <t>(78)</t>
  </si>
  <si>
    <t>Other (income) expense, net</t>
  </si>
  <si>
    <t>us-gaap:OtherNonoperatingIncomeExpense</t>
  </si>
  <si>
    <t>other_expense_net</t>
  </si>
  <si>
    <t>FY2019|other_expense_net</t>
  </si>
  <si>
    <t>139</t>
  </si>
  <si>
    <t>FY2020|other_expense_net</t>
  </si>
  <si>
    <t>14</t>
  </si>
  <si>
    <t>FY2021|other_expense_net</t>
  </si>
  <si>
    <t>Lợi nhuận trước thuế</t>
  </si>
  <si>
    <t>Item 8 – Consolidated Statements of Income, dòng “Income before income taxes”</t>
  </si>
  <si>
    <t>4,801</t>
  </si>
  <si>
    <t>Income before income taxes</t>
  </si>
  <si>
    <t>us-gaap:IncomeLossFromContinuingOperationsBeforeIncomeTaxesMinorityInterestAndIncomeLossFromEquityMethodInvestments</t>
  </si>
  <si>
    <t>income_before_taxes</t>
  </si>
  <si>
    <t>FY2019|income_before_taxes</t>
  </si>
  <si>
    <t>2,887</t>
  </si>
  <si>
    <t>FY2020|income_before_taxes</t>
  </si>
  <si>
    <t>6,661</t>
  </si>
  <si>
    <t>FY2021|income_before_taxes</t>
  </si>
  <si>
    <t>Chi phí thuế thu nhập</t>
  </si>
  <si>
    <t>Item 8 – Consolidated Statements of Income, dòng “Income tax expense”</t>
  </si>
  <si>
    <t>772</t>
  </si>
  <si>
    <t>Income tax expense</t>
  </si>
  <si>
    <t>us-gaap:IncomeTaxExpenseBenefit</t>
  </si>
  <si>
    <t>income_tax_expense</t>
  </si>
  <si>
    <t>FY2019|income_tax_expense</t>
  </si>
  <si>
    <t>348</t>
  </si>
  <si>
    <t>FY2020|income_tax_expense</t>
  </si>
  <si>
    <t>934</t>
  </si>
  <si>
    <t>FY2021|income_tax_expense</t>
  </si>
  <si>
    <t>Lợi nhuận sau thuế</t>
  </si>
  <si>
    <t>Item 8 – Consolidated Statements of Income, dòng “Net income”</t>
  </si>
  <si>
    <t>4,029</t>
  </si>
  <si>
    <t>Net income</t>
  </si>
  <si>
    <t>us-gaap:NetIncomeLoss</t>
  </si>
  <si>
    <t>net_income</t>
  </si>
  <si>
    <t>FY2019|net_income</t>
  </si>
  <si>
    <t>2,539</t>
  </si>
  <si>
    <t>FY2020|net_income</t>
  </si>
  <si>
    <t>5,727</t>
  </si>
  <si>
    <t>FY2021|net_income</t>
  </si>
  <si>
    <t>Hàng tồn kho cuối kỳ</t>
  </si>
  <si>
    <t>CONSOLIDATED BALANCE SHEETS</t>
  </si>
  <si>
    <t>Item 8 – Consolidated Balance Sheets, dòng “Inventories”</t>
  </si>
  <si>
    <t>5,622</t>
  </si>
  <si>
    <t>Khớp câu trong thuyết minh hàng tồn kho (tr. 64); báo cáo năm sau in lại đúng số này.</t>
  </si>
  <si>
    <t>Báo cáo năm sau in lại đúng số này: 10-Q Q1 FY2020, 10-Q Q2 FY2020, 10-Q Q3 FY2020, 10-K FY2020.</t>
  </si>
  <si>
    <t>Inventories</t>
  </si>
  <si>
    <t>us-gaap:InventoryFinishedGoodsNetOfReserves</t>
  </si>
  <si>
    <t>Số dư tại 31/05/2019</t>
  </si>
  <si>
    <t>inventories</t>
  </si>
  <si>
    <t>FY2019|inventories</t>
  </si>
  <si>
    <t>7,367</t>
  </si>
  <si>
    <t>Khớp câu trong thuyết minh hàng tồn kho (tr. 69); báo cáo năm sau in lại đúng số này.</t>
  </si>
  <si>
    <t>Báo cáo năm sau in lại đúng số này: 10-Q Q1 FY2021, 10-Q Q2 FY2021, 10-Q Q3 FY2021, 10-K FY2021.</t>
  </si>
  <si>
    <t>Số dư tại 31/05/2020</t>
  </si>
  <si>
    <t>FY2020|inventories</t>
  </si>
  <si>
    <t>6,854</t>
  </si>
  <si>
    <t>Báo cáo năm sau in lại đúng số này: 10-Q Q1 FY2022, 10-Q Q2 FY2022, 10-Q Q3 FY2022, 10-K FY2022.</t>
  </si>
  <si>
    <t>Số dư tại 31/05/2021</t>
  </si>
  <si>
    <t>FY2021|inventories</t>
  </si>
  <si>
    <t>EBIT do NIKE công bố</t>
  </si>
  <si>
    <t>Chỉ tiêu NIKE tự định nghĩa (non-GAAP)</t>
  </si>
  <si>
    <t>ITEM 7 – MD&amp;A</t>
  </si>
  <si>
    <t>Item 7 – MD&amp;A, bảng EBIT theo bộ phận, dòng “TOTAL NIKE, INC. EARNINGS BEFORE INTEREST AND TAXES”</t>
  </si>
  <si>
    <t>TOTAL NIKE, INC. EARNINGS BEFORE INTEREST AND TAXES | 4,850 | 4,379 | 11 | 4,945 | -11</t>
  </si>
  <si>
    <t>Báo cáo năm sau in lại đúng số này; khớp số tính lại từ báo cáo tài chính (chênh 0 triệu USD, ngưỡng ±1 triệu USD).</t>
  </si>
  <si>
    <t>Total NIKE, Inc. Earnings Before Interest and Taxes (EBIT)</t>
  </si>
  <si>
    <t>Không gắn thẻ XBRL (MD&amp;A)</t>
  </si>
  <si>
    <t>ebit_reported</t>
  </si>
  <si>
    <t>FY2019|ebit_reported</t>
  </si>
  <si>
    <t>TOTAL NIKE, INC. EARNINGS BEFORE INTEREST AND TAXES(1) | 2,976 | 4,850 | -39 | 4,379 | 11</t>
  </si>
  <si>
    <t>FY2020|ebit_reported</t>
  </si>
  <si>
    <t>TOTAL NIKE, INC. EARNINGS BEFORE INTEREST AND TAXES(1) | 6,923 | 2,976 | 133 | 4,850 | -39</t>
  </si>
  <si>
    <t>FY2021|ebit_reported</t>
  </si>
  <si>
    <t>% thay đổi doanh thu (NIKE công bố, đã làm tròn)</t>
  </si>
  <si>
    <t>%</t>
  </si>
  <si>
    <t>Tỷ lệ % NIKE in trong MD&amp;A</t>
  </si>
  <si>
    <t>Item 7 – MD&amp;A, bảng doanh thu, dòng TOTAL NIKE, INC. REVENUES, cột “% CHANGE”</t>
  </si>
  <si>
    <t>TOTAL NIKE, INC. REVENUES | 39,117 | 36,397 | 7 | 11 | 34,350 | 6 | 4</t>
  </si>
  <si>
    <t>Khớp bảng doanh thu theo khu vực trong MD&amp;A (tr. 30); báo cáo năm sau in lại đúng số này; khớp số tính lại từ báo cáo tài chính (chênh +0,47 điểm %, ngưỡng ±1 điểm %).</t>
  </si>
  <si>
    <t>Báo cáo năm sau in lại đúng số này: 10-K FY2020.</t>
  </si>
  <si>
    <t>TOTAL NIKE, INC. REVENUES – % change</t>
  </si>
  <si>
    <t>revenues_pct_change_reported</t>
  </si>
  <si>
    <t>FY2019|revenues_pct_change_reported</t>
  </si>
  <si>
    <t>TOTAL NIKE, INC. REVENUES | 37,403 | 39,117 | -4 | -2 | 36,397 | 7 | 11</t>
  </si>
  <si>
    <t>Khớp bảng doanh thu theo khu vực trong MD&amp;A (tr. 35); báo cáo năm sau in lại đúng số này; khớp số tính lại từ báo cáo tài chính (chênh −0,38 điểm %, ngưỡng ±1 điểm %).</t>
  </si>
  <si>
    <t>Báo cáo năm sau in lại đúng số này: 10-K FY2021.</t>
  </si>
  <si>
    <t>FY2020|revenues_pct_change_reported</t>
  </si>
  <si>
    <t>TOTAL NIKE, INC. REVENUES | 44,538 | 37,403 | 19 | 17 | 39,117 | -4 | -2</t>
  </si>
  <si>
    <t>Khớp bảng doanh thu theo khu vực trong MD&amp;A (tr. 36); báo cáo năm sau in lại đúng số này; khớp số tính lại từ báo cáo tài chính (chênh +0,08 điểm %, ngưỡng ±1 điểm %).</t>
  </si>
  <si>
    <t>Báo cáo năm sau in lại đúng số này: 10-K FY2022.</t>
  </si>
  <si>
    <t>FY2021|revenues_pct_change_reported</t>
  </si>
  <si>
    <t>% thay đổi doanh thu loại trừ tỷ giá</t>
  </si>
  <si>
    <t>Item 7 – MD&amp;A, bảng doanh thu, dòng TOTAL NIKE, INC. REVENUES, cột “% CHANGE EXCLUDING CURRENCY CHANGES”</t>
  </si>
  <si>
    <t>Khớp bảng doanh thu theo khu vực trong MD&amp;A (tr. 30); báo cáo năm sau in lại đúng số này.</t>
  </si>
  <si>
    <t>TOTAL NIKE, INC. REVENUES – % change excluding currency changes</t>
  </si>
  <si>
    <t>revenues_pct_change_cn</t>
  </si>
  <si>
    <t>FY2019|revenues_pct_change_cn</t>
  </si>
  <si>
    <t>Khớp bảng doanh thu theo khu vực trong MD&amp;A (tr. 35); báo cáo năm sau in lại đúng số này.</t>
  </si>
  <si>
    <t>FY2020|revenues_pct_change_cn</t>
  </si>
  <si>
    <t>Khớp bảng doanh thu theo khu vực trong MD&amp;A (tr. 36); báo cáo năm sau in lại đúng số này.</t>
  </si>
  <si>
    <t>FY2021|revenues_pct_change_cn</t>
  </si>
  <si>
    <t>Doanh thu NIKE Direct</t>
  </si>
  <si>
    <t>NIKE Brand</t>
  </si>
  <si>
    <t>NIKE Direct</t>
  </si>
  <si>
    <t>NOTE 16 — REVENUES</t>
  </si>
  <si>
    <t>Item 8 – thuyết minh “Revenues”, bảng phân tách doanh thu, Sales through Direct to Consumer, cột Total NIKE Brand</t>
  </si>
  <si>
    <t>11,753</t>
  </si>
  <si>
    <t>Sales through Direct to Consumer (NIKE Brand)</t>
  </si>
  <si>
    <t>us-gaap:RevenueFromContractWithCustomerExcludingAssessedTax [ConsolidationItemsAxis=OperatingSegmentsMember; ContractWithCustomerSalesChannelAxis=SalesChannelDirectlyToConsumerMember; StatementBusinessSegmentsAxis=NIKEBrandMember]</t>
  </si>
  <si>
    <t>nike_direct_revenue</t>
  </si>
  <si>
    <t>FY2019|nike_direct_revenue</t>
  </si>
  <si>
    <t>12,382</t>
  </si>
  <si>
    <t>FY2020|nike_direct_revenue</t>
  </si>
  <si>
    <t>16,370</t>
  </si>
  <si>
    <t>FY2021|nike_direct_revenue</t>
  </si>
  <si>
    <t>Doanh thu bán buôn NIKE Brand</t>
  </si>
  <si>
    <t>Bán buôn (Wholesale)</t>
  </si>
  <si>
    <t>Item 8 – thuyết minh “Revenues”, bảng phân tách doanh thu, Sales to Wholesale Customers, cột Total NIKE Brand</t>
  </si>
  <si>
    <t>25,423</t>
  </si>
  <si>
    <t>Sales to Wholesale Customers (NIKE Brand)</t>
  </si>
  <si>
    <t>us-gaap:RevenueFromContractWithCustomerExcludingAssessedTax [ConsolidationItemsAxis=OperatingSegmentsMember; ContractWithCustomerSalesChannelAxis=SalesChannelWholesaleMember; StatementBusinessSegmentsAxis=NIKEBrandMember]</t>
  </si>
  <si>
    <t>nike_brand_wholesale_revenue</t>
  </si>
  <si>
    <t>FY2019|nike_brand_wholesale_revenue</t>
  </si>
  <si>
    <t>23,156</t>
  </si>
  <si>
    <t>FY2020|nike_brand_wholesale_revenue</t>
  </si>
  <si>
    <t>25,898</t>
  </si>
  <si>
    <t>FY2021|nike_brand_wholesale_revenue</t>
  </si>
  <si>
    <t>Doanh thu Global Brand Divisions</t>
  </si>
  <si>
    <t>Global Brand Divisions</t>
  </si>
  <si>
    <t>Item 8 – thuyết minh “Revenues”, bảng phân tách doanh thu, Other, cột Total NIKE Brand</t>
  </si>
  <si>
    <t>42</t>
  </si>
  <si>
    <t>Other / Global Brand Divisions (NIKE Brand)</t>
  </si>
  <si>
    <t>us-gaap:RevenueFromContractWithCustomerExcludingAssessedTax [ConsolidationItemsAxis=OperatingSegmentsMember; ContractWithCustomerSalesChannelAxis=SalesChannelOtherMember; StatementBusinessSegmentsAxis=NIKEBrandMember]</t>
  </si>
  <si>
    <t>global_brand_divisions_revenue</t>
  </si>
  <si>
    <t>FY2019|global_brand_divisions_revenue</t>
  </si>
  <si>
    <t>30</t>
  </si>
  <si>
    <t>FY2020|global_brand_divisions_revenue</t>
  </si>
  <si>
    <t>25</t>
  </si>
  <si>
    <t>FY2021|global_brand_divisions_revenue</t>
  </si>
  <si>
    <t>Tổng doanh thu NIKE Brand</t>
  </si>
  <si>
    <t>Tổng NIKE Brand</t>
  </si>
  <si>
    <t>Item 8 – thuyết minh “Revenues”, bảng phân tách doanh thu, TOTAL REVENUES, cột Total NIKE Brand</t>
  </si>
  <si>
    <t>37,218</t>
  </si>
  <si>
    <t>Total NIKE Brand revenues</t>
  </si>
  <si>
    <t>us-gaap:RevenueFromContractWithCustomerExcludingAssessedTax [ConsolidationItemsAxis=OperatingSegmentsMember; StatementBusinessSegmentsAxis=NIKEBrandMember]</t>
  </si>
  <si>
    <t>nike_brand_revenue</t>
  </si>
  <si>
    <t>FY2019|nike_brand_revenue</t>
  </si>
  <si>
    <t>35,568</t>
  </si>
  <si>
    <t>FY2020|nike_brand_revenue</t>
  </si>
  <si>
    <t>42,293</t>
  </si>
  <si>
    <t>FY2021|nike_brand_revenue</t>
  </si>
  <si>
    <t>Doanh thu Converse</t>
  </si>
  <si>
    <t>Converse</t>
  </si>
  <si>
    <t>Item 8 – thuyết minh “Revenues”, bảng phân tách doanh thu, TOTAL REVENUES, cột Converse</t>
  </si>
  <si>
    <t>1,906</t>
  </si>
  <si>
    <t>Converse revenues</t>
  </si>
  <si>
    <t>us-gaap:RevenueFromContractWithCustomerExcludingAssessedTax [ConsolidationItemsAxis=OperatingSegmentsMember; StatementBusinessSegmentsAxis=ConverseSegmentMember]</t>
  </si>
  <si>
    <t>converse_revenue</t>
  </si>
  <si>
    <t>FY2019|converse_revenue</t>
  </si>
  <si>
    <t>1,846</t>
  </si>
  <si>
    <t>FY2020|converse_revenue</t>
  </si>
  <si>
    <t>2,205</t>
  </si>
  <si>
    <t>FY2021|converse_revenue</t>
  </si>
  <si>
    <t>Doanh thu Corporate</t>
  </si>
  <si>
    <t>Corporate</t>
  </si>
  <si>
    <t>Item 8 – thuyết minh “Revenues”, bảng phân tách doanh thu, TOTAL REVENUES, cột Corporate</t>
  </si>
  <si>
    <t>(7)</t>
  </si>
  <si>
    <t>Corporate revenues</t>
  </si>
  <si>
    <t>us-gaap:RevenueFromContractWithCustomerExcludingAssessedTax [ConsolidationItemsAxis=CorporateNonSegmentMember]</t>
  </si>
  <si>
    <t>corporate_revenue</t>
  </si>
  <si>
    <t>FY2019|corporate_revenue</t>
  </si>
  <si>
    <t>(11)</t>
  </si>
  <si>
    <t>FY2020|corporate_revenue</t>
  </si>
  <si>
    <t>40</t>
  </si>
  <si>
    <t>FY2021|corporate_revenue</t>
  </si>
  <si>
    <t>Doanh số NIKE Brand Digital</t>
  </si>
  <si>
    <t>tỷ USD</t>
  </si>
  <si>
    <t>NIKE Direct – Digital</t>
  </si>
  <si>
    <t>Ban điều hành nêu trong MD&amp;A, không kiểm toán</t>
  </si>
  <si>
    <t>Item 7 – MD&amp;A, đoạn về NIKE Direct, câu “Digital commerce sales were …” (quý 2–3 FY2021: “Digital sales were …”)</t>
  </si>
  <si>
    <t>Digital commerce sales were $3.8 billion for fiscal 2019 compared to $2.8 billion for fiscal 2018.</t>
  </si>
  <si>
    <t>Digital commerce sales (Q2–Q3 FY2021: “Digital sales”)</t>
  </si>
  <si>
    <t>nike_brand_digital_sales</t>
  </si>
  <si>
    <t>FY2019|nike_brand_digital_sales</t>
  </si>
  <si>
    <t>Digital commerce sales were $5.5 billion for fiscal 2020 compared to $3.8 billion for fiscal 2019.</t>
  </si>
  <si>
    <t>FY2020|nike_brand_digital_sales</t>
  </si>
  <si>
    <t>Digital commerce sales were $9.1 billion for fiscal 2021 compared to $5.5 billion for fiscal 2020.</t>
  </si>
  <si>
    <t>FY2021|nike_brand_digital_sales</t>
  </si>
  <si>
    <t>Tỷ trọng NIKE Direct do NIKE nêu (xấp xỉ)</t>
  </si>
  <si>
    <t>Item 7 – MD&amp;A, đoạn về NIKE Direct, câu “NIKE Direct revenues represented approximately …%”</t>
  </si>
  <si>
    <t>On a reported basis, NIKE Direct revenues represented approximately 32% of our total NIKE Brand revenues for fiscal 2019 compared to 30% for fiscal 2018.</t>
  </si>
  <si>
    <t>Báo cáo năm sau in lại đúng số này; khớp số tính lại từ báo cáo tài chính (chênh −0,42 điểm %, ngưỡng ±1 điểm %).</t>
  </si>
  <si>
    <t>NIKE Direct as approx. % of total NIKE Brand revenues (as stated)</t>
  </si>
  <si>
    <t>nike_direct_share_stated</t>
  </si>
  <si>
    <t>FY2019|nike_direct_share_stated</t>
  </si>
  <si>
    <t>On a reported basis, NIKE Direct revenues represented approximately 35% of our total NIKE Brand revenues for fiscal 2020, compared to 32% for fiscal 2019.</t>
  </si>
  <si>
    <t>Báo cáo năm sau in lại đúng số này; khớp số tính lại từ báo cáo tài chính (chênh −0,19 điểm %, ngưỡng ±1 điểm %).</t>
  </si>
  <si>
    <t>FY2020|nike_direct_share_stated</t>
  </si>
  <si>
    <t>On a reported basis, NIKE Direct revenues represented approximately 39% of our total NIKE Brand revenues for fiscal 2021 compared to 35% for fiscal 2020.</t>
  </si>
  <si>
    <t>Báo cáo năm sau in lại đúng số này; khớp số tính lại từ báo cáo tài chính (chênh −0,29 điểm %, ngưỡng ±1 điểm %).</t>
  </si>
  <si>
    <t>FY2021|nike_direct_share_stated</t>
  </si>
  <si>
    <t>% thay đổi NIKE Direct (NIKE công bố, đã làm tròn)</t>
  </si>
  <si>
    <t>Item 7 – MD&amp;A, bảng doanh thu, dòng Sales through NIKE Direct, cột “% CHANGE”</t>
  </si>
  <si>
    <t>Sales through NIKE Direct | 11,753 | 10,428 | 13 | 16 | 9,082 | 15 | 12</t>
  </si>
  <si>
    <t>Sales through NIKE Direct – % change</t>
  </si>
  <si>
    <t>nike_direct_pct_change_reported</t>
  </si>
  <si>
    <t>FY2019|nike_direct_pct_change_reported</t>
  </si>
  <si>
    <t>Sales through NIKE Direct | 12,382 | 11,753 | 5 | 8 | 10,428 | 13 | 16</t>
  </si>
  <si>
    <t>Báo cáo năm sau in lại đúng số này; khớp số tính lại từ báo cáo tài chính (chênh +0,35 điểm %, ngưỡng ±1 điểm %).</t>
  </si>
  <si>
    <t>FY2020|nike_direct_pct_change_reported</t>
  </si>
  <si>
    <t>Sales through NIKE Direct | 16,370 | 12,382 | 32 | 30 | 11,753 | 5 | 8</t>
  </si>
  <si>
    <t>Báo cáo năm sau in lại đúng số này; khớp số tính lại từ báo cáo tài chính (chênh +0,21 điểm %, ngưỡng ±1 điểm %).</t>
  </si>
  <si>
    <t>FY2021|nike_direct_pct_change_reported</t>
  </si>
  <si>
    <t>% thay đổi NIKE Direct loại trừ tỷ giá</t>
  </si>
  <si>
    <t>Item 7 – MD&amp;A, bảng doanh thu, dòng Sales through NIKE Direct, cột “% CHANGE EXCLUDING CURRENCY CHANGES”</t>
  </si>
  <si>
    <t>Khớp câu trong MD&amp;A (tr. 28); báo cáo năm sau in lại đúng số này.</t>
  </si>
  <si>
    <t>Sales through NIKE Direct – % change excluding currency changes</t>
  </si>
  <si>
    <t>nike_direct_pct_change_cn</t>
  </si>
  <si>
    <t>FY2019|nike_direct_pct_change_cn</t>
  </si>
  <si>
    <t>Khớp câu trong MD&amp;A (tr. 32); báo cáo năm sau in lại đúng số này.</t>
  </si>
  <si>
    <t>FY2020|nike_direct_pct_change_cn</t>
  </si>
  <si>
    <t>Khớp câu trong MD&amp;A (tr. 33); báo cáo năm sau in lại đúng số này.</t>
  </si>
  <si>
    <t>FY2021|nike_direct_pct_change_cn</t>
  </si>
  <si>
    <t>% thay đổi bán buôn (NIKE công bố, đã làm tròn)</t>
  </si>
  <si>
    <t>Item 7 – MD&amp;A, bảng doanh thu, dòng Sales to Wholesale Customers, cột “% CHANGE”</t>
  </si>
  <si>
    <t>Sales to Wholesale Customers | 25,423 | 23,969 | 6 | 10 | 23,078 | 4 | 2</t>
  </si>
  <si>
    <t>Báo cáo năm sau in lại đúng số này; khớp số tính lại từ báo cáo tài chính (chênh +0,07 điểm %, ngưỡng ±1 điểm %).</t>
  </si>
  <si>
    <t>Sales to Wholesale Customers – % change</t>
  </si>
  <si>
    <t>nike_brand_wholesale_pct_change_reported</t>
  </si>
  <si>
    <t>FY2019|nike_brand_wholesale_pct_change_reported</t>
  </si>
  <si>
    <t>Sales to Wholesale Customers | 23,156 | 25,423 | -9 | -7 | 23,969 | 6 | 10</t>
  </si>
  <si>
    <t>Báo cáo năm sau in lại đúng số này; khớp số tính lại từ báo cáo tài chính (chênh +0,08 điểm %, ngưỡng ±1 điểm %).</t>
  </si>
  <si>
    <t>FY2020|nike_brand_wholesale_pct_change_reported</t>
  </si>
  <si>
    <t>Sales to Wholesale Customers | 25,898 | 23,156 | 12 | 10 | 25,423 | -9 | -7</t>
  </si>
  <si>
    <t>Báo cáo năm sau in lại đúng số này; khớp số tính lại từ báo cáo tài chính (chênh −0,16 điểm %, ngưỡng ±1 điểm %).</t>
  </si>
  <si>
    <t>FY2021|nike_brand_wholesale_pct_change_reported</t>
  </si>
  <si>
    <t>% thay đổi bán buôn loại trừ tỷ giá</t>
  </si>
  <si>
    <t>Item 7 – MD&amp;A, bảng doanh thu, dòng Sales to Wholesale Customers, cột “% CHANGE EXCLUDING CURRENCY CHANGES”</t>
  </si>
  <si>
    <t>Sales to Wholesale Customers – % change excluding currency changes</t>
  </si>
  <si>
    <t>nike_brand_wholesale_pct_change_cn</t>
  </si>
  <si>
    <t>FY2019|nike_brand_wholesale_pct_change_cn</t>
  </si>
  <si>
    <t>FY2020|nike_brand_wholesale_pct_change_cn</t>
  </si>
  <si>
    <t>FY2021|nike_brand_wholesale_pct_change_cn</t>
  </si>
  <si>
    <t>% thay đổi doanh thu NIKE Brand (NIKE công bố, đã làm tròn)</t>
  </si>
  <si>
    <t>Item 7 – MD&amp;A, bảng doanh thu, dòng TOTAL NIKE BRAND REVENUES, cột “% CHANGE”</t>
  </si>
  <si>
    <t>Total NIKE Brand Revenues | 37,218 | 34,485 | 8 | 11 | 32,233 | 7 | 5</t>
  </si>
  <si>
    <t>Khớp bảng doanh thu theo khu vực trong MD&amp;A (tr. 30); báo cáo năm sau in lại đúng số này; khớp số tính lại từ báo cáo tài chính (chênh −0,07 điểm %, ngưỡng ±1 điểm %).</t>
  </si>
  <si>
    <t>TOTAL NIKE BRAND REVENUES – % change</t>
  </si>
  <si>
    <t>nike_brand_pct_change_reported</t>
  </si>
  <si>
    <t>FY2019|nike_brand_pct_change_reported</t>
  </si>
  <si>
    <t>Total NIKE Brand Revenues | 35,568 | 37,218 | -4 | -2 | 34,485 | 8 | 11</t>
  </si>
  <si>
    <t>Khớp bảng doanh thu theo khu vực trong MD&amp;A (tr. 35); báo cáo năm sau in lại đúng số này; khớp số tính lại từ báo cáo tài chính (chênh −0,43 điểm %, ngưỡng ±1 điểm %).</t>
  </si>
  <si>
    <t>FY2020|nike_brand_pct_change_reported</t>
  </si>
  <si>
    <t>Total NIKE Brand Revenues | 42,293 | 35,568 | 19 | 17 | 37,218 | -4 | -2</t>
  </si>
  <si>
    <t>Khớp bảng doanh thu theo khu vực trong MD&amp;A (tr. 36); báo cáo năm sau in lại đúng số này; khớp số tính lại từ báo cáo tài chính (chênh −0,09 điểm %, ngưỡng ±1 điểm %).</t>
  </si>
  <si>
    <t>FY2021|nike_brand_pct_change_reported</t>
  </si>
  <si>
    <t>% thay đổi NIKE Brand loại trừ tỷ giá</t>
  </si>
  <si>
    <t>Item 7 – MD&amp;A, bảng doanh thu, dòng TOTAL NIKE BRAND REVENUES, cột “% CHANGE EXCLUDING CURRENCY CHANGES”</t>
  </si>
  <si>
    <t>TOTAL NIKE BRAND REVENUES – % change excluding currency changes</t>
  </si>
  <si>
    <t>nike_brand_pct_change_cn</t>
  </si>
  <si>
    <t>FY2019|nike_brand_pct_change_cn</t>
  </si>
  <si>
    <t>FY2020|nike_brand_pct_change_cn</t>
  </si>
  <si>
    <t>FY2021|nike_brand_pct_change_cn</t>
  </si>
  <si>
    <t>Số liệu theo quý – Q1 FY2019 đến Q4 FY2021</t>
  </si>
  <si>
    <t>Cùng các chỉ tiêu theo 12 quý. Quý 1–3 lấy từ 10-Q. Không có 10-Q cho quý 4, nên quý 4 = cả năm trừ 9 tháng đầu (chữ nghiêng); tỷ lệ % quý 4 lấy từ thông cáo kết quả quý 4 (8-K).</t>
  </si>
  <si>
    <t>Q1 FY2019</t>
  </si>
  <si>
    <t>10-Q Q1 FY2019</t>
  </si>
  <si>
    <t>Báo cáo tài chính quý, không kiểm toán (10-Q)</t>
  </si>
  <si>
    <t>ITEM 1 – FINANCIAL STATEMENTS</t>
  </si>
  <si>
    <t>Item 1 – Unaudited Condensed Consolidated Statements of Income, dòng “Revenues”</t>
  </si>
  <si>
    <t>9,948</t>
  </si>
  <si>
    <t>Khớp bảng doanh thu trong MD&amp;A (tr. 22); khớp bảng số liệu quý trong 10-K FY2019 (tr. 23); báo cáo năm sau in lại đúng số này.</t>
  </si>
  <si>
    <t>Báo cáo năm sau in lại đúng số này: 10-Q Q1 FY2020.</t>
  </si>
  <si>
    <t>us-gaap:RevenueFromContractWithCustomerIncludingAssessedTax</t>
  </si>
  <si>
    <t>01/06/2018 – 31/08/2018</t>
  </si>
  <si>
    <t>05/10/2018</t>
  </si>
  <si>
    <t>0000320187-18-000213</t>
  </si>
  <si>
    <t>Q1 FY2019|revenues</t>
  </si>
  <si>
    <t>Q2 FY2019</t>
  </si>
  <si>
    <t>10-Q Q2 FY2019</t>
  </si>
  <si>
    <t>9,374</t>
  </si>
  <si>
    <t>Khớp bảng doanh thu trong MD&amp;A (tr. 27); khớp bảng số liệu quý trong 10-K FY2019 (tr. 23); cộng các quý từ Q1 bằng số 6 tháng trong 10-Q Q2 FY2019 (tr. 4); báo cáo năm sau in lại đúng số này.</t>
  </si>
  <si>
    <t>Báo cáo năm sau in lại đúng số này: 10-Q Q2 FY2020.</t>
  </si>
  <si>
    <t>01/09/2018 – 30/11/2018</t>
  </si>
  <si>
    <t>08/01/2019</t>
  </si>
  <si>
    <t>0000320187-19-000007</t>
  </si>
  <si>
    <t>Q2 FY2019|revenues</t>
  </si>
  <si>
    <t>Q3 FY2019</t>
  </si>
  <si>
    <t>10-Q Q3 FY2019</t>
  </si>
  <si>
    <t>9,611</t>
  </si>
  <si>
    <t>Khớp bảng doanh thu trong MD&amp;A (tr. 27); khớp bảng số liệu quý trong 10-K FY2019 (tr. 23); cộng các quý từ Q1 bằng số 9 tháng trong 10-Q Q3 FY2019 (tr. 4); báo cáo năm sau in lại đúng số này.</t>
  </si>
  <si>
    <t>Báo cáo năm sau in lại đúng số này: 10-Q Q3 FY2020.</t>
  </si>
  <si>
    <t>01/12/2018 – 28/02/2019</t>
  </si>
  <si>
    <t>04/04/2019</t>
  </si>
  <si>
    <t>0000320187-19-000030</t>
  </si>
  <si>
    <t>Q3 FY2019|revenues</t>
  </si>
  <si>
    <t>Q4 FY2019</t>
  </si>
  <si>
    <t>10-K FY2019 và 10-Q Q3 FY2019</t>
  </si>
  <si>
    <t>50 (10-K)
4 (10-Q)</t>
  </si>
  <si>
    <t>Nhóm tự tính: cả năm trừ 9 tháng đầu</t>
  </si>
  <si>
    <t>Tự tính: cả năm (Item 8 – Consolidated Statements of Income, dòng “Revenues”) trừ 9 tháng (10-Q Q3 FY2019, cùng dòng, trang 4)</t>
  </si>
  <si>
    <t>10-K FY2019 (cả năm): 39,117; 10-Q Q3 FY2019 (9 tháng): 28,933</t>
  </si>
  <si>
    <t>Quý 4 tự tính (không có 10-Q cho quý 4): cả năm trừ 9 tháng đầu. Khớp bảng số liệu quý trong 10-K FY2019 (tr. 23); khớp số quý 4 NIKE công bố trong thông cáo kết quả quý 4 (8-K Q4 FY2019, 8-K Q4 FY2020); báo cáo năm sau in lại đúng số này.</t>
  </si>
  <si>
    <t>Báo cáo năm sau in lại đúng số cả năm và số 9 tháng: 10-K FY2020, 10-K FY2021, 10-Q Q3 FY2020.</t>
  </si>
  <si>
    <t>01/03/2019 – 31/05/2019</t>
  </si>
  <si>
    <t>Q4 FY2019|revenues</t>
  </si>
  <si>
    <t>Q1 FY2020</t>
  </si>
  <si>
    <t>10-Q Q1 FY2020</t>
  </si>
  <si>
    <t>UNAUDITED CONDENSED CONSOLIDATED STATEMENTS OF INCOME</t>
  </si>
  <si>
    <t>10,660</t>
  </si>
  <si>
    <t>Khớp bảng doanh thu trong MD&amp;A (tr. 24); khớp bảng số liệu quý trong 10-K FY2020 (tr. 26); báo cáo năm sau in lại đúng số này.</t>
  </si>
  <si>
    <t>Báo cáo năm sau in lại đúng số này: 10-Q Q1 FY2021.</t>
  </si>
  <si>
    <t>01/06/2019 – 31/08/2019</t>
  </si>
  <si>
    <t>04/10/2019</t>
  </si>
  <si>
    <t>0000320187-19-000071</t>
  </si>
  <si>
    <t>Q1 FY2020|revenues</t>
  </si>
  <si>
    <t>Q2 FY2020</t>
  </si>
  <si>
    <t>10-Q Q2 FY2020</t>
  </si>
  <si>
    <t>10,326</t>
  </si>
  <si>
    <t>Khớp bảng doanh thu trong MD&amp;A (tr. 28); khớp bảng số liệu quý trong 10-K FY2020 (tr. 26); cộng các quý từ Q1 bằng số 6 tháng trong 10-Q Q2 FY2020 (tr. 1); báo cáo năm sau in lại đúng số này.</t>
  </si>
  <si>
    <t>Báo cáo năm sau in lại đúng số này: 10-Q Q2 FY2021.</t>
  </si>
  <si>
    <t>01/09/2019 – 30/11/2019</t>
  </si>
  <si>
    <t>07/01/2020</t>
  </si>
  <si>
    <t>0000320187-20-000004</t>
  </si>
  <si>
    <t>Q2 FY2020|revenues</t>
  </si>
  <si>
    <t>Q3 FY2020</t>
  </si>
  <si>
    <t>10-Q Q3 FY2020</t>
  </si>
  <si>
    <t>10,104</t>
  </si>
  <si>
    <t>Khớp bảng doanh thu trong MD&amp;A (tr. 31); khớp bảng số liệu quý trong 10-K FY2020 (tr. 26); cộng các quý từ Q1 bằng số 9 tháng trong 10-Q Q3 FY2020 (tr. 1); báo cáo năm sau in lại đúng số này.</t>
  </si>
  <si>
    <t>Báo cáo năm sau in lại đúng số này: 10-Q Q3 FY2021.</t>
  </si>
  <si>
    <t>01/12/2019 – 29/02/2020</t>
  </si>
  <si>
    <t>07/04/2020</t>
  </si>
  <si>
    <t>0000320187-20-000018</t>
  </si>
  <si>
    <t>Q3 FY2020|revenues</t>
  </si>
  <si>
    <t>Q4 FY2020</t>
  </si>
  <si>
    <t>10-K FY2020 và 10-Q Q3 FY2020</t>
  </si>
  <si>
    <t>56 (10-K)
1 (10-Q)</t>
  </si>
  <si>
    <t>Tự tính: cả năm (Item 8 – Consolidated Statements of Income, dòng “Revenues”) trừ 9 tháng (10-Q Q3 FY2020, cùng dòng, trang 1)</t>
  </si>
  <si>
    <t>10-K FY2020 (cả năm): 37,403; 10-Q Q3 FY2020 (9 tháng): 31,090</t>
  </si>
  <si>
    <t>Quý 4 tự tính (không có 10-Q cho quý 4): cả năm trừ 9 tháng đầu. Khớp bảng số liệu quý trong 10-K FY2020 (tr. 26); khớp số quý 4 NIKE công bố trong thông cáo kết quả quý 4 (8-K Q4 FY2020, 8-K Q4 FY2021); báo cáo năm sau in lại đúng số này.</t>
  </si>
  <si>
    <t>Báo cáo năm sau in lại đúng số cả năm và số 9 tháng: 10-K FY2021, 10-K FY2022, 10-Q Q3 FY2021.</t>
  </si>
  <si>
    <t>01/03/2020 – 31/05/2020</t>
  </si>
  <si>
    <t>Q4 FY2020|revenues</t>
  </si>
  <si>
    <t>Q1 FY2021</t>
  </si>
  <si>
    <t>10-Q Q1 FY2021</t>
  </si>
  <si>
    <t>10,594</t>
  </si>
  <si>
    <t>Khớp bảng doanh thu trong MD&amp;A (tr. 24); báo cáo năm sau in lại đúng số này.</t>
  </si>
  <si>
    <t>Báo cáo năm sau in lại đúng số này: 10-Q Q1 FY2022.</t>
  </si>
  <si>
    <t>01/06/2020 – 31/08/2020</t>
  </si>
  <si>
    <t>08/10/2020</t>
  </si>
  <si>
    <t>0000320187-20-000061</t>
  </si>
  <si>
    <t>Q1 FY2021|revenues</t>
  </si>
  <si>
    <t>Q2 FY2021</t>
  </si>
  <si>
    <t>10-Q Q2 FY2021</t>
  </si>
  <si>
    <t>11,243</t>
  </si>
  <si>
    <t>Khớp bảng doanh thu trong MD&amp;A (tr. 28); cộng các quý từ Q1 bằng số 6 tháng trong 10-Q Q2 FY2021 (tr. 1); báo cáo năm sau in lại đúng số này.</t>
  </si>
  <si>
    <t>Báo cáo năm sau in lại đúng số này: 10-Q Q2 FY2022.</t>
  </si>
  <si>
    <t>01/09/2020 – 30/11/2020</t>
  </si>
  <si>
    <t>05/01/2021</t>
  </si>
  <si>
    <t>0000320187-21-000003</t>
  </si>
  <si>
    <t>Q2 FY2021|revenues</t>
  </si>
  <si>
    <t>Q3 FY2021</t>
  </si>
  <si>
    <t>10-Q Q3 FY2021</t>
  </si>
  <si>
    <t>10,357</t>
  </si>
  <si>
    <t>Khớp bảng doanh thu trong MD&amp;A (tr. 28); cộng các quý từ Q1 bằng số 9 tháng trong 10-Q Q3 FY2021 (tr. 1); báo cáo năm sau in lại đúng số này.</t>
  </si>
  <si>
    <t>Báo cáo năm sau in lại đúng số này: 10-Q Q3 FY2022.</t>
  </si>
  <si>
    <t>01/12/2020 – 28/02/2021</t>
  </si>
  <si>
    <t>02/04/2021</t>
  </si>
  <si>
    <t>0000320187-21-000012</t>
  </si>
  <si>
    <t>Q3 FY2021|revenues</t>
  </si>
  <si>
    <t>Q4 FY2021</t>
  </si>
  <si>
    <t>10-K FY2021 và 10-Q Q3 FY2021</t>
  </si>
  <si>
    <t>57 (10-K)
1 (10-Q)</t>
  </si>
  <si>
    <t>Tự tính: cả năm (Item 8 – Consolidated Statements of Income, dòng “Revenues”) trừ 9 tháng (10-Q Q3 FY2021, cùng dòng, trang 1)</t>
  </si>
  <si>
    <t>10-K FY2021 (cả năm): 44,538; 10-Q Q3 FY2021 (9 tháng): 32,194</t>
  </si>
  <si>
    <t>Quý 4 tự tính (không có 10-Q cho quý 4): cả năm trừ 9 tháng đầu. Khớp số quý 4 NIKE công bố trong thông cáo kết quả quý 4 (8-K Q4 FY2021); báo cáo năm sau in lại đúng số này.</t>
  </si>
  <si>
    <t>Báo cáo năm sau in lại đúng số cả năm và số 9 tháng: 10-K FY2022, 10-K FY2023, 10-Q Q3 FY2022.</t>
  </si>
  <si>
    <t>01/03/2021 – 31/05/2021</t>
  </si>
  <si>
    <t>Q4 FY2021|revenues</t>
  </si>
  <si>
    <t>Item 1 – Unaudited Condensed Consolidated Statements of Income, dòng “Cost of sales”</t>
  </si>
  <si>
    <t>5,551</t>
  </si>
  <si>
    <t>us-gaap:CostOfGoodsSold</t>
  </si>
  <si>
    <t>Q1 FY2019|cost_of_sales</t>
  </si>
  <si>
    <t>5,269</t>
  </si>
  <si>
    <t>Cộng các quý từ Q1 bằng số 6 tháng trong 10-Q Q2 FY2019 (tr. 4); báo cáo năm sau in lại đúng số này.</t>
  </si>
  <si>
    <t>Q2 FY2019|cost_of_sales</t>
  </si>
  <si>
    <t>5,272</t>
  </si>
  <si>
    <t>Cộng các quý từ Q1 bằng số 9 tháng trong 10-Q Q3 FY2019 (tr. 4); báo cáo năm sau in lại đúng số này.</t>
  </si>
  <si>
    <t>Q3 FY2019|cost_of_sales</t>
  </si>
  <si>
    <t>Tự tính: cả năm (Item 8 – Consolidated Statements of Income, dòng “Cost of sales”) trừ 9 tháng (10-Q Q3 FY2019, cùng dòng, trang 4)</t>
  </si>
  <si>
    <t>10-K FY2019 (cả năm): 21,643; 10-Q Q3 FY2019 (9 tháng): 16,092</t>
  </si>
  <si>
    <t>Quý 4 tự tính (không có 10-Q cho quý 4): cả năm trừ 9 tháng đầu. Khớp số quý 4 NIKE công bố trong thông cáo kết quả quý 4 (8-K Q4 FY2019, 8-K Q4 FY2020); báo cáo năm sau in lại đúng số này.</t>
  </si>
  <si>
    <t>Q4 FY2019|cost_of_sales</t>
  </si>
  <si>
    <t>5,789</t>
  </si>
  <si>
    <t>Q1 FY2020|cost_of_sales</t>
  </si>
  <si>
    <t>5,782</t>
  </si>
  <si>
    <t>Cộng các quý từ Q1 bằng số 6 tháng trong 10-Q Q2 FY2020 (tr. 1); báo cáo năm sau in lại đúng số này.</t>
  </si>
  <si>
    <t>Q2 FY2020|cost_of_sales</t>
  </si>
  <si>
    <t>5,631</t>
  </si>
  <si>
    <t>Cộng các quý từ Q1 bằng số 9 tháng trong 10-Q Q3 FY2020 (tr. 1); báo cáo năm sau in lại đúng số này.</t>
  </si>
  <si>
    <t>Q3 FY2020|cost_of_sales</t>
  </si>
  <si>
    <t>Tự tính: cả năm (Item 8 – Consolidated Statements of Income, dòng “Cost of sales”) trừ 9 tháng (10-Q Q3 FY2020, cùng dòng, trang 1)</t>
  </si>
  <si>
    <t>10-K FY2020 (cả năm): 21,162; 10-Q Q3 FY2020 (9 tháng): 17,202</t>
  </si>
  <si>
    <t>Quý 4 tự tính (không có 10-Q cho quý 4): cả năm trừ 9 tháng đầu. Khớp số quý 4 NIKE công bố trong thông cáo kết quả quý 4 (8-K Q4 FY2020, 8-K Q4 FY2021); báo cáo năm sau in lại đúng số này.</t>
  </si>
  <si>
    <t>Q4 FY2020|cost_of_sales</t>
  </si>
  <si>
    <t>5,853</t>
  </si>
  <si>
    <t>Q1 FY2021|cost_of_sales</t>
  </si>
  <si>
    <t>6,396</t>
  </si>
  <si>
    <t>Cộng các quý từ Q1 bằng số 6 tháng trong 10-Q Q2 FY2021 (tr. 1); báo cáo năm sau in lại đúng số này.</t>
  </si>
  <si>
    <t>Q2 FY2021|cost_of_sales</t>
  </si>
  <si>
    <t>5,638</t>
  </si>
  <si>
    <t>Cộng các quý từ Q1 bằng số 9 tháng trong 10-Q Q3 FY2021 (tr. 1); báo cáo năm sau in lại đúng số này.</t>
  </si>
  <si>
    <t>Q3 FY2021|cost_of_sales</t>
  </si>
  <si>
    <t>Tự tính: cả năm (Item 8 – Consolidated Statements of Income, dòng “Cost of sales”) trừ 9 tháng (10-Q Q3 FY2021, cùng dòng, trang 1)</t>
  </si>
  <si>
    <t>10-K FY2021 (cả năm): 24,576; 10-Q Q3 FY2021 (9 tháng): 17,887</t>
  </si>
  <si>
    <t>Q4 FY2021|cost_of_sales</t>
  </si>
  <si>
    <t>Item 1 – Unaudited Condensed Consolidated Statements of Income, dòng “Gross profit”</t>
  </si>
  <si>
    <t>4,397</t>
  </si>
  <si>
    <t>Khớp bảng số liệu quý trong 10-K FY2019 (tr. 23); báo cáo năm sau in lại đúng số này.</t>
  </si>
  <si>
    <t>Q1 FY2019|gross_profit</t>
  </si>
  <si>
    <t>4,105</t>
  </si>
  <si>
    <t>Khớp bảng số liệu quý trong 10-K FY2019 (tr. 23); cộng các quý từ Q1 bằng số 6 tháng trong 10-Q Q2 FY2019 (tr. 4); báo cáo năm sau in lại đúng số này.</t>
  </si>
  <si>
    <t>Q2 FY2019|gross_profit</t>
  </si>
  <si>
    <t>4,339</t>
  </si>
  <si>
    <t>Khớp bảng số liệu quý trong 10-K FY2019 (tr. 23); cộng các quý từ Q1 bằng số 9 tháng trong 10-Q Q3 FY2019 (tr. 4); báo cáo năm sau in lại đúng số này.</t>
  </si>
  <si>
    <t>Q3 FY2019|gross_profit</t>
  </si>
  <si>
    <t>Tự tính: cả năm (Item 8 – Consolidated Statements of Income, dòng “Gross profit”) trừ 9 tháng (10-Q Q3 FY2019, cùng dòng, trang 4)</t>
  </si>
  <si>
    <t>10-K FY2019 (cả năm): 17,474; 10-Q Q3 FY2019 (9 tháng): 12,841</t>
  </si>
  <si>
    <t>Q4 FY2019|gross_profit</t>
  </si>
  <si>
    <t>4,871</t>
  </si>
  <si>
    <t>Khớp bảng số liệu quý trong 10-K FY2020 (tr. 26); báo cáo năm sau in lại đúng số này.</t>
  </si>
  <si>
    <t>Q1 FY2020|gross_profit</t>
  </si>
  <si>
    <t>4,544</t>
  </si>
  <si>
    <t>Khớp bảng số liệu quý trong 10-K FY2020 (tr. 26); cộng các quý từ Q1 bằng số 6 tháng trong 10-Q Q2 FY2020 (tr. 1); báo cáo năm sau in lại đúng số này.</t>
  </si>
  <si>
    <t>Q2 FY2020|gross_profit</t>
  </si>
  <si>
    <t>4,473</t>
  </si>
  <si>
    <t>Khớp bảng số liệu quý trong 10-K FY2020 (tr. 26); cộng các quý từ Q1 bằng số 9 tháng trong 10-Q Q3 FY2020 (tr. 1); báo cáo năm sau in lại đúng số này.</t>
  </si>
  <si>
    <t>Q3 FY2020|gross_profit</t>
  </si>
  <si>
    <t>Tự tính: cả năm (Item 8 – Consolidated Statements of Income, dòng “Gross profit”) trừ 9 tháng (10-Q Q3 FY2020, cùng dòng, trang 1)</t>
  </si>
  <si>
    <t>10-K FY2020 (cả năm): 16,241; 10-Q Q3 FY2020 (9 tháng): 13,888</t>
  </si>
  <si>
    <t>Q4 FY2020|gross_profit</t>
  </si>
  <si>
    <t>4,741</t>
  </si>
  <si>
    <t>Q1 FY2021|gross_profit</t>
  </si>
  <si>
    <t>4,847</t>
  </si>
  <si>
    <t>Q2 FY2021|gross_profit</t>
  </si>
  <si>
    <t>4,719</t>
  </si>
  <si>
    <t>Q3 FY2021|gross_profit</t>
  </si>
  <si>
    <t>Tự tính: cả năm (Item 8 – Consolidated Statements of Income, dòng “Gross profit”) trừ 9 tháng (10-Q Q3 FY2021, cùng dòng, trang 1)</t>
  </si>
  <si>
    <t>10-K FY2021 (cả năm): 19,962; 10-Q Q3 FY2021 (9 tháng): 14,307</t>
  </si>
  <si>
    <t>Q4 FY2021|gross_profit</t>
  </si>
  <si>
    <t>Item 1 – Unaudited Condensed Consolidated Statements of Income, dòng “Demand creation expense”</t>
  </si>
  <si>
    <t>964</t>
  </si>
  <si>
    <t>Q1 FY2019|demand_creation_expense</t>
  </si>
  <si>
    <t>910</t>
  </si>
  <si>
    <t>Q2 FY2019|demand_creation_expense</t>
  </si>
  <si>
    <t>865</t>
  </si>
  <si>
    <t>Q3 FY2019|demand_creation_expense</t>
  </si>
  <si>
    <t>Tự tính: cả năm (Item 8 – Consolidated Statements of Income, dòng “Demand creation expense”) trừ 9 tháng (10-Q Q3 FY2019, cùng dòng, trang 4)</t>
  </si>
  <si>
    <t>10-K FY2019 (cả năm): 3,753; 10-Q Q3 FY2019 (9 tháng): 2,739</t>
  </si>
  <si>
    <t>Q4 FY2019|demand_creation_expense</t>
  </si>
  <si>
    <t>1,018</t>
  </si>
  <si>
    <t>Q1 FY2020|demand_creation_expense</t>
  </si>
  <si>
    <t>881</t>
  </si>
  <si>
    <t>Q2 FY2020|demand_creation_expense</t>
  </si>
  <si>
    <t>870</t>
  </si>
  <si>
    <t>Q3 FY2020|demand_creation_expense</t>
  </si>
  <si>
    <t>Tự tính: cả năm (Item 8 – Consolidated Statements of Income, dòng “Demand creation expense”) trừ 9 tháng (10-Q Q3 FY2020, cùng dòng, trang 1)</t>
  </si>
  <si>
    <t>10-K FY2020 (cả năm): 3,592; 10-Q Q3 FY2020 (9 tháng): 2,769</t>
  </si>
  <si>
    <t>Q4 FY2020|demand_creation_expense</t>
  </si>
  <si>
    <t>677</t>
  </si>
  <si>
    <t>Q1 FY2021|demand_creation_expense</t>
  </si>
  <si>
    <t>729</t>
  </si>
  <si>
    <t>Q2 FY2021|demand_creation_expense</t>
  </si>
  <si>
    <t>711</t>
  </si>
  <si>
    <t>Q3 FY2021|demand_creation_expense</t>
  </si>
  <si>
    <t>Tự tính: cả năm (Item 8 – Consolidated Statements of Income, dòng “Demand creation expense”) trừ 9 tháng (10-Q Q3 FY2021, cùng dòng, trang 1)</t>
  </si>
  <si>
    <t>10-K FY2021 (cả năm): 3,114; 10-Q Q3 FY2021 (9 tháng): 2,117</t>
  </si>
  <si>
    <t>Q4 FY2021|demand_creation_expense</t>
  </si>
  <si>
    <t>Item 1 – Unaudited Condensed Consolidated Statements of Income, dòng “Operating overhead expense”</t>
  </si>
  <si>
    <t>2,099</t>
  </si>
  <si>
    <t>Q1 FY2019|operating_overhead_expense</t>
  </si>
  <si>
    <t>2,232</t>
  </si>
  <si>
    <t>Q2 FY2019|operating_overhead_expense</t>
  </si>
  <si>
    <t>2,226</t>
  </si>
  <si>
    <t>Q3 FY2019|operating_overhead_expense</t>
  </si>
  <si>
    <t>Tự tính: cả năm (Item 8 – Consolidated Statements of Income, dòng “Operating overhead expense”) trừ 9 tháng (10-Q Q3 FY2019, cùng dòng, trang 4)</t>
  </si>
  <si>
    <t>10-K FY2019 (cả năm): 8,949; 10-Q Q3 FY2019 (9 tháng): 6,557</t>
  </si>
  <si>
    <t>Q4 FY2019|operating_overhead_expense</t>
  </si>
  <si>
    <t>2,310</t>
  </si>
  <si>
    <t>Q1 FY2020|operating_overhead_expense</t>
  </si>
  <si>
    <t>2,443</t>
  </si>
  <si>
    <t>Q2 FY2020|operating_overhead_expense</t>
  </si>
  <si>
    <t>2,413</t>
  </si>
  <si>
    <t>Q3 FY2020|operating_overhead_expense</t>
  </si>
  <si>
    <t>Tự tính: cả năm (Item 8 – Consolidated Statements of Income, dòng “Operating overhead expense”) trừ 9 tháng (10-Q Q3 FY2020, cùng dòng, trang 1)</t>
  </si>
  <si>
    <t>10-K FY2020 (cả năm): 9,534; 10-Q Q3 FY2020 (9 tháng): 7,166</t>
  </si>
  <si>
    <t>Q4 FY2020|operating_overhead_expense</t>
  </si>
  <si>
    <t>2,298</t>
  </si>
  <si>
    <t>Q1 FY2021|operating_overhead_expense</t>
  </si>
  <si>
    <t>2,538</t>
  </si>
  <si>
    <t>Q2 FY2021|operating_overhead_expense</t>
  </si>
  <si>
    <t>2,330</t>
  </si>
  <si>
    <t>Q3 FY2021|operating_overhead_expense</t>
  </si>
  <si>
    <t>Tự tính: cả năm (Item 8 – Consolidated Statements of Income, dòng “Operating overhead expense”) trừ 9 tháng (10-Q Q3 FY2021, cùng dòng, trang 1)</t>
  </si>
  <si>
    <t>10-K FY2021 (cả năm): 9,911; 10-Q Q3 FY2021 (9 tháng): 7,166</t>
  </si>
  <si>
    <t>Q4 FY2021|operating_overhead_expense</t>
  </si>
  <si>
    <t>Item 1 – Unaudited Condensed Consolidated Statements of Income, dòng “Total selling and administrative expense”</t>
  </si>
  <si>
    <t>3,063</t>
  </si>
  <si>
    <t>Q1 FY2019|total_selling_admin_expense</t>
  </si>
  <si>
    <t>3,142</t>
  </si>
  <si>
    <t>Q2 FY2019|total_selling_admin_expense</t>
  </si>
  <si>
    <t>3,091</t>
  </si>
  <si>
    <t>Q3 FY2019|total_selling_admin_expense</t>
  </si>
  <si>
    <t>Tự tính: cả năm (Item 8 – Consolidated Statements of Income, dòng “Total selling and administrative expense”) trừ 9 tháng (10-Q Q3 FY2019, cùng dòng, trang 4)</t>
  </si>
  <si>
    <t>10-K FY2019 (cả năm): 12,702; 10-Q Q3 FY2019 (9 tháng): 9,296</t>
  </si>
  <si>
    <t>Q4 FY2019|total_selling_admin_expense</t>
  </si>
  <si>
    <t>3,328</t>
  </si>
  <si>
    <t>Q1 FY2020|total_selling_admin_expense</t>
  </si>
  <si>
    <t>3,324</t>
  </si>
  <si>
    <t>Q2 FY2020|total_selling_admin_expense</t>
  </si>
  <si>
    <t>3,283</t>
  </si>
  <si>
    <t>Q3 FY2020|total_selling_admin_expense</t>
  </si>
  <si>
    <t>Tự tính: cả năm (Item 8 – Consolidated Statements of Income, dòng “Total selling and administrative expense”) trừ 9 tháng (10-Q Q3 FY2020, cùng dòng, trang 1)</t>
  </si>
  <si>
    <t>10-K FY2020 (cả năm): 13,126; 10-Q Q3 FY2020 (9 tháng): 9,935</t>
  </si>
  <si>
    <t>Q4 FY2020|total_selling_admin_expense</t>
  </si>
  <si>
    <t>2,975</t>
  </si>
  <si>
    <t>Q1 FY2021|total_selling_admin_expense</t>
  </si>
  <si>
    <t>3,267</t>
  </si>
  <si>
    <t>Q2 FY2021|total_selling_admin_expense</t>
  </si>
  <si>
    <t>3,041</t>
  </si>
  <si>
    <t>Q3 FY2021|total_selling_admin_expense</t>
  </si>
  <si>
    <t>Tự tính: cả năm (Item 8 – Consolidated Statements of Income, dòng “Total selling and administrative expense”) trừ 9 tháng (10-Q Q3 FY2021, cùng dòng, trang 1)</t>
  </si>
  <si>
    <t>10-K FY2021 (cả năm): 13,025; 10-Q Q3 FY2021 (9 tháng): 9,283</t>
  </si>
  <si>
    <t>Q4 FY2021|total_selling_admin_expense</t>
  </si>
  <si>
    <t>Item 1 – Unaudited Condensed Consolidated Statements of Income, dòng “Interest expense (income), net”</t>
  </si>
  <si>
    <t>11</t>
  </si>
  <si>
    <t>Q1 FY2019|interest_expense_net</t>
  </si>
  <si>
    <t>Q2 FY2019|interest_expense_net</t>
  </si>
  <si>
    <t>12</t>
  </si>
  <si>
    <t>Q3 FY2019|interest_expense_net</t>
  </si>
  <si>
    <t>Tự tính: cả năm (Item 8 – Consolidated Statements of Income, dòng “Interest expense (income), net”) trừ 9 tháng (10-Q Q3 FY2019, cùng dòng, trang 4)</t>
  </si>
  <si>
    <t>10-K FY2019 (cả năm): 49; 10-Q Q3 FY2019 (9 tháng): 37</t>
  </si>
  <si>
    <t>Q4 FY2019|interest_expense_net</t>
  </si>
  <si>
    <t>15</t>
  </si>
  <si>
    <t>Q1 FY2020|interest_expense_net</t>
  </si>
  <si>
    <t>Q2 FY2020|interest_expense_net</t>
  </si>
  <si>
    <t>Q3 FY2020|interest_expense_net</t>
  </si>
  <si>
    <t>Tự tính: cả năm (Item 8 – Consolidated Statements of Income, dòng “Interest expense (income), net”) trừ 9 tháng (10-Q Q3 FY2020, cùng dòng, trang 1)</t>
  </si>
  <si>
    <t>10-K FY2020 (cả năm): 89; 10-Q Q3 FY2020 (9 tháng): 39</t>
  </si>
  <si>
    <t>Q4 FY2020|interest_expense_net</t>
  </si>
  <si>
    <t>65</t>
  </si>
  <si>
    <t>Q1 FY2021|interest_expense_net</t>
  </si>
  <si>
    <t>70</t>
  </si>
  <si>
    <t>Q2 FY2021|interest_expense_net</t>
  </si>
  <si>
    <t>64</t>
  </si>
  <si>
    <t>Q3 FY2021|interest_expense_net</t>
  </si>
  <si>
    <t>Tự tính: cả năm (Item 8 – Consolidated Statements of Income, dòng “Interest expense (income), net”) trừ 9 tháng (10-Q Q3 FY2021, cùng dòng, trang 1)</t>
  </si>
  <si>
    <t>10-K FY2021 (cả năm): 262; 10-Q Q3 FY2021 (9 tháng): 199</t>
  </si>
  <si>
    <t>Q4 FY2021|interest_expense_net</t>
  </si>
  <si>
    <t>Item 1 – Unaudited Condensed Consolidated Statements of Income, dòng “Other (income) expense, net”</t>
  </si>
  <si>
    <t>53</t>
  </si>
  <si>
    <t>Q1 FY2019|other_expense_net</t>
  </si>
  <si>
    <t>(48)</t>
  </si>
  <si>
    <t>Q2 FY2019|other_expense_net</t>
  </si>
  <si>
    <t>(55)</t>
  </si>
  <si>
    <t>Q3 FY2019|other_expense_net</t>
  </si>
  <si>
    <t>Tự tính: cả năm (Item 8 – Consolidated Statements of Income, dòng “Other (income) expense, net”) trừ 9 tháng (10-Q Q3 FY2019, cùng dòng, trang 4)</t>
  </si>
  <si>
    <t>10-K FY2019 (cả năm): (78); 10-Q Q3 FY2019 (9 tháng): (50)</t>
  </si>
  <si>
    <t>Q4 FY2019|other_expense_net</t>
  </si>
  <si>
    <t>(33)</t>
  </si>
  <si>
    <t>Q1 FY2020|other_expense_net</t>
  </si>
  <si>
    <t>(41)</t>
  </si>
  <si>
    <t>Q2 FY2020|other_expense_net</t>
  </si>
  <si>
    <t>297</t>
  </si>
  <si>
    <t>Q3 FY2020|other_expense_net</t>
  </si>
  <si>
    <t>Tự tính: cả năm (Item 8 – Consolidated Statements of Income, dòng “Other (income) expense, net”) trừ 9 tháng (10-Q Q3 FY2020, cùng dòng, trang 1)</t>
  </si>
  <si>
    <t>10-K FY2020 (cả năm): 139; 10-Q Q3 FY2020 (9 tháng): 223</t>
  </si>
  <si>
    <t>Q4 FY2020|other_expense_net</t>
  </si>
  <si>
    <t>(14)</t>
  </si>
  <si>
    <t>Q1 FY2021|other_expense_net</t>
  </si>
  <si>
    <t>54</t>
  </si>
  <si>
    <t>Q2 FY2021|other_expense_net</t>
  </si>
  <si>
    <t>(22)</t>
  </si>
  <si>
    <t>Q3 FY2021|other_expense_net</t>
  </si>
  <si>
    <t>Tự tính: cả năm (Item 8 – Consolidated Statements of Income, dòng “Other (income) expense, net”) trừ 9 tháng (10-Q Q3 FY2021, cùng dòng, trang 1)</t>
  </si>
  <si>
    <t>10-K FY2021 (cả năm): 14; 10-Q Q3 FY2021 (9 tháng): 18</t>
  </si>
  <si>
    <t>Q4 FY2021|other_expense_net</t>
  </si>
  <si>
    <t>Item 1 – Unaudited Condensed Consolidated Statements of Income, dòng “Income before income taxes”</t>
  </si>
  <si>
    <t>1,270</t>
  </si>
  <si>
    <t>Q1 FY2019|income_before_taxes</t>
  </si>
  <si>
    <t>997</t>
  </si>
  <si>
    <t>Q2 FY2019|income_before_taxes</t>
  </si>
  <si>
    <t>1,291</t>
  </si>
  <si>
    <t>Q3 FY2019|income_before_taxes</t>
  </si>
  <si>
    <t>Tự tính: cả năm (Item 8 – Consolidated Statements of Income, dòng “Income before income taxes”) trừ 9 tháng (10-Q Q3 FY2019, cùng dòng, trang 4)</t>
  </si>
  <si>
    <t>10-K FY2019 (cả năm): 4,801; 10-Q Q3 FY2019 (9 tháng): 3,558</t>
  </si>
  <si>
    <t>Q4 FY2019|income_before_taxes</t>
  </si>
  <si>
    <t>1,561</t>
  </si>
  <si>
    <t>Q1 FY2020|income_before_taxes</t>
  </si>
  <si>
    <t>1,249</t>
  </si>
  <si>
    <t>Q2 FY2020|income_before_taxes</t>
  </si>
  <si>
    <t>Q3 FY2020|income_before_taxes</t>
  </si>
  <si>
    <t>Tự tính: cả năm (Item 8 – Consolidated Statements of Income, dòng “Income before income taxes”) trừ 9 tháng (10-Q Q3 FY2020, cùng dòng, trang 1)</t>
  </si>
  <si>
    <t>10-K FY2020 (cả năm): 2,887; 10-Q Q3 FY2020 (9 tháng): 3,691</t>
  </si>
  <si>
    <t>Q4 FY2020|income_before_taxes</t>
  </si>
  <si>
    <t>1,715</t>
  </si>
  <si>
    <t>Q1 FY2021|income_before_taxes</t>
  </si>
  <si>
    <t>1,456</t>
  </si>
  <si>
    <t>Q2 FY2021|income_before_taxes</t>
  </si>
  <si>
    <t>1,636</t>
  </si>
  <si>
    <t>Q3 FY2021|income_before_taxes</t>
  </si>
  <si>
    <t>Tự tính: cả năm (Item 8 – Consolidated Statements of Income, dòng “Income before income taxes”) trừ 9 tháng (10-Q Q3 FY2021, cùng dòng, trang 1)</t>
  </si>
  <si>
    <t>10-K FY2021 (cả năm): 6,661; 10-Q Q3 FY2021 (9 tháng): 4,807</t>
  </si>
  <si>
    <t>Q4 FY2021|income_before_taxes</t>
  </si>
  <si>
    <t>Item 1 – Unaudited Condensed Consolidated Statements of Income, dòng “Income tax expense”</t>
  </si>
  <si>
    <t>178</t>
  </si>
  <si>
    <t>Q1 FY2019|income_tax_expense</t>
  </si>
  <si>
    <t>150</t>
  </si>
  <si>
    <t>Q2 FY2019|income_tax_expense</t>
  </si>
  <si>
    <t>190</t>
  </si>
  <si>
    <t>Q3 FY2019|income_tax_expense</t>
  </si>
  <si>
    <t>Tự tính: cả năm (Item 8 – Consolidated Statements of Income, dòng “Income tax expense”) trừ 9 tháng (10-Q Q3 FY2019, cùng dòng, trang 4)</t>
  </si>
  <si>
    <t>10-K FY2019 (cả năm): 772; 10-Q Q3 FY2019 (9 tháng): 518</t>
  </si>
  <si>
    <t>Q4 FY2019|income_tax_expense</t>
  </si>
  <si>
    <t>194</t>
  </si>
  <si>
    <t>Q1 FY2020|income_tax_expense</t>
  </si>
  <si>
    <t>134</t>
  </si>
  <si>
    <t>Q2 FY2020|income_tax_expense</t>
  </si>
  <si>
    <t>34</t>
  </si>
  <si>
    <t>Q3 FY2020|income_tax_expense</t>
  </si>
  <si>
    <t>Tự tính: cả năm (Item 8 – Consolidated Statements of Income, dòng “Income tax expense”) trừ 9 tháng (10-Q Q3 FY2020, cùng dòng, trang 1)</t>
  </si>
  <si>
    <t>10-K FY2020 (cả năm): 348; 10-Q Q3 FY2020 (9 tháng): 362</t>
  </si>
  <si>
    <t>Q4 FY2020|income_tax_expense</t>
  </si>
  <si>
    <t>197</t>
  </si>
  <si>
    <t>Q1 FY2021|income_tax_expense</t>
  </si>
  <si>
    <t>205</t>
  </si>
  <si>
    <t>Q2 FY2021|income_tax_expense</t>
  </si>
  <si>
    <t>187</t>
  </si>
  <si>
    <t>Q3 FY2021|income_tax_expense</t>
  </si>
  <si>
    <t>Tự tính: cả năm (Item 8 – Consolidated Statements of Income, dòng “Income tax expense”) trừ 9 tháng (10-Q Q3 FY2021, cùng dòng, trang 1)</t>
  </si>
  <si>
    <t>10-K FY2021 (cả năm): 934; 10-Q Q3 FY2021 (9 tháng): 589</t>
  </si>
  <si>
    <t>Q4 FY2021|income_tax_expense</t>
  </si>
  <si>
    <t>Item 1 – Unaudited Condensed Consolidated Statements of Income, dòng “Net income”</t>
  </si>
  <si>
    <t>1,092</t>
  </si>
  <si>
    <t>Q1 FY2019|net_income</t>
  </si>
  <si>
    <t>847</t>
  </si>
  <si>
    <t>Q2 FY2019|net_income</t>
  </si>
  <si>
    <t>1,101</t>
  </si>
  <si>
    <t>Q3 FY2019|net_income</t>
  </si>
  <si>
    <t>Tự tính: cả năm (Item 8 – Consolidated Statements of Income, dòng “Net income”) trừ 9 tháng (10-Q Q3 FY2019, cùng dòng, trang 4)</t>
  </si>
  <si>
    <t>10-K FY2019 (cả năm): 4,029; 10-Q Q3 FY2019 (9 tháng): 3,040</t>
  </si>
  <si>
    <t>Q4 FY2019|net_income</t>
  </si>
  <si>
    <t>1,367</t>
  </si>
  <si>
    <t>Q1 FY2020|net_income</t>
  </si>
  <si>
    <t>1,115</t>
  </si>
  <si>
    <t>Q2 FY2020|net_income</t>
  </si>
  <si>
    <t>Q3 FY2020|net_income</t>
  </si>
  <si>
    <t>Tự tính: cả năm (Item 8 – Consolidated Statements of Income, dòng “Net income”) trừ 9 tháng (10-Q Q3 FY2020, cùng dòng, trang 1)</t>
  </si>
  <si>
    <t>10-K FY2020 (cả năm): 2,539; 10-Q Q3 FY2020 (9 tháng): 3,329</t>
  </si>
  <si>
    <t>Q4 FY2020|net_income</t>
  </si>
  <si>
    <t>1,518</t>
  </si>
  <si>
    <t>Q1 FY2021|net_income</t>
  </si>
  <si>
    <t>1,251</t>
  </si>
  <si>
    <t>Q2 FY2021|net_income</t>
  </si>
  <si>
    <t>1,449</t>
  </si>
  <si>
    <t>Q3 FY2021|net_income</t>
  </si>
  <si>
    <t>Tự tính: cả năm (Item 8 – Consolidated Statements of Income, dòng “Net income”) trừ 9 tháng (10-Q Q3 FY2021, cùng dòng, trang 1)</t>
  </si>
  <si>
    <t>10-K FY2021 (cả năm): 5,727; 10-Q Q3 FY2021 (9 tháng): 4,218</t>
  </si>
  <si>
    <t>Q4 FY2021|net_income</t>
  </si>
  <si>
    <t>Item 1 – Unaudited Condensed Consolidated Balance Sheets, dòng “Inventories”</t>
  </si>
  <si>
    <t>5,227</t>
  </si>
  <si>
    <t>Khớp câu trong thuyết minh hàng tồn kho (tr. 9).</t>
  </si>
  <si>
    <t>Báo cáo năm sau không in lại số này.</t>
  </si>
  <si>
    <t>Số dư tại 31/08/2018</t>
  </si>
  <si>
    <t>Q1 FY2019|inventories</t>
  </si>
  <si>
    <t>5,388</t>
  </si>
  <si>
    <t>Khớp câu trong thuyết minh hàng tồn kho (tr. 11).</t>
  </si>
  <si>
    <t>Số dư tại 30/11/2018</t>
  </si>
  <si>
    <t>Q2 FY2019|inventories</t>
  </si>
  <si>
    <t>5,415</t>
  </si>
  <si>
    <t>Số dư tại 28/02/2019</t>
  </si>
  <si>
    <t>Q3 FY2019|inventories</t>
  </si>
  <si>
    <t>Q4 FY2019|inventories</t>
  </si>
  <si>
    <t>UNAUDITED CONDENSED CONSOLIDATED BALANCE SHEETS</t>
  </si>
  <si>
    <t>5,835</t>
  </si>
  <si>
    <t>Khớp câu trong thuyết minh hàng tồn kho (tr. 8).</t>
  </si>
  <si>
    <t>Số dư tại 31/08/2019</t>
  </si>
  <si>
    <t>Q1 FY2020|inventories</t>
  </si>
  <si>
    <t>6,199</t>
  </si>
  <si>
    <t>Số dư tại 30/11/2019</t>
  </si>
  <si>
    <t>Q2 FY2020|inventories</t>
  </si>
  <si>
    <t>5,807</t>
  </si>
  <si>
    <t>Số dư tại 29/02/2020</t>
  </si>
  <si>
    <t>Q3 FY2020|inventories</t>
  </si>
  <si>
    <t>Q4 FY2020|inventories</t>
  </si>
  <si>
    <t>6,705</t>
  </si>
  <si>
    <t>Khớp câu trong thuyết minh hàng tồn kho (tr. 7).</t>
  </si>
  <si>
    <t>Số dư tại 31/08/2020</t>
  </si>
  <si>
    <t>Q1 FY2021|inventories</t>
  </si>
  <si>
    <t>6,090</t>
  </si>
  <si>
    <t>Số dư tại 30/11/2020</t>
  </si>
  <si>
    <t>Q2 FY2021|inventories</t>
  </si>
  <si>
    <t>6,693</t>
  </si>
  <si>
    <t>Số dư tại 28/02/2021</t>
  </si>
  <si>
    <t>Q3 FY2021|inventories</t>
  </si>
  <si>
    <t>Q4 FY2021|inventories</t>
  </si>
  <si>
    <t>ITEM 2 – MD&amp;A</t>
  </si>
  <si>
    <t>Item 2 – MD&amp;A, bảng EBIT theo bộ phận, dòng “TOTAL NIKE, INC. EARNINGS BEFORE INTEREST AND TAXES”</t>
  </si>
  <si>
    <t>TOTAL NIKE, INC. EARNINGS BEFORE INTEREST AND TAXES | 1,281 | 1,088 | 18</t>
  </si>
  <si>
    <t>Q1 FY2019|ebit_reported</t>
  </si>
  <si>
    <t>TOTAL NIKE, INC. EARNINGS BEFORE INTEREST AND TAXES | 1,011 | 892 | 13 | 2,292 | 1,980 | 16</t>
  </si>
  <si>
    <t>Cộng các quý từ Q1 bằng số 6 tháng trong 10-Q Q2 FY2019 (tr. 30); báo cáo năm sau in lại đúng số này; khớp số tính lại từ báo cáo tài chính (chênh 0 triệu USD, ngưỡng ±1 triệu USD).</t>
  </si>
  <si>
    <t>Q2 FY2019|ebit_reported</t>
  </si>
  <si>
    <t>TOTAL NIKE, INC. EARNINGS BEFORE INTEREST AND TAXES | 1,303 | 1,172 | 11 | 3,595 | 3,152 | 14</t>
  </si>
  <si>
    <t>Cộng các quý từ Q1 bằng số 9 tháng trong 10-Q Q3 FY2019 (tr. 30); báo cáo năm sau in lại đúng số này; khớp số tính lại từ báo cáo tài chính (chênh 0 triệu USD, ngưỡng ±1 triệu USD).</t>
  </si>
  <si>
    <t>Q3 FY2019|ebit_reported</t>
  </si>
  <si>
    <t>31 (10-K)
30 (10-Q)</t>
  </si>
  <si>
    <t>Tự tính: cả năm (Item 7 – MD&amp;A, bảng EBIT theo bộ phận, dòng “TOTAL NIKE, INC. EARNINGS BEFORE INTEREST AND TAXES”) trừ 9 tháng (10-Q Q3 FY2019, cùng dòng, trang 30)</t>
  </si>
  <si>
    <t>10-K FY2019 (cả năm): 4,850; 10-Q Q3 FY2019 (9 tháng): 3,595</t>
  </si>
  <si>
    <t>Quý 4 tự tính (không có 10-Q cho quý 4): cả năm trừ 9 tháng đầu. Khớp số quý 4 NIKE công bố trong thông cáo kết quả quý 4 (8-K Q4 FY2019, 8-K Q4 FY2020); báo cáo năm sau in lại đúng số này; khớp số tính lại từ báo cáo tài chính (chênh 0 triệu USD, ngưỡng ±1 triệu USD).</t>
  </si>
  <si>
    <t>Q4 FY2019|ebit_reported</t>
  </si>
  <si>
    <t>TOTAL NIKE, INC. EARNINGS BEFORE INTEREST AND TAXES(1) | 1,576 | 1,281 | 23</t>
  </si>
  <si>
    <t>Q1 FY2020|ebit_reported</t>
  </si>
  <si>
    <t>TOTAL NIKE, INC. EARNINGS BEFORE INTEREST AND TAXES(1) | 1,261 | 1,011 | 25 | 2,837 | 2,292 | 24</t>
  </si>
  <si>
    <t>Cộng các quý từ Q1 bằng số 6 tháng trong 10-Q Q2 FY2020 (tr. 32); báo cáo năm sau in lại đúng số này; khớp số tính lại từ báo cáo tài chính (chênh 0 triệu USD, ngưỡng ±1 triệu USD).</t>
  </si>
  <si>
    <t>Q2 FY2020|ebit_reported</t>
  </si>
  <si>
    <t>TOTAL NIKE, INC. EARNINGS BEFORE INTEREST AND TAXES(1) | 893 | 1,303 | -31 | 3,730 | 3,595 | 4</t>
  </si>
  <si>
    <t>Cộng các quý từ Q1 bằng số 9 tháng trong 10-Q Q3 FY2020 (tr. 36); báo cáo năm sau in lại đúng số này; khớp số tính lại từ báo cáo tài chính (chênh 0 triệu USD, ngưỡng ±1 triệu USD).</t>
  </si>
  <si>
    <t>Q3 FY2020|ebit_reported</t>
  </si>
  <si>
    <t>35 (10-K)
36 (10-Q)</t>
  </si>
  <si>
    <t>Tự tính: cả năm (Item 7 – MD&amp;A, bảng EBIT theo bộ phận, dòng “TOTAL NIKE, INC. EARNINGS BEFORE INTEREST AND TAXES”) trừ 9 tháng (10-Q Q3 FY2020, cùng dòng, trang 36)</t>
  </si>
  <si>
    <t>10-K FY2020 (cả năm): 2,976; 10-Q Q3 FY2020 (9 tháng): 3,730</t>
  </si>
  <si>
    <t>Quý 4 tự tính (không có 10-Q cho quý 4): cả năm trừ 9 tháng đầu. Khớp số quý 4 NIKE công bố trong thông cáo kết quả quý 4 (8-K Q4 FY2020, 8-K Q4 FY2021); báo cáo năm sau in lại đúng số này; khớp số tính lại từ báo cáo tài chính (chênh 0 triệu USD, ngưỡng ±1 triệu USD).</t>
  </si>
  <si>
    <t>Q4 FY2020|ebit_reported</t>
  </si>
  <si>
    <t>TOTAL NIKE, INC. EARNINGS BEFORE INTEREST AND TAXES(1) | 1,780 | 1,576 | 13</t>
  </si>
  <si>
    <t>Q1 FY2021|ebit_reported</t>
  </si>
  <si>
    <t>TOTAL NIKE, INC. EARNINGS BEFORE INTEREST AND TAXES(1) | 1,526 | 1,261 | 21 | 3,306 | 2,837 | 17</t>
  </si>
  <si>
    <t>Cộng các quý từ Q1 bằng số 6 tháng trong 10-Q Q2 FY2021 (tr. 33); báo cáo năm sau in lại đúng số này; khớp số tính lại từ báo cáo tài chính (chênh 0 triệu USD, ngưỡng ±1 triệu USD).</t>
  </si>
  <si>
    <t>Q2 FY2021|ebit_reported</t>
  </si>
  <si>
    <t>TOTAL NIKE, INC. EARNINGS BEFORE INTEREST AND TAXES(1) | 1,700 | 893 | 90 | 5,006 | 3,730 | 34</t>
  </si>
  <si>
    <t>Cộng các quý từ Q1 bằng số 9 tháng trong 10-Q Q3 FY2021 (tr. 33); báo cáo năm sau in lại đúng số này; khớp số tính lại từ báo cáo tài chính (chênh 0 triệu USD, ngưỡng ±1 triệu USD).</t>
  </si>
  <si>
    <t>Q3 FY2021|ebit_reported</t>
  </si>
  <si>
    <t>36 (10-K)
33 (10-Q)</t>
  </si>
  <si>
    <t>Tự tính: cả năm (Item 7 – MD&amp;A, bảng EBIT theo bộ phận, dòng “TOTAL NIKE, INC. EARNINGS BEFORE INTEREST AND TAXES”) trừ 9 tháng (10-Q Q3 FY2021, cùng dòng, trang 33)</t>
  </si>
  <si>
    <t>10-K FY2021 (cả năm): 6,923; 10-Q Q3 FY2021 (9 tháng): 5,006</t>
  </si>
  <si>
    <t>Quý 4 tự tính (không có 10-Q cho quý 4): cả năm trừ 9 tháng đầu. Khớp số quý 4 NIKE công bố trong thông cáo kết quả quý 4 (8-K Q4 FY2021); báo cáo năm sau in lại đúng số này; khớp số tính lại từ báo cáo tài chính (chênh 0 triệu USD, ngưỡng ±1 triệu USD).</t>
  </si>
  <si>
    <t>Q4 FY2021|ebit_reported</t>
  </si>
  <si>
    <t>Item 2 – MD&amp;A, bảng doanh thu, dòng TOTAL NIKE, INC. REVENUES, cột “% CHANGE”</t>
  </si>
  <si>
    <t>TOTAL NIKE, INC. REVENUES | 9,948 | 9,070 | 10 | 9</t>
  </si>
  <si>
    <t>Khớp bảng doanh thu theo khu vực trong MD&amp;A (tr. 25); khớp số tính lại từ báo cáo tài chính (chênh −0,32 điểm %, ngưỡng ±1 điểm %).</t>
  </si>
  <si>
    <t>Q1 FY2019|revenues_pct_change_reported</t>
  </si>
  <si>
    <t>TOTAL NIKE, INC. REVENUES | 9,374 | 8,554 | 10 | 14 | 19,322 | 17,624 | 10 | 11</t>
  </si>
  <si>
    <t>Khớp bảng doanh thu theo khu vực trong MD&amp;A (tr. 30); khớp số tính lại từ báo cáo tài chính (chênh −0,41 điểm %, ngưỡng ±1 điểm %).</t>
  </si>
  <si>
    <t>Q2 FY2019|revenues_pct_change_reported</t>
  </si>
  <si>
    <t>TOTAL NIKE, INC. REVENUES | 9,611 | 8,984 | 7 | 11 | 28,933 | 26,608 | 9 | 11</t>
  </si>
  <si>
    <t>Khớp bảng doanh thu theo khu vực trong MD&amp;A (tr. 30); khớp số tính lại từ báo cáo tài chính (chênh −0,02 điểm %, ngưỡng ±1 điểm %).</t>
  </si>
  <si>
    <t>Q3 FY2019|revenues_pct_change_reported</t>
  </si>
  <si>
    <t>8-K Q4 FY2019</t>
  </si>
  <si>
    <t>Thông cáo kết quả quý 4 của NIKE (8-K), không kiểm toán</t>
  </si>
  <si>
    <t>DIVISIONAL REVENUES</t>
  </si>
  <si>
    <t>Thông cáo kết quả quý 4 (Form 8-K, Exhibit 99.1), DIVISIONAL REVENUES</t>
  </si>
  <si>
    <t>TOTAL NIKE, INC. REVENUES | 10,184 | 9,789 | 4 | % | 10 | % | 39,117 | 36,397 | 7 | % | 11 | %</t>
  </si>
  <si>
    <t>Khớp dòng in lại trong bảng “CONSOLIDATED STATEMENTS OF INCOME” của cùng thông cáo; khớp số tính lại từ báo cáo tài chính (chênh +0,04 điểm %, ngưỡng ±1 điểm %).</t>
  </si>
  <si>
    <t>Không gắn thẻ XBRL (thông cáo kết quả quý 4)</t>
  </si>
  <si>
    <t>27/06/2019</t>
  </si>
  <si>
    <t>0000320187-19-000044</t>
  </si>
  <si>
    <t>Q4 FY2019|revenues_pct_change_reported</t>
  </si>
  <si>
    <t>TOTAL NIKE, INC. REVENUES | 10,660 | 9,948 | 7 | 10</t>
  </si>
  <si>
    <t>Khớp bảng doanh thu theo khu vực trong MD&amp;A (tr. 26); khớp số tính lại từ báo cáo tài chính (chênh +0,16 điểm %, ngưỡng ±1 điểm %).</t>
  </si>
  <si>
    <t>Q1 FY2020|revenues_pct_change_reported</t>
  </si>
  <si>
    <t>TOTAL NIKE, INC. REVENUES | 10,326 | 9,374 | 10 | 13 | 20,986 | 19,322 | 9 | 11</t>
  </si>
  <si>
    <t>Khớp bảng doanh thu theo khu vực trong MD&amp;A (tr. 31); khớp số tính lại từ báo cáo tài chính (chênh +0,16 điểm %, ngưỡng ±1 điểm %).</t>
  </si>
  <si>
    <t>Q2 FY2020|revenues_pct_change_reported</t>
  </si>
  <si>
    <t>TOTAL NIKE, INC. REVENUES | 10,104 | 9,611 | 5 | 7 | 31,090 | 28,933 | 7 | 10</t>
  </si>
  <si>
    <t>Khớp bảng doanh thu theo khu vực trong MD&amp;A (tr. 35); khớp số tính lại từ báo cáo tài chính (chênh +0,13 điểm %, ngưỡng ±1 điểm %).</t>
  </si>
  <si>
    <t>Q3 FY2020|revenues_pct_change_reported</t>
  </si>
  <si>
    <t>8-K Q4 FY2020</t>
  </si>
  <si>
    <t>TOTAL NIKE, INC. REVENUES | 6,313 | 10,184 | -38 | % | -36 | % | 37,403 | 39,117 | -4 | % | -2 | %</t>
  </si>
  <si>
    <t>Khớp dòng in lại trong bảng “CONSOLIDATED STATEMENTS OF INCOME” của cùng thông cáo; khớp số tính lại từ báo cáo tài chính (chênh −0,01 điểm %, ngưỡng ±1 điểm %).</t>
  </si>
  <si>
    <t>25/06/2020</t>
  </si>
  <si>
    <t>0000320187-20-000033</t>
  </si>
  <si>
    <t>Q4 FY2020|revenues_pct_change_reported</t>
  </si>
  <si>
    <t>TOTAL NIKE, INC. REVENUES | 10,594 | 10,660 | -1 | 0</t>
  </si>
  <si>
    <t>Khớp bảng doanh thu theo khu vực trong MD&amp;A (tr. 27); khớp số tính lại từ báo cáo tài chính (chênh +0,38 điểm %, ngưỡng ±1 điểm %).</t>
  </si>
  <si>
    <t>Q1 FY2021|revenues_pct_change_reported</t>
  </si>
  <si>
    <t>TOTAL NIKE, INC. REVENUES | 11,243 | 10,326 | 9 | 7 | 21,837 | 20,986 | 4 | 4</t>
  </si>
  <si>
    <t>Khớp bảng doanh thu theo khu vực trong MD&amp;A (tr. 32); khớp số tính lại từ báo cáo tài chính (chênh −0,12 điểm %, ngưỡng ±1 điểm %).</t>
  </si>
  <si>
    <t>Q2 FY2021|revenues_pct_change_reported</t>
  </si>
  <si>
    <t>TOTAL NIKE, INC. REVENUES | 10,357 | 10,104 | 3 | -1 | 32,194 | 31,090 | 4 | 2</t>
  </si>
  <si>
    <t>Khớp bảng doanh thu theo khu vực trong MD&amp;A (tr. 32); khớp số tính lại từ báo cáo tài chính (chênh −0,50 điểm %, ngưỡng ±1 điểm %).</t>
  </si>
  <si>
    <t>Q3 FY2021|revenues_pct_change_reported</t>
  </si>
  <si>
    <t>8-K Q4 FY2021</t>
  </si>
  <si>
    <t>TOTAL NIKE, INC. REVENUES | 12,344 | 6,313 | 96 | % | 88 | % | 44,538 | 37,403 | 19 | % | 17 | %</t>
  </si>
  <si>
    <t>Khớp dòng in lại trong bảng “CONSOLIDATED STATEMENTS OF INCOME” của cùng thông cáo; khớp số tính lại từ báo cáo tài chính (chênh −0,47 điểm %, ngưỡng ±1 điểm %).</t>
  </si>
  <si>
    <t>24/06/2021</t>
  </si>
  <si>
    <t>0000320187-21-000025</t>
  </si>
  <si>
    <t>Q4 FY2021|revenues_pct_change_reported</t>
  </si>
  <si>
    <t>Item 2 – MD&amp;A, bảng doanh thu, dòng TOTAL NIKE, INC. REVENUES, cột “% CHANGE EXCLUDING CURRENCY CHANGES”</t>
  </si>
  <si>
    <t>Khớp bảng doanh thu theo khu vực trong MD&amp;A (tr. 25); đã đọc lại ngay trên trang 10-Q Q1 FY2019 (tr. 22): khớp.</t>
  </si>
  <si>
    <t>Q1 FY2019|revenues_pct_change_cn</t>
  </si>
  <si>
    <t>Khớp bảng doanh thu theo khu vực trong MD&amp;A (tr. 30); đã đọc lại ngay trên trang 10-Q Q2 FY2019 (tr. 27): khớp.</t>
  </si>
  <si>
    <t>Q2 FY2019|revenues_pct_change_cn</t>
  </si>
  <si>
    <t>Khớp bảng doanh thu theo khu vực trong MD&amp;A (tr. 30); đã đọc lại ngay trên trang 10-Q Q3 FY2019 (tr. 27): khớp.</t>
  </si>
  <si>
    <t>Q3 FY2019|revenues_pct_change_cn</t>
  </si>
  <si>
    <t>Khớp câu trong phần “Fourth Quarter Income Statement Review” của cùng thông cáo.</t>
  </si>
  <si>
    <t>Q4 FY2019|revenues_pct_change_cn</t>
  </si>
  <si>
    <t>Khớp bảng doanh thu theo khu vực trong MD&amp;A (tr. 26); đã đọc lại ngay trên trang 10-Q Q1 FY2020 (tr. 24): khớp.</t>
  </si>
  <si>
    <t>Q1 FY2020|revenues_pct_change_cn</t>
  </si>
  <si>
    <t>Khớp bảng doanh thu theo khu vực trong MD&amp;A (tr. 31); đã đọc lại ngay trên trang 10-Q Q2 FY2020 (tr. 28): khớp.</t>
  </si>
  <si>
    <t>Q2 FY2020|revenues_pct_change_cn</t>
  </si>
  <si>
    <t>Khớp bảng doanh thu theo khu vực trong MD&amp;A (tr. 35); đã đọc lại ngay trên trang 10-Q Q3 FY2020 (tr. 31): khớp.</t>
  </si>
  <si>
    <t>Q3 FY2020|revenues_pct_change_cn</t>
  </si>
  <si>
    <t>Q4 FY2020|revenues_pct_change_cn</t>
  </si>
  <si>
    <t>Khớp bảng doanh thu theo khu vực trong MD&amp;A (tr. 27); đã đọc lại ngay trên trang 10-Q Q1 FY2021 (tr. 24): khớp.</t>
  </si>
  <si>
    <t>Q1 FY2021|revenues_pct_change_cn</t>
  </si>
  <si>
    <t>Khớp bảng doanh thu theo khu vực trong MD&amp;A (tr. 32); đã đọc lại ngay trên trang 10-Q Q2 FY2021 (tr. 28): khớp.</t>
  </si>
  <si>
    <t>Q2 FY2021|revenues_pct_change_cn</t>
  </si>
  <si>
    <t>Khớp bảng doanh thu theo khu vực trong MD&amp;A (tr. 32); đã đọc lại ngay trên trang 10-Q Q3 FY2021 (tr. 28): khớp.</t>
  </si>
  <si>
    <t>Q3 FY2021|revenues_pct_change_cn</t>
  </si>
  <si>
    <t>Q4 FY2021|revenues_pct_change_cn</t>
  </si>
  <si>
    <t>Note 11 — Revenues</t>
  </si>
  <si>
    <t>Item 1 – thuyết minh “Revenues”, bảng phân tách doanh thu, Sales through Direct to Consumer, cột Total NIKE Brand</t>
  </si>
  <si>
    <t>2,851</t>
  </si>
  <si>
    <t>Khớp bảng doanh thu trong MD&amp;A (tr. 22); báo cáo năm sau in lại đúng số này.</t>
  </si>
  <si>
    <t>us-gaap:RevenueFromContractWithCustomerIncludingAssessedTax [ConsolidationItemsAxis=OperatingSegmentsMember; ContractWithCustomerSalesChannelAxis=SalesChannelDirectlyToConsumerMember; StatementBusinessSegmentsAxis=NIKEBrandMember]</t>
  </si>
  <si>
    <t>Q1 FY2019|nike_direct_revenue</t>
  </si>
  <si>
    <t>2,831</t>
  </si>
  <si>
    <t>Khớp bảng doanh thu trong MD&amp;A (tr. 27); cộng các quý từ Q1 bằng số 6 tháng trong 10-Q Q2 FY2019 (tr. 22); báo cáo năm sau in lại đúng số này.</t>
  </si>
  <si>
    <t>Q2 FY2019|nike_direct_revenue</t>
  </si>
  <si>
    <t>2,966</t>
  </si>
  <si>
    <t>Khớp bảng doanh thu trong MD&amp;A (tr. 27); cộng các quý từ Q1 bằng số 9 tháng trong 10-Q Q3 FY2019 (tr. 22); báo cáo năm sau in lại đúng số này.</t>
  </si>
  <si>
    <t>Q3 FY2019|nike_direct_revenue</t>
  </si>
  <si>
    <t>80 (10-K)
22 (10-Q)</t>
  </si>
  <si>
    <t>Tự tính: cả năm (Item 8 – thuyết minh “Revenues”, bảng phân tách doanh thu, Sales through Direct to Consumer, cột Total NIKE Brand) trừ 9 tháng (10-Q Q3 FY2019, cùng dòng, trang 22)</t>
  </si>
  <si>
    <t>10-K FY2019 (cả năm): 11,753; 10-Q Q3 FY2019 (9 tháng): 8,648</t>
  </si>
  <si>
    <t>Quý 4 tự tính (không có 10-Q cho quý 4): cả năm trừ 9 tháng đầu. Báo cáo năm sau in lại đúng số này.</t>
  </si>
  <si>
    <t>Q4 FY2019|nike_direct_revenue</t>
  </si>
  <si>
    <t>NOTE 11 — REVENUES</t>
  </si>
  <si>
    <t>3,248</t>
  </si>
  <si>
    <t>Q1 FY2020|nike_direct_revenue</t>
  </si>
  <si>
    <t>3,256</t>
  </si>
  <si>
    <t>Khớp bảng doanh thu trong MD&amp;A (tr. 28); cộng các quý từ Q1 bằng số 6 tháng trong 10-Q Q2 FY2020 (tr. 21); báo cáo năm sau in lại đúng số này.</t>
  </si>
  <si>
    <t>Q2 FY2020|nike_direct_revenue</t>
  </si>
  <si>
    <t>3,297</t>
  </si>
  <si>
    <t>Khớp bảng doanh thu trong MD&amp;A (tr. 31); cộng các quý từ Q1 bằng số 9 tháng trong 10-Q Q3 FY2020 (tr. 21); báo cáo năm sau in lại đúng số này.</t>
  </si>
  <si>
    <t>Q3 FY2020|nike_direct_revenue</t>
  </si>
  <si>
    <t>88 (10-K)
21 (10-Q)</t>
  </si>
  <si>
    <t>Tự tính: cả năm (Item 8 – thuyết minh “Revenues”, bảng phân tách doanh thu, Sales through Direct to Consumer, cột Total NIKE Brand) trừ 9 tháng (10-Q Q3 FY2020, cùng dòng, trang 21)</t>
  </si>
  <si>
    <t>10-K FY2020 (cả năm): 12,382; 10-Q Q3 FY2020 (9 tháng): 9,801</t>
  </si>
  <si>
    <t>Q4 FY2020|nike_direct_revenue</t>
  </si>
  <si>
    <t>3,650</t>
  </si>
  <si>
    <t>Q1 FY2021|nike_direct_revenue</t>
  </si>
  <si>
    <t>4,310</t>
  </si>
  <si>
    <t>Khớp bảng doanh thu trong MD&amp;A (tr. 28); cộng các quý từ Q1 bằng số 6 tháng trong 10-Q Q2 FY2021 (tr. 20); báo cáo năm sau in lại đúng số này.</t>
  </si>
  <si>
    <t>Q2 FY2021|nike_direct_revenue</t>
  </si>
  <si>
    <t>3,953</t>
  </si>
  <si>
    <t>Khớp bảng doanh thu trong MD&amp;A (tr. 28); cộng các quý từ Q1 bằng số 9 tháng trong 10-Q Q3 FY2021 (tr. 20); báo cáo năm sau in lại đúng số này.</t>
  </si>
  <si>
    <t>Q3 FY2021|nike_direct_revenue</t>
  </si>
  <si>
    <t>86 (10-K)
20 (10-Q)</t>
  </si>
  <si>
    <t>Tự tính: cả năm (Item 8 – thuyết minh “Revenues”, bảng phân tách doanh thu, Sales through Direct to Consumer, cột Total NIKE Brand) trừ 9 tháng (10-Q Q3 FY2021, cùng dòng, trang 20)</t>
  </si>
  <si>
    <t>10-K FY2021 (cả năm): 16,370; 10-Q Q3 FY2021 (9 tháng): 11,913</t>
  </si>
  <si>
    <t>Q4 FY2021|nike_direct_revenue</t>
  </si>
  <si>
    <t>Item 1 – thuyết minh “Revenues”, bảng phân tách doanh thu, Sales to Wholesale Customers, cột Total NIKE Brand</t>
  </si>
  <si>
    <t>6,550</t>
  </si>
  <si>
    <t>us-gaap:RevenueFromContractWithCustomerIncludingAssessedTax [ConsolidationItemsAxis=OperatingSegmentsMember; ContractWithCustomerSalesChannelAxis=SalesChannelWholesaleMember; StatementBusinessSegmentsAxis=NIKEBrandMember]</t>
  </si>
  <si>
    <t>Q1 FY2019|nike_brand_wholesale_revenue</t>
  </si>
  <si>
    <t>6,106</t>
  </si>
  <si>
    <t>Q2 FY2019|nike_brand_wholesale_revenue</t>
  </si>
  <si>
    <t>6,174</t>
  </si>
  <si>
    <t>Q3 FY2019|nike_brand_wholesale_revenue</t>
  </si>
  <si>
    <t>Tự tính: cả năm (Item 8 – thuyết minh “Revenues”, bảng phân tách doanh thu, Sales to Wholesale Customers, cột Total NIKE Brand) trừ 9 tháng (10-Q Q3 FY2019, cùng dòng, trang 22)</t>
  </si>
  <si>
    <t>10-K FY2019 (cả năm): 25,423; 10-Q Q3 FY2019 (9 tháng): 18,830</t>
  </si>
  <si>
    <t>Q4 FY2019|nike_brand_wholesale_revenue</t>
  </si>
  <si>
    <t>6,842</t>
  </si>
  <si>
    <t>Q1 FY2020|nike_brand_wholesale_revenue</t>
  </si>
  <si>
    <t>6,578</t>
  </si>
  <si>
    <t>Q2 FY2020|nike_brand_wholesale_revenue</t>
  </si>
  <si>
    <t>6,311</t>
  </si>
  <si>
    <t>Q3 FY2020|nike_brand_wholesale_revenue</t>
  </si>
  <si>
    <t>Tự tính: cả năm (Item 8 – thuyết minh “Revenues”, bảng phân tách doanh thu, Sales to Wholesale Customers, cột Total NIKE Brand) trừ 9 tháng (10-Q Q3 FY2020, cùng dòng, trang 21)</t>
  </si>
  <si>
    <t>10-K FY2020 (cả năm): 23,156; 10-Q Q3 FY2020 (9 tháng): 19,731</t>
  </si>
  <si>
    <t>Q4 FY2020|nike_brand_wholesale_revenue</t>
  </si>
  <si>
    <t>6,364</t>
  </si>
  <si>
    <t>Q1 FY2021|nike_brand_wholesale_revenue</t>
  </si>
  <si>
    <t>6,423</t>
  </si>
  <si>
    <t>Q2 FY2021|nike_brand_wholesale_revenue</t>
  </si>
  <si>
    <t>5,814</t>
  </si>
  <si>
    <t>Q3 FY2021|nike_brand_wholesale_revenue</t>
  </si>
  <si>
    <t>Tự tính: cả năm (Item 8 – thuyết minh “Revenues”, bảng phân tách doanh thu, Sales to Wholesale Customers, cột Total NIKE Brand) trừ 9 tháng (10-Q Q3 FY2021, cùng dòng, trang 20)</t>
  </si>
  <si>
    <t>10-K FY2021 (cả năm): 25,898; 10-Q Q3 FY2021 (9 tháng): 18,601</t>
  </si>
  <si>
    <t>Q4 FY2021|nike_brand_wholesale_revenue</t>
  </si>
  <si>
    <t>Item 1 – thuyết minh “Revenues”, bảng phân tách doanh thu, Other, cột Total NIKE Brand</t>
  </si>
  <si>
    <t>16</t>
  </si>
  <si>
    <t>us-gaap:RevenueFromContractWithCustomerIncludingAssessedTax [ConsolidationItemsAxis=OperatingSegmentsMember; ContractWithCustomerSalesChannelAxis=SalesChannelOtherMember; StatementBusinessSegmentsAxis=NIKEBrandMember]</t>
  </si>
  <si>
    <t>Q1 FY2019|global_brand_divisions_revenue</t>
  </si>
  <si>
    <t>9</t>
  </si>
  <si>
    <t>Q2 FY2019|global_brand_divisions_revenue</t>
  </si>
  <si>
    <t>8</t>
  </si>
  <si>
    <t>Q3 FY2019|global_brand_divisions_revenue</t>
  </si>
  <si>
    <t>Tự tính: cả năm (Item 8 – thuyết minh “Revenues”, bảng phân tách doanh thu, Other, cột Total NIKE Brand) trừ 9 tháng (10-Q Q3 FY2019, cùng dòng, trang 22)</t>
  </si>
  <si>
    <t>10-K FY2019 (cả năm): 42; 10-Q Q3 FY2019 (9 tháng): 33</t>
  </si>
  <si>
    <t>Q4 FY2019|global_brand_divisions_revenue</t>
  </si>
  <si>
    <t>6</t>
  </si>
  <si>
    <t>Q1 FY2020|global_brand_divisions_revenue</t>
  </si>
  <si>
    <t>10</t>
  </si>
  <si>
    <t>Q2 FY2020|global_brand_divisions_revenue</t>
  </si>
  <si>
    <t>Q3 FY2020|global_brand_divisions_revenue</t>
  </si>
  <si>
    <t>Tự tính: cả năm (Item 8 – thuyết minh “Revenues”, bảng phân tách doanh thu, Other, cột Total NIKE Brand) trừ 9 tháng (10-Q Q3 FY2020, cùng dòng, trang 21)</t>
  </si>
  <si>
    <t>10-K FY2020 (cả năm): 30; 10-Q Q3 FY2020 (9 tháng): 24</t>
  </si>
  <si>
    <t>Q4 FY2020|global_brand_divisions_revenue</t>
  </si>
  <si>
    <t>4</t>
  </si>
  <si>
    <t>Q1 FY2021|global_brand_divisions_revenue</t>
  </si>
  <si>
    <t>Q2 FY2021|global_brand_divisions_revenue</t>
  </si>
  <si>
    <t>Q3 FY2021|global_brand_divisions_revenue</t>
  </si>
  <si>
    <t>Tự tính: cả năm (Item 8 – thuyết minh “Revenues”, bảng phân tách doanh thu, Other, cột Total NIKE Brand) trừ 9 tháng (10-Q Q3 FY2021, cùng dòng, trang 20)</t>
  </si>
  <si>
    <t>10-K FY2021 (cả năm): 25; 10-Q Q3 FY2021 (9 tháng): 18</t>
  </si>
  <si>
    <t>Q4 FY2021|global_brand_divisions_revenue</t>
  </si>
  <si>
    <t>Item 1 – thuyết minh “Revenues”, bảng phân tách doanh thu, TOTAL REVENUES, cột Total NIKE Brand</t>
  </si>
  <si>
    <t>9,417</t>
  </si>
  <si>
    <t>us-gaap:RevenueFromContractWithCustomerIncludingAssessedTax [ConsolidationItemsAxis=OperatingSegmentsMember; StatementBusinessSegmentsAxis=NIKEBrandMember]</t>
  </si>
  <si>
    <t>Q1 FY2019|nike_brand_revenue</t>
  </si>
  <si>
    <t>8,946</t>
  </si>
  <si>
    <t>Q2 FY2019|nike_brand_revenue</t>
  </si>
  <si>
    <t>9,148</t>
  </si>
  <si>
    <t>Q3 FY2019|nike_brand_revenue</t>
  </si>
  <si>
    <t>Tự tính: cả năm (Item 8 – thuyết minh “Revenues”, bảng phân tách doanh thu, TOTAL REVENUES, cột Total NIKE Brand) trừ 9 tháng (10-Q Q3 FY2019, cùng dòng, trang 22)</t>
  </si>
  <si>
    <t>10-K FY2019 (cả năm): 37,218; 10-Q Q3 FY2019 (9 tháng): 27,511</t>
  </si>
  <si>
    <t>Q4 FY2019|nike_brand_revenue</t>
  </si>
  <si>
    <t>10,096</t>
  </si>
  <si>
    <t>Q1 FY2020|nike_brand_revenue</t>
  </si>
  <si>
    <t>9,844</t>
  </si>
  <si>
    <t>Q2 FY2020|nike_brand_revenue</t>
  </si>
  <si>
    <t>9,616</t>
  </si>
  <si>
    <t>Q3 FY2020|nike_brand_revenue</t>
  </si>
  <si>
    <t>Tự tính: cả năm (Item 8 – thuyết minh “Revenues”, bảng phân tách doanh thu, TOTAL REVENUES, cột Total NIKE Brand) trừ 9 tháng (10-Q Q3 FY2020, cùng dòng, trang 21)</t>
  </si>
  <si>
    <t>10-K FY2020 (cả năm): 35,568; 10-Q Q3 FY2020 (9 tháng): 29,556</t>
  </si>
  <si>
    <t>Q4 FY2020|nike_brand_revenue</t>
  </si>
  <si>
    <t>10,018</t>
  </si>
  <si>
    <t>Q1 FY2021|nike_brand_revenue</t>
  </si>
  <si>
    <t>10,741</t>
  </si>
  <si>
    <t>Q2 FY2021|nike_brand_revenue</t>
  </si>
  <si>
    <t>9,773</t>
  </si>
  <si>
    <t>Q3 FY2021|nike_brand_revenue</t>
  </si>
  <si>
    <t>Tự tính: cả năm (Item 8 – thuyết minh “Revenues”, bảng phân tách doanh thu, TOTAL REVENUES, cột Total NIKE Brand) trừ 9 tháng (10-Q Q3 FY2021, cùng dòng, trang 20)</t>
  </si>
  <si>
    <t>10-K FY2021 (cả năm): 42,293; 10-Q Q3 FY2021 (9 tháng): 30,532</t>
  </si>
  <si>
    <t>Q4 FY2021|nike_brand_revenue</t>
  </si>
  <si>
    <t>Item 1 – thuyết minh “Revenues”, bảng phân tách doanh thu, TOTAL REVENUES, cột Converse</t>
  </si>
  <si>
    <t>527</t>
  </si>
  <si>
    <t>us-gaap:RevenueFromContractWithCustomerIncludingAssessedTax [ConsolidationItemsAxis=OperatingSegmentsMember; StatementBusinessSegmentsAxis=ConverseSegmentMember]</t>
  </si>
  <si>
    <t>Q1 FY2019|converse_revenue</t>
  </si>
  <si>
    <t>425</t>
  </si>
  <si>
    <t>Q2 FY2019|converse_revenue</t>
  </si>
  <si>
    <t>463</t>
  </si>
  <si>
    <t>Q3 FY2019|converse_revenue</t>
  </si>
  <si>
    <t>Tự tính: cả năm (Item 8 – thuyết minh “Revenues”, bảng phân tách doanh thu, TOTAL REVENUES, cột Converse) trừ 9 tháng (10-Q Q3 FY2019, cùng dòng, trang 22)</t>
  </si>
  <si>
    <t>10-K FY2019 (cả năm): 1,906; 10-Q Q3 FY2019 (9 tháng): 1,415</t>
  </si>
  <si>
    <t>Q4 FY2019|converse_revenue</t>
  </si>
  <si>
    <t>555</t>
  </si>
  <si>
    <t>Q1 FY2020|converse_revenue</t>
  </si>
  <si>
    <t>480</t>
  </si>
  <si>
    <t>Q2 FY2020|converse_revenue</t>
  </si>
  <si>
    <t>506</t>
  </si>
  <si>
    <t>Q3 FY2020|converse_revenue</t>
  </si>
  <si>
    <t>Tự tính: cả năm (Item 8 – thuyết minh “Revenues”, bảng phân tách doanh thu, TOTAL REVENUES, cột Converse) trừ 9 tháng (10-Q Q3 FY2020, cùng dòng, trang 21)</t>
  </si>
  <si>
    <t>10-K FY2020 (cả năm): 1,846; 10-Q Q3 FY2020 (9 tháng): 1,541</t>
  </si>
  <si>
    <t>Q4 FY2020|converse_revenue</t>
  </si>
  <si>
    <t>563</t>
  </si>
  <si>
    <t>Q1 FY2021|converse_revenue</t>
  </si>
  <si>
    <t>476</t>
  </si>
  <si>
    <t>Q2 FY2021|converse_revenue</t>
  </si>
  <si>
    <t>570</t>
  </si>
  <si>
    <t>Q3 FY2021|converse_revenue</t>
  </si>
  <si>
    <t>Tự tính: cả năm (Item 8 – thuyết minh “Revenues”, bảng phân tách doanh thu, TOTAL REVENUES, cột Converse) trừ 9 tháng (10-Q Q3 FY2021, cùng dòng, trang 20)</t>
  </si>
  <si>
    <t>10-K FY2021 (cả năm): 2,205; 10-Q Q3 FY2021 (9 tháng): 1,609</t>
  </si>
  <si>
    <t>Q4 FY2021|converse_revenue</t>
  </si>
  <si>
    <t>Item 1 – thuyết minh “Revenues”, bảng phân tách doanh thu, TOTAL REVENUES, cột Corporate</t>
  </si>
  <si>
    <t>us-gaap:RevenueFromContractWithCustomerIncludingAssessedTax [ConsolidationItemsAxis=CorporateNonSegmentMember]</t>
  </si>
  <si>
    <t>Q1 FY2019|corporate_revenue</t>
  </si>
  <si>
    <t>3</t>
  </si>
  <si>
    <t>Q2 FY2019|corporate_revenue</t>
  </si>
  <si>
    <t>0</t>
  </si>
  <si>
    <t>Q3 FY2019|corporate_revenue</t>
  </si>
  <si>
    <t>Tự tính: cả năm (Item 8 – thuyết minh “Revenues”, bảng phân tách doanh thu, TOTAL REVENUES, cột Corporate) trừ 9 tháng (10-Q Q3 FY2019, cùng dòng, trang 22)</t>
  </si>
  <si>
    <t>10-K FY2019 (cả năm): (7); 10-Q Q3 FY2019 (9 tháng): 7</t>
  </si>
  <si>
    <t>Q4 FY2019|corporate_revenue</t>
  </si>
  <si>
    <t>Q1 FY2020|corporate_revenue</t>
  </si>
  <si>
    <t>2</t>
  </si>
  <si>
    <t>Q2 FY2020|corporate_revenue</t>
  </si>
  <si>
    <t>(18)</t>
  </si>
  <si>
    <t>Q3 FY2020|corporate_revenue</t>
  </si>
  <si>
    <t>Tự tính: cả năm (Item 8 – thuyết minh “Revenues”, bảng phân tách doanh thu, TOTAL REVENUES, cột Corporate) trừ 9 tháng (10-Q Q3 FY2020, cùng dòng, trang 21)</t>
  </si>
  <si>
    <t>10-K FY2020 (cả năm): (11); 10-Q Q3 FY2020 (9 tháng): (7)</t>
  </si>
  <si>
    <t>Q4 FY2020|corporate_revenue</t>
  </si>
  <si>
    <t>13</t>
  </si>
  <si>
    <t>Q1 FY2021|corporate_revenue</t>
  </si>
  <si>
    <t>26</t>
  </si>
  <si>
    <t>Q2 FY2021|corporate_revenue</t>
  </si>
  <si>
    <t>Q3 FY2021|corporate_revenue</t>
  </si>
  <si>
    <t>Tự tính: cả năm (Item 8 – thuyết minh “Revenues”, bảng phân tách doanh thu, TOTAL REVENUES, cột Corporate) trừ 9 tháng (10-Q Q3 FY2021, cùng dòng, trang 20)</t>
  </si>
  <si>
    <t>10-K FY2021 (cả năm): 40; 10-Q Q3 FY2021 (9 tháng): 53</t>
  </si>
  <si>
    <t>Q4 FY2021|corporate_revenue</t>
  </si>
  <si>
    <t>Item 2 – MD&amp;A, đoạn về NIKE Direct, câu “Digital commerce sales were …” (quý 2–3 FY2021: “Digital sales were …”)</t>
  </si>
  <si>
    <t>Digital commerce sales were $770 million for the first quarter of fiscal 2019 compared to $567 million for the first quarter of fiscal 2018, and represented approximately 27% and 22% of our total NIKE Direct revenues for the first quarter of fiscal 2019 and fiscal 2018, respectively.</t>
  </si>
  <si>
    <t>Q1 FY2019|nike_brand_digital_sales</t>
  </si>
  <si>
    <t>Digital commerce sales were $977 million and $1,747 million for the second quarter and first six months of fiscal 2019, respectively, compared to $710 million and $1,277 million for the second quarter and first six months of fiscal 2018, respectively.</t>
  </si>
  <si>
    <t>Cộng các quý từ Q1 bằng số 6 tháng trong 10-Q Q2 FY2019 (tr. 27); báo cáo năm sau in lại đúng số này.</t>
  </si>
  <si>
    <t>Q2 FY2019|nike_brand_digital_sales</t>
  </si>
  <si>
    <t>Digital commerce sales were $1,034 million and $2,781 million for the third quarter and first nine months of fiscal 2019, respectively, compared to $774 million and $2,051 million for the respective prior year periods.</t>
  </si>
  <si>
    <t>Cộng các quý từ Q1 bằng số 9 tháng trong 10-Q Q3 FY2019 (tr. 27); báo cáo năm sau in lại đúng số này.</t>
  </si>
  <si>
    <t>Q3 FY2019|nike_brand_digital_sales</t>
  </si>
  <si>
    <t>28 (10-K)
27 (10-Q)</t>
  </si>
  <si>
    <t>Tự tính: cả năm (Item 7 – MD&amp;A, đoạn về NIKE Direct, câu “Digital commerce sales were …” (quý 2–3 FY2021: “Digital sales were …”)) trừ 9 tháng (10-Q Q3 FY2019, cùng dòng, trang 27)</t>
  </si>
  <si>
    <t>10-K FY2019 (cả năm): $3.8 billion; 10-Q Q3 FY2019 (9 tháng): $2,781 million</t>
  </si>
  <si>
    <t>Quý 4 ước tính (không có 10-Q cho quý 4): cả năm trừ 9 tháng đầu, số cả năm đã làm tròn. Báo cáo năm sau in lại đúng số này.</t>
  </si>
  <si>
    <t>Báo cáo năm sau in lại đúng số cả năm và số 9 tháng: 10-K FY2020, 10-Q Q3 FY2020.</t>
  </si>
  <si>
    <t>Q4 FY2019|nike_brand_digital_sales</t>
  </si>
  <si>
    <t>Digital commerce sales were $1.1 billion for the first quarter of fiscal 2020 compared to $770 million for the first quarter of fiscal 2019.</t>
  </si>
  <si>
    <t>Q1 FY2020|nike_brand_digital_sales</t>
  </si>
  <si>
    <t>Digital commerce sales were $1.3 billion for the second quarter of fiscal 2020 compared to $977 million for the second quarter of fiscal 2019.</t>
  </si>
  <si>
    <t>Cộng các quý từ Q1 bằng số 6 tháng trong 10-Q Q2 FY2020 (tr. 29); báo cáo năm sau in lại đúng số này.</t>
  </si>
  <si>
    <t>Q2 FY2020|nike_brand_digital_sales</t>
  </si>
  <si>
    <t>Digital commerce sales were $1.4 billion for the third quarter of fiscal 2020 compared to $1.0 billion for the third quarter of fiscal 2019.</t>
  </si>
  <si>
    <t>Cộng các quý từ Q1 bằng số 9 tháng trong 10-Q Q3 FY2020 (tr. 32); báo cáo năm sau in lại đúng số này.</t>
  </si>
  <si>
    <t>Q3 FY2020|nike_brand_digital_sales</t>
  </si>
  <si>
    <t>32 (10-K)
32 (10-Q)</t>
  </si>
  <si>
    <t>Tự tính: cả năm (Item 7 – MD&amp;A, đoạn về NIKE Direct, câu “Digital commerce sales were …” (quý 2–3 FY2021: “Digital sales were …”)) trừ 9 tháng (10-Q Q3 FY2020, cùng dòng, trang 32)</t>
  </si>
  <si>
    <t>10-K FY2020 (cả năm): $5.5 billion; 10-Q Q3 FY2020 (9 tháng): $3.8 billion</t>
  </si>
  <si>
    <t>Quý 4 ước tính (không có 10-Q cho quý 4): cả năm trừ 9 tháng đầu, hai số đều đã làm tròn. Báo cáo năm sau in lại đúng số này.</t>
  </si>
  <si>
    <t>Báo cáo năm sau in lại đúng số cả năm và số 9 tháng: 10-K FY2021, 10-Q Q3 FY2021.</t>
  </si>
  <si>
    <t>Q4 FY2020|nike_brand_digital_sales</t>
  </si>
  <si>
    <t>Digital commerce sales were $1.9 billion for the first quarter of fiscal 2021 compared to $1.1 billion for the first quarter of fiscal 2020.</t>
  </si>
  <si>
    <t>Q1 FY2021|nike_brand_digital_sales</t>
  </si>
  <si>
    <t>Digital sales were $2.4 billion for the second quarter of fiscal 2021 compared to $1.3 billion for the second quarter of fiscal 2020.</t>
  </si>
  <si>
    <t>Cộng các quý từ Q1 bằng số 6 tháng trong 10-Q Q2 FY2021 (tr. 29); báo cáo năm sau in lại đúng số này.</t>
  </si>
  <si>
    <t>Q2 FY2021|nike_brand_digital_sales</t>
  </si>
  <si>
    <t>Digital sales were $2.2 billion for the third quarter of fiscal 2021 compared to $1.4 billion for the third quarter of fiscal 2020.</t>
  </si>
  <si>
    <t>Cộng các quý từ Q1 bằng số 9 tháng trong 10-Q Q3 FY2021 (tr. 29); báo cáo năm sau in lại đúng số này.</t>
  </si>
  <si>
    <t>Q3 FY2021|nike_brand_digital_sales</t>
  </si>
  <si>
    <t>33 (10-K)
29 (10-Q)</t>
  </si>
  <si>
    <t>Tự tính: cả năm (Item 7 – MD&amp;A, đoạn về NIKE Direct, câu “Digital commerce sales were …” (quý 2–3 FY2021: “Digital sales were …”)) trừ 9 tháng (10-Q Q3 FY2021, cùng dòng, trang 29)</t>
  </si>
  <si>
    <t>10-K FY2021 (cả năm): $9.1 billion; 10-Q Q3 FY2021 (9 tháng): $6.6 billion</t>
  </si>
  <si>
    <t>Báo cáo năm sau in lại đúng số cả năm và số 9 tháng: 10-K FY2022, 10-Q Q3 FY2022.</t>
  </si>
  <si>
    <t>Q4 FY2021|nike_brand_digital_sales</t>
  </si>
  <si>
    <t>Item 2 – MD&amp;A, đoạn về NIKE Direct, câu “NIKE Direct revenues represented approximately …%”</t>
  </si>
  <si>
    <t>On a reported basis, NIKE Direct revenues represented approximately 30% of our total NIKE Brand revenues for both the first quarter of fiscal 2019 and fiscal 2018.</t>
  </si>
  <si>
    <t>Báo cáo năm sau in lại đúng số này; khớp số tính lại từ báo cáo tài chính (chênh +0,28 điểm %, ngưỡng ±1 điểm %).</t>
  </si>
  <si>
    <t>Q1 FY2019|nike_direct_share_stated</t>
  </si>
  <si>
    <t>On a reported basis, NIKE Direct revenues represented approximately 32% and 31% of our total NIKE Brand revenues for the second quarter and first six months of fiscal 2019, respectively, compared to approximately 31% and 30% for the second quarter and first six months of fiscal 2018, respectively.</t>
  </si>
  <si>
    <t>Báo cáo năm sau in lại đúng số này; khớp số tính lại từ báo cáo tài chính (chênh −0,35 điểm %, ngưỡng ±1 điểm %).</t>
  </si>
  <si>
    <t>Q2 FY2019|nike_direct_share_stated</t>
  </si>
  <si>
    <t>On a reported basis, NIKE Direct revenues represented approximately 32% and 31% of our total NIKE Brand revenues for the third quarter and first nine months of fiscal 2019, respectively, compared to approximately 31% and 30% for the third quarter and first nine months of fiscal 2018, respectively.</t>
  </si>
  <si>
    <t>Báo cáo năm sau in lại đúng số này; khớp số tính lại từ báo cáo tài chính (chênh +0,42 điểm %, ngưỡng ±1 điểm %).</t>
  </si>
  <si>
    <t>Q3 FY2019|nike_direct_share_stated</t>
  </si>
  <si>
    <t>Thiếu / không công bố</t>
  </si>
  <si>
    <t>NIKE không nêu tỷ lệ này cho riêng quý 4: không có trong 10-K, 10-Q và thông cáo kết quả quý 4.</t>
  </si>
  <si>
    <t>Q4 FY2019|nike_direct_share_stated</t>
  </si>
  <si>
    <t>On a reported basis, NIKE Direct revenues represented approximately 32% of our total NIKE Brand revenues for the first quarter of fiscal 2020 compared to 30% for the first quarter of fiscal 2019.</t>
  </si>
  <si>
    <t>Báo cáo năm sau in lại đúng số này; khớp số tính lại từ báo cáo tài chính (chênh +0,17 điểm %, ngưỡng ±1 điểm %).</t>
  </si>
  <si>
    <t>Q1 FY2020|nike_direct_share_stated</t>
  </si>
  <si>
    <t>On a reported basis, NIKE Direct revenues represented approximately 33% of our total NIKE Brand revenues for the second quarter of fiscal 2020 compared to 32% for the second quarter of fiscal 2019.</t>
  </si>
  <si>
    <t>Q2 FY2020|nike_direct_share_stated</t>
  </si>
  <si>
    <t>On a reported basis, NIKE Direct revenues represented approximately 34% of our total NIKE Brand revenues for the third quarter of fiscal 2020 compared to 32% for the third quarter of fiscal 2019.</t>
  </si>
  <si>
    <t>Báo cáo năm sau in lại đúng số này; khớp số tính lại từ báo cáo tài chính (chênh +0,29 điểm %, ngưỡng ±1 điểm %).</t>
  </si>
  <si>
    <t>Q3 FY2020|nike_direct_share_stated</t>
  </si>
  <si>
    <t>Q4 FY2020|nike_direct_share_stated</t>
  </si>
  <si>
    <t>On a reported basis, NIKE Direct revenues represented approximately 36% of our total NIKE Brand revenues for the first quarter of fiscal 2021 compared to 32% for the first quarter of fiscal 2020.</t>
  </si>
  <si>
    <t>Báo cáo năm sau in lại đúng số này; khớp số tính lại từ báo cáo tài chính (chênh +0,43 điểm %, ngưỡng ±1 điểm %).</t>
  </si>
  <si>
    <t>Q1 FY2021|nike_direct_share_stated</t>
  </si>
  <si>
    <t>On a reported basis, NIKE Direct revenues represented approximately 40% of our total NIKE Brand revenues for the second quarter of fiscal 2021 compared to 33% for the second quarter of fiscal 2020.</t>
  </si>
  <si>
    <t>Báo cáo năm sau in lại đúng số này; khớp số tính lại từ báo cáo tài chính (chênh +0,13 điểm %, ngưỡng ±1 điểm %).</t>
  </si>
  <si>
    <t>Q2 FY2021|nike_direct_share_stated</t>
  </si>
  <si>
    <t>On a reported basis, NIKE Direct revenues represented approximately 40% of our total NIKE Brand revenues for the third quarter of fiscal 2021 compared to 34% for the third quarter of fiscal 2020.</t>
  </si>
  <si>
    <t>Báo cáo năm sau in lại đúng số này; khớp số tính lại từ báo cáo tài chính (chênh +0,45 điểm %, ngưỡng ±1 điểm %).</t>
  </si>
  <si>
    <t>Q3 FY2021|nike_direct_share_stated</t>
  </si>
  <si>
    <t>Q4 FY2021|nike_direct_share_stated</t>
  </si>
  <si>
    <t>Item 2 – MD&amp;A, bảng doanh thu, dòng Sales through NIKE Direct, cột “% CHANGE”</t>
  </si>
  <si>
    <t>Sales through NIKE Direct | 2,851 | 2,535 | 12 | 12</t>
  </si>
  <si>
    <t>Khớp số tính lại từ báo cáo tài chính (chênh +0,47 điểm %, ngưỡng ±1 điểm %).</t>
  </si>
  <si>
    <t>Q1 FY2019|nike_direct_pct_change_reported</t>
  </si>
  <si>
    <t>Sales through NIKE Direct | 2,831 | 2,484 | 14 | 18 | 5,682 | 5,019 | 13 | 15</t>
  </si>
  <si>
    <t>Khớp số tính lại từ báo cáo tài chính (chênh −0,03 điểm %, ngưỡng ±1 điểm %).</t>
  </si>
  <si>
    <t>Q2 FY2019|nike_direct_pct_change_reported</t>
  </si>
  <si>
    <t>Sales through NIKE Direct | 2,966 | 2,611 | 14 | 17 | 8,648 | 7,630 | 13 | 16</t>
  </si>
  <si>
    <t>Khớp số tính lại từ báo cáo tài chính (chênh −0,40 điểm %, ngưỡng ±1 điểm %).</t>
  </si>
  <si>
    <t>Q3 FY2019|nike_direct_pct_change_reported</t>
  </si>
  <si>
    <t>Q4 FY2019|nike_direct_pct_change_reported</t>
  </si>
  <si>
    <t>Sales through NIKE Direct | 3,248 | 2,851 | 14 | 17</t>
  </si>
  <si>
    <t>Khớp số tính lại từ báo cáo tài chính (chênh −0,08 điểm %, ngưỡng ±1 điểm %).</t>
  </si>
  <si>
    <t>Q1 FY2020|nike_direct_pct_change_reported</t>
  </si>
  <si>
    <t>Sales through NIKE Direct | 3,256 | 2,831 | 15 | 17 | 6,504 | 5,682 | 14 | 17</t>
  </si>
  <si>
    <t>Khớp số tính lại từ báo cáo tài chính (chênh +0,01 điểm %, ngưỡng ±1 điểm %).</t>
  </si>
  <si>
    <t>Q2 FY2020|nike_direct_pct_change_reported</t>
  </si>
  <si>
    <t>Sales through NIKE Direct | 3,297 | 2,966 | 11 | 13 | 9,801 | 8,648 | 13 | 16</t>
  </si>
  <si>
    <t>Khớp số tính lại từ báo cáo tài chính (chênh +0,16 điểm %, ngưỡng ±1 điểm %).</t>
  </si>
  <si>
    <t>Q3 FY2020|nike_direct_pct_change_reported</t>
  </si>
  <si>
    <t>Q4 FY2020|nike_direct_pct_change_reported</t>
  </si>
  <si>
    <t>Sales through NIKE Direct | 3,650 | 3,248 | 12 | 13</t>
  </si>
  <si>
    <t>Khớp số tính lại từ báo cáo tài chính (chênh +0,38 điểm %, ngưỡng ±1 điểm %).</t>
  </si>
  <si>
    <t>Q1 FY2021|nike_direct_pct_change_reported</t>
  </si>
  <si>
    <t>Sales through NIKE Direct | 4,310 | 3,256 | 32 | 30 | 7,960 | 6,504 | 22 | 22</t>
  </si>
  <si>
    <t>Khớp số tính lại từ báo cáo tài chính (chênh +0,37 điểm %, ngưỡng ±1 điểm %).</t>
  </si>
  <si>
    <t>Q2 FY2021|nike_direct_pct_change_reported</t>
  </si>
  <si>
    <t>Sales through NIKE Direct | 3,953 | 3,297 | 20 | 16 | 11,913 | 9,801 | 22 | 20</t>
  </si>
  <si>
    <t>Khớp số tính lại từ báo cáo tài chính (chênh −0,10 điểm %, ngưỡng ±1 điểm %).</t>
  </si>
  <si>
    <t>Q3 FY2021|nike_direct_pct_change_reported</t>
  </si>
  <si>
    <t>Highlights</t>
  </si>
  <si>
    <t>Thông cáo kết quả quý 4 (Form 8-K, Exhibit 99.1), Highlights</t>
  </si>
  <si>
    <t>NIKE Direct fourth quarter sales increased 73 percent to $4.5 billion.</t>
  </si>
  <si>
    <t>Khớp số tính lại từ báo cáo tài chính (chênh −0,31 điểm %, ngưỡng ±1 điểm %).</t>
  </si>
  <si>
    <t>Q4 FY2021|nike_direct_pct_change_reported</t>
  </si>
  <si>
    <t>Item 2 – MD&amp;A, bảng doanh thu, dòng Sales through NIKE Direct, cột “% CHANGE EXCLUDING CURRENCY CHANGES”</t>
  </si>
  <si>
    <t>Khớp câu trong MD&amp;A (tr. 23); đã đọc lại ngay trên trang 10-Q Q1 FY2019 (tr. 22): khớp.</t>
  </si>
  <si>
    <t>Q1 FY2019|nike_direct_pct_change_cn</t>
  </si>
  <si>
    <t>Khớp câu trong MD&amp;A (tr. 27); đã đọc lại ngay trên trang 10-Q Q2 FY2019 (tr. 27): khớp.</t>
  </si>
  <si>
    <t>Q2 FY2019|nike_direct_pct_change_cn</t>
  </si>
  <si>
    <t>Khớp câu trong MD&amp;A (tr. 27); đã đọc lại ngay trên trang 10-Q Q3 FY2019 (tr. 27): khớp.</t>
  </si>
  <si>
    <t>Q3 FY2019|nike_direct_pct_change_cn</t>
  </si>
  <si>
    <t>Q4 FY2019|nike_direct_pct_change_cn</t>
  </si>
  <si>
    <t>Khớp câu trong MD&amp;A (tr. 24); đã đọc lại ngay trên trang 10-Q Q1 FY2020 (tr. 24): khớp.</t>
  </si>
  <si>
    <t>Q1 FY2020|nike_direct_pct_change_cn</t>
  </si>
  <si>
    <t>Khớp câu trong MD&amp;A (tr. 28); đã đọc lại ngay trên trang 10-Q Q2 FY2020 (tr. 28): khớp.</t>
  </si>
  <si>
    <t>Q2 FY2020|nike_direct_pct_change_cn</t>
  </si>
  <si>
    <t>Khớp câu trong MD&amp;A (tr. 31); đã đọc lại ngay trên trang 10-Q Q3 FY2020 (tr. 31): khớp.</t>
  </si>
  <si>
    <t>Q3 FY2020|nike_direct_pct_change_cn</t>
  </si>
  <si>
    <t>Q4 FY2020|nike_direct_pct_change_cn</t>
  </si>
  <si>
    <t>Khớp câu trong MD&amp;A (tr. 24); đã đọc lại ngay trên trang 10-Q Q1 FY2021 (tr. 24): khớp.</t>
  </si>
  <si>
    <t>Q1 FY2021|nike_direct_pct_change_cn</t>
  </si>
  <si>
    <t>Khớp câu trong MD&amp;A (tr. 28); đã đọc lại ngay trên trang 10-Q Q2 FY2021 (tr. 28): khớp.</t>
  </si>
  <si>
    <t>Q2 FY2021|nike_direct_pct_change_cn</t>
  </si>
  <si>
    <t>Khớp câu trong MD&amp;A (tr. 28); đã đọc lại ngay trên trang 10-Q Q3 FY2021 (tr. 28): khớp.</t>
  </si>
  <si>
    <t>Q3 FY2021|nike_direct_pct_change_cn</t>
  </si>
  <si>
    <t>Q4 FY2021|nike_direct_pct_change_cn</t>
  </si>
  <si>
    <t>Item 2 – MD&amp;A, bảng doanh thu, dòng Sales to Wholesale Customers, cột “% CHANGE”</t>
  </si>
  <si>
    <t>Sales to Wholesale Customers | 6,550 | 6,030 | 9 | 9</t>
  </si>
  <si>
    <t>Khớp số tính lại từ báo cáo tài chính (chênh −0,38 điểm %, ngưỡng ±1 điểm %).</t>
  </si>
  <si>
    <t>Q1 FY2019|nike_brand_wholesale_pct_change_reported</t>
  </si>
  <si>
    <t>Sales to Wholesale Customers | 6,106 | 5,629 | 8 | 13 | 12,656 | 11,659 | 9 | 11</t>
  </si>
  <si>
    <t>Q2 FY2019|nike_brand_wholesale_pct_change_reported</t>
  </si>
  <si>
    <t>Sales to Wholesale Customers | 6,174 | 5,863 | 5 | 10 | 18,830 | 17,522 | 7 | 10</t>
  </si>
  <si>
    <t>Khớp số tính lại từ báo cáo tài chính (chênh +0,30 điểm %, ngưỡng ±1 điểm %).</t>
  </si>
  <si>
    <t>Q3 FY2019|nike_brand_wholesale_pct_change_reported</t>
  </si>
  <si>
    <t>Q4 FY2019|nike_brand_wholesale_pct_change_reported</t>
  </si>
  <si>
    <t>Sales to Wholesale Customers | 6,842 | 6,550 | 4 | 8</t>
  </si>
  <si>
    <t>Khớp số tính lại từ báo cáo tài chính (chênh +0,46 điểm %, ngưỡng ±1 điểm %).</t>
  </si>
  <si>
    <t>Q1 FY2020|nike_brand_wholesale_pct_change_reported</t>
  </si>
  <si>
    <t>Sales to Wholesale Customers | 6,578 | 6,106 | 8 | 10 | 13,420 | 12,656 | 6 | 9</t>
  </si>
  <si>
    <t>Khớp số tính lại từ báo cáo tài chính (chênh −0,27 điểm %, ngưỡng ±1 điểm %).</t>
  </si>
  <si>
    <t>Q2 FY2020|nike_brand_wholesale_pct_change_reported</t>
  </si>
  <si>
    <t>Sales to Wholesale Customers | 6,311 | 6,174 | 2 | 4 | 19,731 | 18,830 | 5 | 7</t>
  </si>
  <si>
    <t>Khớp số tính lại từ báo cáo tài chính (chênh +0,22 điểm %, ngưỡng ±1 điểm %).</t>
  </si>
  <si>
    <t>Q3 FY2020|nike_brand_wholesale_pct_change_reported</t>
  </si>
  <si>
    <t>Q4 FY2020|nike_brand_wholesale_pct_change_reported</t>
  </si>
  <si>
    <t>Sales to Wholesale Customers | 6,364 | 6,842 | -7 | -6</t>
  </si>
  <si>
    <t>Q1 FY2021|nike_brand_wholesale_pct_change_reported</t>
  </si>
  <si>
    <t>Sales to Wholesale Customers | 6,423 | 6,578 | -2 | -4 | 12,787 | 13,420 | -5 | -5</t>
  </si>
  <si>
    <t>Khớp số tính lại từ báo cáo tài chính (chênh −0,36 điểm %, ngưỡng ±1 điểm %).</t>
  </si>
  <si>
    <t>Q2 FY2021|nike_brand_wholesale_pct_change_reported</t>
  </si>
  <si>
    <t>Sales to Wholesale Customers | 5,814 | 6,311 | -8 | -11 | 18,601 | 19,731 | -6 | -7</t>
  </si>
  <si>
    <t>Khớp số tính lại từ báo cáo tài chính (chênh +0,12 điểm %, ngưỡng ±1 điểm %).</t>
  </si>
  <si>
    <t>Q3 FY2021|nike_brand_wholesale_pct_change_reported</t>
  </si>
  <si>
    <t>Q4 FY2021|nike_brand_wholesale_pct_change_reported</t>
  </si>
  <si>
    <t>Item 2 – MD&amp;A, bảng doanh thu, dòng Sales to Wholesale Customers, cột “% CHANGE EXCLUDING CURRENCY CHANGES”</t>
  </si>
  <si>
    <t>Đã đọc lại ngay trên trang 10-Q Q1 FY2019 (tr. 22): khớp.</t>
  </si>
  <si>
    <t>Q1 FY2019|nike_brand_wholesale_pct_change_cn</t>
  </si>
  <si>
    <t>Đã đọc lại ngay trên trang 10-Q Q2 FY2019 (tr. 27): khớp.</t>
  </si>
  <si>
    <t>Q2 FY2019|nike_brand_wholesale_pct_change_cn</t>
  </si>
  <si>
    <t>Đã đọc lại ngay trên trang 10-Q Q3 FY2019 (tr. 27): khớp.</t>
  </si>
  <si>
    <t>Q3 FY2019|nike_brand_wholesale_pct_change_cn</t>
  </si>
  <si>
    <t>Q4 FY2019|nike_brand_wholesale_pct_change_cn</t>
  </si>
  <si>
    <t>Đã đọc lại ngay trên trang 10-Q Q1 FY2020 (tr. 24): khớp.</t>
  </si>
  <si>
    <t>Q1 FY2020|nike_brand_wholesale_pct_change_cn</t>
  </si>
  <si>
    <t>Đã đọc lại ngay trên trang 10-Q Q2 FY2020 (tr. 28): khớp.</t>
  </si>
  <si>
    <t>Q2 FY2020|nike_brand_wholesale_pct_change_cn</t>
  </si>
  <si>
    <t>Đã đọc lại ngay trên trang 10-Q Q3 FY2020 (tr. 31): khớp.</t>
  </si>
  <si>
    <t>Q3 FY2020|nike_brand_wholesale_pct_change_cn</t>
  </si>
  <si>
    <t>Q4 FY2020|nike_brand_wholesale_pct_change_cn</t>
  </si>
  <si>
    <t>Đã đọc lại ngay trên trang 10-Q Q1 FY2021 (tr. 24): khớp.</t>
  </si>
  <si>
    <t>Q1 FY2021|nike_brand_wholesale_pct_change_cn</t>
  </si>
  <si>
    <t>Đã đọc lại ngay trên trang 10-Q Q2 FY2021 (tr. 28): khớp.</t>
  </si>
  <si>
    <t>Q2 FY2021|nike_brand_wholesale_pct_change_cn</t>
  </si>
  <si>
    <t>Đã đọc lại ngay trên trang 10-Q Q3 FY2021 (tr. 28): khớp.</t>
  </si>
  <si>
    <t>Q3 FY2021|nike_brand_wholesale_pct_change_cn</t>
  </si>
  <si>
    <t>Q4 FY2021|nike_brand_wholesale_pct_change_cn</t>
  </si>
  <si>
    <t>Item 2 – MD&amp;A, bảng doanh thu, dòng TOTAL NIKE BRAND REVENUES, cột “% CHANGE”</t>
  </si>
  <si>
    <t>TOTAL NIKE BRAND | 9,417 | 8,585 | 10 | 10</t>
  </si>
  <si>
    <t>Khớp bảng doanh thu theo khu vực trong MD&amp;A (tr. 25); khớp số tính lại từ báo cáo tài chính (chênh −0,31 điểm %, ngưỡng ±1 điểm %).</t>
  </si>
  <si>
    <t>Q1 FY2019|nike_brand_pct_change_reported</t>
  </si>
  <si>
    <t>TOTAL NIKE BRAND | 8,946 | 8,136 | 10 | 14 | 18,363 | 16,721 | 10 | 12</t>
  </si>
  <si>
    <t>Khớp bảng doanh thu theo khu vực trong MD&amp;A (tr. 30); khớp số tính lại từ báo cáo tài chính (chênh −0,04 điểm %, ngưỡng ±1 điểm %).</t>
  </si>
  <si>
    <t>Q2 FY2019|nike_brand_pct_change_reported</t>
  </si>
  <si>
    <t>TOTAL NIKE BRAND | 9,148 | 8,495 | 8 | 12 | 27,511 | 25,216 | 9 | 12</t>
  </si>
  <si>
    <t>Khớp bảng doanh thu theo khu vực trong MD&amp;A (tr. 30); khớp số tính lại từ báo cáo tài chính (chênh −0,31 điểm %, ngưỡng ±1 điểm %).</t>
  </si>
  <si>
    <t>Q3 FY2019|nike_brand_pct_change_reported</t>
  </si>
  <si>
    <t>TOTAL NIKE BRAND | 9,707 | 9,269 | 5 | % | 10 | % | 37,218 | 34,485 | 8 | % | 11 | %</t>
  </si>
  <si>
    <t>Khớp dòng in lại trong bảng “DIVISIONAL REVENUES” của cùng thông cáo; khớp số tính lại từ báo cáo tài chính (chênh −0,27 điểm %, ngưỡng ±1 điểm %).</t>
  </si>
  <si>
    <t>Q4 FY2019|nike_brand_pct_change_reported</t>
  </si>
  <si>
    <t>Total NIKE Brand Revenues | 10,096 | 9,417 | 7 | 10</t>
  </si>
  <si>
    <t>Khớp bảng doanh thu theo khu vực trong MD&amp;A (tr. 26); khớp số tính lại từ báo cáo tài chính (chênh +0,21 điểm %, ngưỡng ±1 điểm %).</t>
  </si>
  <si>
    <t>Q1 FY2020|nike_brand_pct_change_reported</t>
  </si>
  <si>
    <t>Total NIKE Brand Revenues | 9,844 | 8,946 | 10 | 12 | 19,940 | 18,363 | 9 | 11</t>
  </si>
  <si>
    <t>Khớp bảng doanh thu theo khu vực trong MD&amp;A (tr. 31); khớp số tính lại từ báo cáo tài chính (chênh +0,04 điểm %, ngưỡng ±1 điểm %).</t>
  </si>
  <si>
    <t>Q2 FY2020|nike_brand_pct_change_reported</t>
  </si>
  <si>
    <t>Total NIKE Brand Revenues | 9,616 | 9,148 | 5 | 6 | 29,556 | 27,511 | 7 | 10</t>
  </si>
  <si>
    <t>Khớp bảng doanh thu theo khu vực trong MD&amp;A (tr. 35); khớp số tính lại từ báo cáo tài chính (chênh +0,12 điểm %, ngưỡng ±1 điểm %).</t>
  </si>
  <si>
    <t>Q3 FY2020|nike_brand_pct_change_reported</t>
  </si>
  <si>
    <t>TOTAL NIKE BRAND | 6,012 | 9,707 | -38 | % | -36 | % | 35,568 | 37,218 | -4 | % | -2 | %</t>
  </si>
  <si>
    <t>Khớp dòng in lại trong bảng “DIVISIONAL REVENUES” của cùng thông cáo; khớp số tính lại từ báo cáo tài chính (chênh −0,07 điểm %, ngưỡng ±1 điểm %).</t>
  </si>
  <si>
    <t>Q4 FY2020|nike_brand_pct_change_reported</t>
  </si>
  <si>
    <t>Total NIKE Brand Revenues | 10,018 | 10,096 | -1 | 0</t>
  </si>
  <si>
    <t>Khớp bảng doanh thu theo khu vực trong MD&amp;A (tr. 27); khớp số tính lại từ báo cáo tài chính (chênh +0,23 điểm %, ngưỡng ±1 điểm %).</t>
  </si>
  <si>
    <t>Q1 FY2021|nike_brand_pct_change_reported</t>
  </si>
  <si>
    <t>Total NIKE Brand Revenues | 10,741 | 9,844 | 9 | 8 | 20,759 | 19,940 | 4 | 4</t>
  </si>
  <si>
    <t>Khớp bảng doanh thu theo khu vực trong MD&amp;A (tr. 32); khớp số tính lại từ báo cáo tài chính (chênh +0,11 điểm %, ngưỡng ±1 điểm %).</t>
  </si>
  <si>
    <t>Q2 FY2021|nike_brand_pct_change_reported</t>
  </si>
  <si>
    <t>Total NIKE Brand Revenues | 9,773 | 9,616 | 2 | -2 | 30,532 | 29,556 | 3 | 2</t>
  </si>
  <si>
    <t>Khớp bảng doanh thu theo khu vực trong MD&amp;A (tr. 32); khớp số tính lại từ báo cáo tài chính (chênh −0,37 điểm %, ngưỡng ±1 điểm %).</t>
  </si>
  <si>
    <t>Q3 FY2021|nike_brand_pct_change_reported</t>
  </si>
  <si>
    <t>TOTAL NIKE BRAND | 11,761 | 6,012 | 96 | % | 88 | % | 42,293 | 35,568 | 19 | % | 17 | %</t>
  </si>
  <si>
    <t>Khớp dòng in lại trong bảng “DIVISIONAL REVENUES” của cùng thông cáo; khớp số tính lại từ báo cáo tài chính (chênh −0,37 điểm %, ngưỡng ±1 điểm %).</t>
  </si>
  <si>
    <t>Q4 FY2021|nike_brand_pct_change_reported</t>
  </si>
  <si>
    <t>Item 2 – MD&amp;A, bảng doanh thu, dòng TOTAL NIKE BRAND REVENUES, cột “% CHANGE EXCLUDING CURRENCY CHANGES”</t>
  </si>
  <si>
    <t>Q1 FY2019|nike_brand_pct_change_cn</t>
  </si>
  <si>
    <t>Q2 FY2019|nike_brand_pct_change_cn</t>
  </si>
  <si>
    <t>Q3 FY2019|nike_brand_pct_change_cn</t>
  </si>
  <si>
    <t>Khớp dòng in lại trong bảng “DIVISIONAL REVENUES” của cùng thông cáo; khớp câu trong phần “Fourth Quarter Income Statement Review” của cùng thông cáo.</t>
  </si>
  <si>
    <t>Q4 FY2019|nike_brand_pct_change_cn</t>
  </si>
  <si>
    <t>Q1 FY2020|nike_brand_pct_change_cn</t>
  </si>
  <si>
    <t>Q2 FY2020|nike_brand_pct_change_cn</t>
  </si>
  <si>
    <t>Q3 FY2020|nike_brand_pct_change_cn</t>
  </si>
  <si>
    <t>Khớp dòng in lại trong bảng “DIVISIONAL REVENUES” của cùng thông cáo.</t>
  </si>
  <si>
    <t>Q4 FY2020|nike_brand_pct_change_cn</t>
  </si>
  <si>
    <t>Q1 FY2021|nike_brand_pct_change_cn</t>
  </si>
  <si>
    <t>Q2 FY2021|nike_brand_pct_change_cn</t>
  </si>
  <si>
    <t>Q3 FY2021|nike_brand_pct_change_cn</t>
  </si>
  <si>
    <t>Q4 FY2021|nike_brand_pct_change_cn</t>
  </si>
  <si>
    <t>Bốn khu vực của NIKE Brand</t>
  </si>
  <si>
    <t>Doanh thu theo kênh của Bắc Mỹ, EMEA (châu Âu, Trung Đông và châu Phi), Đại Trung Hoa và APLA (châu Á – Thái Bình Dương và Mỹ Latinh) theo năm và theo quý; EBIT khu vực theo năm.</t>
  </si>
  <si>
    <t>Doanh thu Bắc Mỹ</t>
  </si>
  <si>
    <t>Bắc Mỹ – Tổng khu vực</t>
  </si>
  <si>
    <t>Item 8 – thuyết minh “Revenues”, bảng phân tách doanh thu, TOTAL REVENUES, cột North America</t>
  </si>
  <si>
    <t>15,902</t>
  </si>
  <si>
    <t>North America revenues</t>
  </si>
  <si>
    <t>us-gaap:RevenueFromContractWithCustomerExcludingAssessedTax [ConsolidationItemsAxis=OperatingSegmentsMember; StatementBusinessSegmentsAxis=NIKEBrandMember; SubsegmentsAxis=NorthAmericaSegmentMember]</t>
  </si>
  <si>
    <t>na_revenue</t>
  </si>
  <si>
    <t>FY2019|na_revenue</t>
  </si>
  <si>
    <t>14,484</t>
  </si>
  <si>
    <t>Khớp bảng doanh thu trong MD&amp;A (tr. 36); báo cáo năm sau in lại đúng số này.</t>
  </si>
  <si>
    <t>FY2020|na_revenue</t>
  </si>
  <si>
    <t>17,179</t>
  </si>
  <si>
    <t>Khớp bảng doanh thu trong MD&amp;A (tr. 37); báo cáo năm sau in lại đúng số này.</t>
  </si>
  <si>
    <t>FY2021|na_revenue</t>
  </si>
  <si>
    <t>Item 1 – thuyết minh “Revenues”, bảng phân tách doanh thu, TOTAL REVENUES, cột North America</t>
  </si>
  <si>
    <t>4,145</t>
  </si>
  <si>
    <t>Khớp bảng doanh thu trong MD&amp;A (tr. 26); báo cáo năm sau in lại đúng số này.</t>
  </si>
  <si>
    <t>us-gaap:RevenueFromContractWithCustomerIncludingAssessedTax [ConsolidationItemsAxis=OperatingSegmentsMember; StatementBusinessSegmentsAxis=NIKEBrandMember; SubsegmentsAxis=NorthAmericaSegmentMember]</t>
  </si>
  <si>
    <t>Q1 FY2019|na_revenue</t>
  </si>
  <si>
    <t>3,782</t>
  </si>
  <si>
    <t>Khớp bảng doanh thu trong MD&amp;A (tr. 31); cộng các quý từ Q1 bằng số 6 tháng trong 10-Q Q2 FY2019 (tr. 22); báo cáo năm sau in lại đúng số này.</t>
  </si>
  <si>
    <t>Q2 FY2019|na_revenue</t>
  </si>
  <si>
    <t>3,810</t>
  </si>
  <si>
    <t>Khớp bảng doanh thu trong MD&amp;A (tr. 31); cộng các quý từ Q1 bằng số 9 tháng trong 10-Q Q3 FY2019 (tr. 22); báo cáo năm sau in lại đúng số này.</t>
  </si>
  <si>
    <t>Q3 FY2019|na_revenue</t>
  </si>
  <si>
    <t>Tự tính: cả năm (Item 8 – thuyết minh “Revenues”, bảng phân tách doanh thu, TOTAL REVENUES, cột North America) trừ 9 tháng (10-Q Q3 FY2019, cùng dòng, trang 22)</t>
  </si>
  <si>
    <t>10-K FY2019 (cả năm): 15,902; 10-Q Q3 FY2019 (9 tháng): 11,737</t>
  </si>
  <si>
    <t>Q4 FY2019|na_revenue</t>
  </si>
  <si>
    <t>4,293</t>
  </si>
  <si>
    <t>Q1 FY2020|na_revenue</t>
  </si>
  <si>
    <t>3,982</t>
  </si>
  <si>
    <t>Khớp bảng doanh thu trong MD&amp;A (tr. 32); cộng các quý từ Q1 bằng số 6 tháng trong 10-Q Q2 FY2020 (tr. 21); báo cáo năm sau in lại đúng số này.</t>
  </si>
  <si>
    <t>Q2 FY2020|na_revenue</t>
  </si>
  <si>
    <t>3,979</t>
  </si>
  <si>
    <t>Khớp bảng doanh thu trong MD&amp;A (tr. 36); cộng các quý từ Q1 bằng số 9 tháng trong 10-Q Q3 FY2020 (tr. 21); báo cáo năm sau in lại đúng số này.</t>
  </si>
  <si>
    <t>Q3 FY2020|na_revenue</t>
  </si>
  <si>
    <t>Tự tính: cả năm (Item 8 – thuyết minh “Revenues”, bảng phân tách doanh thu, TOTAL REVENUES, cột North America) trừ 9 tháng (10-Q Q3 FY2020, cùng dòng, trang 21)</t>
  </si>
  <si>
    <t>10-K FY2020 (cả năm): 14,484; 10-Q Q3 FY2020 (9 tháng): 12,254</t>
  </si>
  <si>
    <t>Q4 FY2020|na_revenue</t>
  </si>
  <si>
    <t>4,225</t>
  </si>
  <si>
    <t>Khớp bảng doanh thu trong MD&amp;A (tr. 28); báo cáo năm sau in lại đúng số này.</t>
  </si>
  <si>
    <t>Q1 FY2021|na_revenue</t>
  </si>
  <si>
    <t>4,006</t>
  </si>
  <si>
    <t>Khớp bảng doanh thu trong MD&amp;A (tr. 33); cộng các quý từ Q1 bằng số 6 tháng trong 10-Q Q2 FY2021 (tr. 20); báo cáo năm sau in lại đúng số này.</t>
  </si>
  <si>
    <t>Q2 FY2021|na_revenue</t>
  </si>
  <si>
    <t>3,564</t>
  </si>
  <si>
    <t>Khớp bảng doanh thu trong MD&amp;A (tr. 33); cộng các quý từ Q1 bằng số 9 tháng trong 10-Q Q3 FY2021 (tr. 20); báo cáo năm sau in lại đúng số này.</t>
  </si>
  <si>
    <t>Q3 FY2021|na_revenue</t>
  </si>
  <si>
    <t>Tự tính: cả năm (Item 8 – thuyết minh “Revenues”, bảng phân tách doanh thu, TOTAL REVENUES, cột North America) trừ 9 tháng (10-Q Q3 FY2021, cùng dòng, trang 20)</t>
  </si>
  <si>
    <t>10-K FY2021 (cả năm): 17,179; 10-Q Q3 FY2021 (9 tháng): 11,795</t>
  </si>
  <si>
    <t>Q4 FY2021|na_revenue</t>
  </si>
  <si>
    <t>Doanh thu NIKE Direct – Bắc Mỹ</t>
  </si>
  <si>
    <t>Bắc Mỹ – NIKE Direct</t>
  </si>
  <si>
    <t>Item 8 – thuyết minh “Revenues”, bảng phân tách doanh thu, Sales through Direct to Consumer, cột North America</t>
  </si>
  <si>
    <t>5,027</t>
  </si>
  <si>
    <t>North America – Sales through Direct to Consumer</t>
  </si>
  <si>
    <t>us-gaap:RevenueFromContractWithCustomerExcludingAssessedTax [ConsolidationItemsAxis=OperatingSegmentsMember; ContractWithCustomerSalesChannelAxis=SalesChannelDirectlyToConsumerMember; StatementBusinessSegmentsAxis=NIKEBrandMember; SubsegmentsAxis=NorthAmericaSegmentMember]</t>
  </si>
  <si>
    <t>na_direct_revenue</t>
  </si>
  <si>
    <t>FY2019|na_direct_revenue</t>
  </si>
  <si>
    <t>5,113</t>
  </si>
  <si>
    <t>FY2020|na_direct_revenue</t>
  </si>
  <si>
    <t>6,993</t>
  </si>
  <si>
    <t>FY2021|na_direct_revenue</t>
  </si>
  <si>
    <t>Item 1 – thuyết minh “Revenues”, bảng phân tách doanh thu, Sales through Direct to Consumer, cột North America</t>
  </si>
  <si>
    <t>1,316</t>
  </si>
  <si>
    <t>us-gaap:RevenueFromContractWithCustomerIncludingAssessedTax [ConsolidationItemsAxis=OperatingSegmentsMember; ContractWithCustomerSalesChannelAxis=SalesChannelDirectlyToConsumerMember; StatementBusinessSegmentsAxis=NIKEBrandMember; SubsegmentsAxis=NorthAmericaSegmentMember]</t>
  </si>
  <si>
    <t>Q1 FY2019|na_direct_revenue</t>
  </si>
  <si>
    <t>1,127</t>
  </si>
  <si>
    <t>Q2 FY2019|na_direct_revenue</t>
  </si>
  <si>
    <t>1,263</t>
  </si>
  <si>
    <t>Q3 FY2019|na_direct_revenue</t>
  </si>
  <si>
    <t>Tự tính: cả năm (Item 8 – thuyết minh “Revenues”, bảng phân tách doanh thu, Sales through Direct to Consumer, cột North America) trừ 9 tháng (10-Q Q3 FY2019, cùng dòng, trang 22)</t>
  </si>
  <si>
    <t>10-K FY2019 (cả năm): 5,027; 10-Q Q3 FY2019 (9 tháng): 3,706</t>
  </si>
  <si>
    <t>Q4 FY2019|na_direct_revenue</t>
  </si>
  <si>
    <t>1,429</t>
  </si>
  <si>
    <t>Q1 FY2020|na_direct_revenue</t>
  </si>
  <si>
    <t>1,248</t>
  </si>
  <si>
    <t>Q2 FY2020|na_direct_revenue</t>
  </si>
  <si>
    <t>1,458</t>
  </si>
  <si>
    <t>Q3 FY2020|na_direct_revenue</t>
  </si>
  <si>
    <t>Tự tính: cả năm (Item 8 – thuyết minh “Revenues”, bảng phân tách doanh thu, Sales through Direct to Consumer, cột North America) trừ 9 tháng (10-Q Q3 FY2020, cùng dòng, trang 21)</t>
  </si>
  <si>
    <t>10-K FY2020 (cả năm): 5,113; 10-Q Q3 FY2020 (9 tháng): 4,135</t>
  </si>
  <si>
    <t>Q4 FY2020|na_direct_revenue</t>
  </si>
  <si>
    <t>1,506</t>
  </si>
  <si>
    <t>Q1 FY2021|na_direct_revenue</t>
  </si>
  <si>
    <t>1,652</t>
  </si>
  <si>
    <t>Q2 FY2021|na_direct_revenue</t>
  </si>
  <si>
    <t>1,670</t>
  </si>
  <si>
    <t>Q3 FY2021|na_direct_revenue</t>
  </si>
  <si>
    <t>Tự tính: cả năm (Item 8 – thuyết minh “Revenues”, bảng phân tách doanh thu, Sales through Direct to Consumer, cột North America) trừ 9 tháng (10-Q Q3 FY2021, cùng dòng, trang 20)</t>
  </si>
  <si>
    <t>10-K FY2021 (cả năm): 6,993; 10-Q Q3 FY2021 (9 tháng): 4,828</t>
  </si>
  <si>
    <t>Q4 FY2021|na_direct_revenue</t>
  </si>
  <si>
    <t>Doanh thu bán buôn – Bắc Mỹ</t>
  </si>
  <si>
    <t>Bắc Mỹ – Bán buôn (Wholesale)</t>
  </si>
  <si>
    <t>Item 8 – thuyết minh “Revenues”, bảng phân tách doanh thu, Sales to Wholesale Customers, cột North America</t>
  </si>
  <si>
    <t>10,875</t>
  </si>
  <si>
    <t>North America – Sales to Wholesale Customers</t>
  </si>
  <si>
    <t>us-gaap:RevenueFromContractWithCustomerExcludingAssessedTax [ConsolidationItemsAxis=OperatingSegmentsMember; ContractWithCustomerSalesChannelAxis=SalesChannelWholesaleMember; StatementBusinessSegmentsAxis=NIKEBrandMember; SubsegmentsAxis=NorthAmericaSegmentMember]</t>
  </si>
  <si>
    <t>na_wholesale_revenue</t>
  </si>
  <si>
    <t>FY2019|na_wholesale_revenue</t>
  </si>
  <si>
    <t>9,371</t>
  </si>
  <si>
    <t>FY2020|na_wholesale_revenue</t>
  </si>
  <si>
    <t>10,186</t>
  </si>
  <si>
    <t>FY2021|na_wholesale_revenue</t>
  </si>
  <si>
    <t>Item 1 – thuyết minh “Revenues”, bảng phân tách doanh thu, Sales to Wholesale Customers, cột North America</t>
  </si>
  <si>
    <t>2,829</t>
  </si>
  <si>
    <t>us-gaap:RevenueFromContractWithCustomerIncludingAssessedTax [ConsolidationItemsAxis=OperatingSegmentsMember; ContractWithCustomerSalesChannelAxis=SalesChannelWholesaleMember; StatementBusinessSegmentsAxis=NIKEBrandMember; SubsegmentsAxis=NorthAmericaSegmentMember]</t>
  </si>
  <si>
    <t>Q1 FY2019|na_wholesale_revenue</t>
  </si>
  <si>
    <t>2,655</t>
  </si>
  <si>
    <t>Q2 FY2019|na_wholesale_revenue</t>
  </si>
  <si>
    <t>2,547</t>
  </si>
  <si>
    <t>Q3 FY2019|na_wholesale_revenue</t>
  </si>
  <si>
    <t>Tự tính: cả năm (Item 8 – thuyết minh “Revenues”, bảng phân tách doanh thu, Sales to Wholesale Customers, cột North America) trừ 9 tháng (10-Q Q3 FY2019, cùng dòng, trang 22)</t>
  </si>
  <si>
    <t>10-K FY2019 (cả năm): 10,875; 10-Q Q3 FY2019 (9 tháng): 8,031</t>
  </si>
  <si>
    <t>Q4 FY2019|na_wholesale_revenue</t>
  </si>
  <si>
    <t>2,864</t>
  </si>
  <si>
    <t>Q1 FY2020|na_wholesale_revenue</t>
  </si>
  <si>
    <t>2,734</t>
  </si>
  <si>
    <t>Q2 FY2020|na_wholesale_revenue</t>
  </si>
  <si>
    <t>2,521</t>
  </si>
  <si>
    <t>Q3 FY2020|na_wholesale_revenue</t>
  </si>
  <si>
    <t>Tự tính: cả năm (Item 8 – thuyết minh “Revenues”, bảng phân tách doanh thu, Sales to Wholesale Customers, cột North America) trừ 9 tháng (10-Q Q3 FY2020, cùng dòng, trang 21)</t>
  </si>
  <si>
    <t>10-K FY2020 (cả năm): 9,371; 10-Q Q3 FY2020 (9 tháng): 8,119</t>
  </si>
  <si>
    <t>Q4 FY2020|na_wholesale_revenue</t>
  </si>
  <si>
    <t>2,719</t>
  </si>
  <si>
    <t>Q1 FY2021|na_wholesale_revenue</t>
  </si>
  <si>
    <t>2,354</t>
  </si>
  <si>
    <t>Q2 FY2021|na_wholesale_revenue</t>
  </si>
  <si>
    <t>1,894</t>
  </si>
  <si>
    <t>Q3 FY2021|na_wholesale_revenue</t>
  </si>
  <si>
    <t>Tự tính: cả năm (Item 8 – thuyết minh “Revenues”, bảng phân tách doanh thu, Sales to Wholesale Customers, cột North America) trừ 9 tháng (10-Q Q3 FY2021, cùng dòng, trang 20)</t>
  </si>
  <si>
    <t>10-K FY2021 (cả năm): 10,186; 10-Q Q3 FY2021 (9 tháng): 6,967</t>
  </si>
  <si>
    <t>Q4 FY2021|na_wholesale_revenue</t>
  </si>
  <si>
    <t>EBIT Bắc Mỹ</t>
  </si>
  <si>
    <t>NOTE 17 — OPERATING SEGMENTS AND RELATED INFORMATION</t>
  </si>
  <si>
    <t>Item 8 – thuyết minh “Operating Segments”, EARNINGS BEFORE INTEREST AND TAXES, dòng North America</t>
  </si>
  <si>
    <t>3,925</t>
  </si>
  <si>
    <t>Khớp bảng EBIT khu vực trong MD&amp;A (tr. 31); báo cáo năm sau in lại đúng số này.</t>
  </si>
  <si>
    <t>North America – Earnings before interest and taxes</t>
  </si>
  <si>
    <t>nke:EarningsBeforeInterestAndTaxes [ConsolidationItemsAxis=OperatingSegmentsMember; ProductOrServiceAxis=NIKEBrandMember; StatementBusinessSegmentsAxis=NIKEBrandMember; SubsegmentsAxis=NorthAmericaSegmentMember]</t>
  </si>
  <si>
    <t>na_ebit</t>
  </si>
  <si>
    <t>FY2019|na_ebit</t>
  </si>
  <si>
    <t>2,899</t>
  </si>
  <si>
    <t>Khớp bảng EBIT khu vực trong MD&amp;A (tr. 36); báo cáo năm sau in lại đúng số này.</t>
  </si>
  <si>
    <t>FY2020|na_ebit</t>
  </si>
  <si>
    <t>5,089</t>
  </si>
  <si>
    <t>Khớp bảng EBIT khu vực trong MD&amp;A (tr. 37); báo cáo năm sau in lại đúng số này.</t>
  </si>
  <si>
    <t>FY2021|na_ebit</t>
  </si>
  <si>
    <t>Doanh thu EMEA</t>
  </si>
  <si>
    <t>EMEA – Tổng khu vực</t>
  </si>
  <si>
    <t>Item 8 – thuyết minh “Revenues”, bảng phân tách doanh thu, TOTAL REVENUES, cột Europe, Middle East &amp; Africa</t>
  </si>
  <si>
    <t>9,812</t>
  </si>
  <si>
    <t>Europe, Middle East &amp; Africa revenues</t>
  </si>
  <si>
    <t>us-gaap:RevenueFromContractWithCustomerExcludingAssessedTax [ConsolidationItemsAxis=OperatingSegmentsMember; StatementBusinessSegmentsAxis=NIKEBrandMember; SubsegmentsAxis=EuropeMiddleEastAndAfricaSegmentMember]</t>
  </si>
  <si>
    <t>emea_revenue</t>
  </si>
  <si>
    <t>FY2019|emea_revenue</t>
  </si>
  <si>
    <t>9,347</t>
  </si>
  <si>
    <t>FY2020|emea_revenue</t>
  </si>
  <si>
    <t>11,456</t>
  </si>
  <si>
    <t>Khớp bảng doanh thu trong MD&amp;A (tr. 38); báo cáo năm sau in lại đúng số này.</t>
  </si>
  <si>
    <t>FY2021|emea_revenue</t>
  </si>
  <si>
    <t>Item 1 – thuyết minh “Revenues”, bảng phân tách doanh thu, TOTAL REVENUES, cột Europe, Middle East &amp; Africa</t>
  </si>
  <si>
    <t>2,607</t>
  </si>
  <si>
    <t>us-gaap:RevenueFromContractWithCustomerIncludingAssessedTax [ConsolidationItemsAxis=OperatingSegmentsMember; StatementBusinessSegmentsAxis=NIKEBrandMember; SubsegmentsAxis=EuropeMiddleEastAndAfricaSegmentMember]</t>
  </si>
  <si>
    <t>Q1 FY2019|emea_revenue</t>
  </si>
  <si>
    <t>2,313</t>
  </si>
  <si>
    <t>Khớp bảng doanh thu trong MD&amp;A (tr. 32); cộng các quý từ Q1 bằng số 6 tháng trong 10-Q Q2 FY2019 (tr. 22); báo cáo năm sau in lại đúng số này.</t>
  </si>
  <si>
    <t>Q2 FY2019|emea_revenue</t>
  </si>
  <si>
    <t>2,435</t>
  </si>
  <si>
    <t>Khớp bảng doanh thu trong MD&amp;A (tr. 32); cộng các quý từ Q1 bằng số 9 tháng trong 10-Q Q3 FY2019 (tr. 22); báo cáo năm sau in lại đúng số này.</t>
  </si>
  <si>
    <t>Q3 FY2019|emea_revenue</t>
  </si>
  <si>
    <t>Tự tính: cả năm (Item 8 – thuyết minh “Revenues”, bảng phân tách doanh thu, TOTAL REVENUES, cột Europe, Middle East &amp; Africa) trừ 9 tháng (10-Q Q3 FY2019, cùng dòng, trang 22)</t>
  </si>
  <si>
    <t>10-K FY2019 (cả năm): 9,812; 10-Q Q3 FY2019 (9 tháng): 7,355</t>
  </si>
  <si>
    <t>Q4 FY2019|emea_revenue</t>
  </si>
  <si>
    <t>2,773</t>
  </si>
  <si>
    <t>Q1 FY2020|emea_revenue</t>
  </si>
  <si>
    <t>2,537</t>
  </si>
  <si>
    <t>Khớp bảng doanh thu trong MD&amp;A (tr. 34); cộng các quý từ Q1 bằng số 6 tháng trong 10-Q Q2 FY2020 (tr. 21); báo cáo năm sau in lại đúng số này.</t>
  </si>
  <si>
    <t>Q2 FY2020|emea_revenue</t>
  </si>
  <si>
    <t>2,709</t>
  </si>
  <si>
    <t>Khớp bảng doanh thu trong MD&amp;A (tr. 38); cộng các quý từ Q1 bằng số 9 tháng trong 10-Q Q3 FY2020 (tr. 21); báo cáo năm sau in lại đúng số này.</t>
  </si>
  <si>
    <t>Q3 FY2020|emea_revenue</t>
  </si>
  <si>
    <t>Tự tính: cả năm (Item 8 – thuyết minh “Revenues”, bảng phân tách doanh thu, TOTAL REVENUES, cột Europe, Middle East &amp; Africa) trừ 9 tháng (10-Q Q3 FY2020, cùng dòng, trang 21)</t>
  </si>
  <si>
    <t>10-K FY2020 (cả năm): 9,347; 10-Q Q3 FY2020 (9 tháng): 8,019</t>
  </si>
  <si>
    <t>Q4 FY2020|emea_revenue</t>
  </si>
  <si>
    <t>2,910</t>
  </si>
  <si>
    <t>Khớp bảng doanh thu trong MD&amp;A (tr. 29); báo cáo năm sau in lại đúng số này.</t>
  </si>
  <si>
    <t>Q1 FY2021|emea_revenue</t>
  </si>
  <si>
    <t>2,958</t>
  </si>
  <si>
    <t>Khớp bảng doanh thu trong MD&amp;A (tr. 34); cộng các quý từ Q1 bằng số 6 tháng trong 10-Q Q2 FY2021 (tr. 20); báo cáo năm sau in lại đúng số này.</t>
  </si>
  <si>
    <t>Q2 FY2021|emea_revenue</t>
  </si>
  <si>
    <t>2,609</t>
  </si>
  <si>
    <t>Khớp bảng doanh thu trong MD&amp;A (tr. 35); cộng các quý từ Q1 bằng số 9 tháng trong 10-Q Q3 FY2021 (tr. 20); báo cáo năm sau in lại đúng số này.</t>
  </si>
  <si>
    <t>Q3 FY2021|emea_revenue</t>
  </si>
  <si>
    <t>Tự tính: cả năm (Item 8 – thuyết minh “Revenues”, bảng phân tách doanh thu, TOTAL REVENUES, cột Europe, Middle East &amp; Africa) trừ 9 tháng (10-Q Q3 FY2021, cùng dòng, trang 20)</t>
  </si>
  <si>
    <t>10-K FY2021 (cả năm): 11,456; 10-Q Q3 FY2021 (9 tháng): 8,477</t>
  </si>
  <si>
    <t>Q4 FY2021|emea_revenue</t>
  </si>
  <si>
    <t>Doanh thu NIKE Direct – EMEA</t>
  </si>
  <si>
    <t>EMEA – NIKE Direct</t>
  </si>
  <si>
    <t>Item 8 – thuyết minh “Revenues”, bảng phân tách doanh thu, Sales through Direct to Consumer, cột Europe, Middle East &amp; Africa</t>
  </si>
  <si>
    <t>2,736</t>
  </si>
  <si>
    <t>Europe, Middle East &amp; Africa – Sales through Direct to Consumer</t>
  </si>
  <si>
    <t>us-gaap:RevenueFromContractWithCustomerExcludingAssessedTax [ConsolidationItemsAxis=OperatingSegmentsMember; ContractWithCustomerSalesChannelAxis=SalesChannelDirectlyToConsumerMember; StatementBusinessSegmentsAxis=NIKEBrandMember; SubsegmentsAxis=EuropeMiddleEastAndAfricaSegmentMember]</t>
  </si>
  <si>
    <t>emea_direct_revenue</t>
  </si>
  <si>
    <t>FY2019|emea_direct_revenue</t>
  </si>
  <si>
    <t>FY2020|emea_direct_revenue</t>
  </si>
  <si>
    <t>3,644</t>
  </si>
  <si>
    <t>FY2021|emea_direct_revenue</t>
  </si>
  <si>
    <t>Item 1 – thuyết minh “Revenues”, bảng phân tách doanh thu, Sales through Direct to Consumer, cột Europe, Middle East &amp; Africa</t>
  </si>
  <si>
    <t>691</t>
  </si>
  <si>
    <t>us-gaap:RevenueFromContractWithCustomerIncludingAssessedTax [ConsolidationItemsAxis=OperatingSegmentsMember; ContractWithCustomerSalesChannelAxis=SalesChannelDirectlyToConsumerMember; StatementBusinessSegmentsAxis=NIKEBrandMember; SubsegmentsAxis=EuropeMiddleEastAndAfricaSegmentMember]</t>
  </si>
  <si>
    <t>Q1 FY2019|emea_direct_revenue</t>
  </si>
  <si>
    <t>696</t>
  </si>
  <si>
    <t>Q2 FY2019|emea_direct_revenue</t>
  </si>
  <si>
    <t>650</t>
  </si>
  <si>
    <t>Q3 FY2019|emea_direct_revenue</t>
  </si>
  <si>
    <t>Tự tính: cả năm (Item 8 – thuyết minh “Revenues”, bảng phân tách doanh thu, Sales through Direct to Consumer, cột Europe, Middle East &amp; Africa) trừ 9 tháng (10-Q Q3 FY2019, cùng dòng, trang 22)</t>
  </si>
  <si>
    <t>10-K FY2019 (cả năm): 2,736; 10-Q Q3 FY2019 (9 tháng): 2,037</t>
  </si>
  <si>
    <t>Q4 FY2019|emea_direct_revenue</t>
  </si>
  <si>
    <t>731</t>
  </si>
  <si>
    <t>Q1 FY2020|emea_direct_revenue</t>
  </si>
  <si>
    <t>743</t>
  </si>
  <si>
    <t>Q2 FY2020|emea_direct_revenue</t>
  </si>
  <si>
    <t>753</t>
  </si>
  <si>
    <t>Q3 FY2020|emea_direct_revenue</t>
  </si>
  <si>
    <t>Tự tính: cả năm (Item 8 – thuyết minh “Revenues”, bảng phân tách doanh thu, Sales through Direct to Consumer, cột Europe, Middle East &amp; Africa) trừ 9 tháng (10-Q Q3 FY2020, cùng dòng, trang 21)</t>
  </si>
  <si>
    <t>10-K FY2020 (cả năm): 2,773; 10-Q Q3 FY2020 (9 tháng): 2,227</t>
  </si>
  <si>
    <t>Q4 FY2020|emea_direct_revenue</t>
  </si>
  <si>
    <t>937</t>
  </si>
  <si>
    <t>Q1 FY2021|emea_direct_revenue</t>
  </si>
  <si>
    <t>973</t>
  </si>
  <si>
    <t>Q2 FY2021|emea_direct_revenue</t>
  </si>
  <si>
    <t>804</t>
  </si>
  <si>
    <t>Q3 FY2021|emea_direct_revenue</t>
  </si>
  <si>
    <t>Tự tính: cả năm (Item 8 – thuyết minh “Revenues”, bảng phân tách doanh thu, Sales through Direct to Consumer, cột Europe, Middle East &amp; Africa) trừ 9 tháng (10-Q Q3 FY2021, cùng dòng, trang 20)</t>
  </si>
  <si>
    <t>10-K FY2021 (cả năm): 3,644; 10-Q Q3 FY2021 (9 tháng): 2,714</t>
  </si>
  <si>
    <t>Q4 FY2021|emea_direct_revenue</t>
  </si>
  <si>
    <t>Doanh thu bán buôn – EMEA</t>
  </si>
  <si>
    <t>EMEA – Bán buôn (Wholesale)</t>
  </si>
  <si>
    <t>Item 8 – thuyết minh “Revenues”, bảng phân tách doanh thu, Sales to Wholesale Customers, cột Europe, Middle East &amp; Africa</t>
  </si>
  <si>
    <t>7,076</t>
  </si>
  <si>
    <t>Europe, Middle East &amp; Africa – Sales to Wholesale Customers</t>
  </si>
  <si>
    <t>us-gaap:RevenueFromContractWithCustomerExcludingAssessedTax [ConsolidationItemsAxis=OperatingSegmentsMember; ContractWithCustomerSalesChannelAxis=SalesChannelWholesaleMember; StatementBusinessSegmentsAxis=NIKEBrandMember; SubsegmentsAxis=EuropeMiddleEastAndAfricaSegmentMember]</t>
  </si>
  <si>
    <t>emea_wholesale_revenue</t>
  </si>
  <si>
    <t>FY2019|emea_wholesale_revenue</t>
  </si>
  <si>
    <t>6,574</t>
  </si>
  <si>
    <t>FY2020|emea_wholesale_revenue</t>
  </si>
  <si>
    <t>7,812</t>
  </si>
  <si>
    <t>FY2021|emea_wholesale_revenue</t>
  </si>
  <si>
    <t>Item 1 – thuyết minh “Revenues”, bảng phân tách doanh thu, Sales to Wholesale Customers, cột Europe, Middle East &amp; Africa</t>
  </si>
  <si>
    <t>1,916</t>
  </si>
  <si>
    <t>us-gaap:RevenueFromContractWithCustomerIncludingAssessedTax [ConsolidationItemsAxis=OperatingSegmentsMember; ContractWithCustomerSalesChannelAxis=SalesChannelWholesaleMember; StatementBusinessSegmentsAxis=NIKEBrandMember; SubsegmentsAxis=EuropeMiddleEastAndAfricaSegmentMember]</t>
  </si>
  <si>
    <t>Q1 FY2019|emea_wholesale_revenue</t>
  </si>
  <si>
    <t>1,617</t>
  </si>
  <si>
    <t>Q2 FY2019|emea_wholesale_revenue</t>
  </si>
  <si>
    <t>1,785</t>
  </si>
  <si>
    <t>Q3 FY2019|emea_wholesale_revenue</t>
  </si>
  <si>
    <t>Tự tính: cả năm (Item 8 – thuyết minh “Revenues”, bảng phân tách doanh thu, Sales to Wholesale Customers, cột Europe, Middle East &amp; Africa) trừ 9 tháng (10-Q Q3 FY2019, cùng dòng, trang 22)</t>
  </si>
  <si>
    <t>10-K FY2019 (cả năm): 7,076; 10-Q Q3 FY2019 (9 tháng): 5,318</t>
  </si>
  <si>
    <t>Q4 FY2019|emea_wholesale_revenue</t>
  </si>
  <si>
    <t>2,042</t>
  </si>
  <si>
    <t>Q1 FY2020|emea_wholesale_revenue</t>
  </si>
  <si>
    <t>1,794</t>
  </si>
  <si>
    <t>Q2 FY2020|emea_wholesale_revenue</t>
  </si>
  <si>
    <t>1,956</t>
  </si>
  <si>
    <t>Q3 FY2020|emea_wholesale_revenue</t>
  </si>
  <si>
    <t>Tự tính: cả năm (Item 8 – thuyết minh “Revenues”, bảng phân tách doanh thu, Sales to Wholesale Customers, cột Europe, Middle East &amp; Africa) trừ 9 tháng (10-Q Q3 FY2020, cùng dòng, trang 21)</t>
  </si>
  <si>
    <t>10-K FY2020 (cả năm): 6,574; 10-Q Q3 FY2020 (9 tháng): 5,792</t>
  </si>
  <si>
    <t>Q4 FY2020|emea_wholesale_revenue</t>
  </si>
  <si>
    <t>1,973</t>
  </si>
  <si>
    <t>Q1 FY2021|emea_wholesale_revenue</t>
  </si>
  <si>
    <t>1,985</t>
  </si>
  <si>
    <t>Q2 FY2021|emea_wholesale_revenue</t>
  </si>
  <si>
    <t>1,805</t>
  </si>
  <si>
    <t>Q3 FY2021|emea_wholesale_revenue</t>
  </si>
  <si>
    <t>Tự tính: cả năm (Item 8 – thuyết minh “Revenues”, bảng phân tách doanh thu, Sales to Wholesale Customers, cột Europe, Middle East &amp; Africa) trừ 9 tháng (10-Q Q3 FY2021, cùng dòng, trang 20)</t>
  </si>
  <si>
    <t>10-K FY2021 (cả năm): 7,812; 10-Q Q3 FY2021 (9 tháng): 5,763</t>
  </si>
  <si>
    <t>Q4 FY2021|emea_wholesale_revenue</t>
  </si>
  <si>
    <t>EBIT EMEA</t>
  </si>
  <si>
    <t>Item 8 – thuyết minh “Operating Segments”, EARNINGS BEFORE INTEREST AND TAXES, dòng Europe, Middle East &amp; Africa</t>
  </si>
  <si>
    <t>1,995</t>
  </si>
  <si>
    <t>Khớp bảng EBIT khu vực trong MD&amp;A (tr. 32); báo cáo năm sau in lại đúng số này.</t>
  </si>
  <si>
    <t>Europe, Middle East &amp; Africa – Earnings before interest and taxes</t>
  </si>
  <si>
    <t>nke:EarningsBeforeInterestAndTaxes [ConsolidationItemsAxis=OperatingSegmentsMember; ProductOrServiceAxis=NIKEBrandMember; StatementBusinessSegmentsAxis=NIKEBrandMember; SubsegmentsAxis=EuropeMiddleEastAndAfricaSegmentMember]</t>
  </si>
  <si>
    <t>emea_ebit</t>
  </si>
  <si>
    <t>FY2019|emea_ebit</t>
  </si>
  <si>
    <t>1,541</t>
  </si>
  <si>
    <t>FY2020|emea_ebit</t>
  </si>
  <si>
    <t>Khớp bảng EBIT khu vực trong MD&amp;A (tr. 38); báo cáo năm sau in lại đúng số này.</t>
  </si>
  <si>
    <t>FY2021|emea_ebit</t>
  </si>
  <si>
    <t>Doanh thu Đại Trung Hoa</t>
  </si>
  <si>
    <t>Đại Trung Hoa – Tổng khu vực</t>
  </si>
  <si>
    <t>Item 8 – thuyết minh “Revenues”, bảng phân tách doanh thu, TOTAL REVENUES, cột Greater China</t>
  </si>
  <si>
    <t>6,208</t>
  </si>
  <si>
    <t>Khớp bảng doanh thu trong MD&amp;A (tr. 33); báo cáo năm sau in lại đúng số này.</t>
  </si>
  <si>
    <t>Greater China revenues</t>
  </si>
  <si>
    <t>us-gaap:RevenueFromContractWithCustomerExcludingAssessedTax [ConsolidationItemsAxis=OperatingSegmentsMember; StatementBusinessSegmentsAxis=NIKEBrandMember; SubsegmentsAxis=GreaterChinaSegmentMember]</t>
  </si>
  <si>
    <t>gc_revenue</t>
  </si>
  <si>
    <t>FY2019|gc_revenue</t>
  </si>
  <si>
    <t>6,679</t>
  </si>
  <si>
    <t>FY2020|gc_revenue</t>
  </si>
  <si>
    <t>8,290</t>
  </si>
  <si>
    <t>Khớp bảng doanh thu trong MD&amp;A (tr. 39); báo cáo năm sau in lại đúng số này.</t>
  </si>
  <si>
    <t>FY2021|gc_revenue</t>
  </si>
  <si>
    <t>Item 1 – thuyết minh “Revenues”, bảng phân tách doanh thu, TOTAL REVENUES, cột Greater China</t>
  </si>
  <si>
    <t>1,379</t>
  </si>
  <si>
    <t>us-gaap:RevenueFromContractWithCustomerIncludingAssessedTax [ConsolidationItemsAxis=OperatingSegmentsMember; StatementBusinessSegmentsAxis=NIKEBrandMember; SubsegmentsAxis=GreaterChinaSegmentMember]</t>
  </si>
  <si>
    <t>Q1 FY2019|gc_revenue</t>
  </si>
  <si>
    <t>1,544</t>
  </si>
  <si>
    <t>Q2 FY2019|gc_revenue</t>
  </si>
  <si>
    <t>1,588</t>
  </si>
  <si>
    <t>Khớp bảng doanh thu trong MD&amp;A (tr. 33); cộng các quý từ Q1 bằng số 9 tháng trong 10-Q Q3 FY2019 (tr. 22); báo cáo năm sau in lại đúng số này.</t>
  </si>
  <si>
    <t>Q3 FY2019|gc_revenue</t>
  </si>
  <si>
    <t>Tự tính: cả năm (Item 8 – thuyết minh “Revenues”, bảng phân tách doanh thu, TOTAL REVENUES, cột Greater China) trừ 9 tháng (10-Q Q3 FY2019, cùng dòng, trang 22)</t>
  </si>
  <si>
    <t>10-K FY2019 (cả năm): 6,208; 10-Q Q3 FY2019 (9 tháng): 4,511</t>
  </si>
  <si>
    <t>Q4 FY2019|gc_revenue</t>
  </si>
  <si>
    <t>1,679</t>
  </si>
  <si>
    <t>Q1 FY2020|gc_revenue</t>
  </si>
  <si>
    <t>1,847</t>
  </si>
  <si>
    <t>Khớp bảng doanh thu trong MD&amp;A (tr. 35); cộng các quý từ Q1 bằng số 6 tháng trong 10-Q Q2 FY2020 (tr. 21); báo cáo năm sau in lại đúng số này.</t>
  </si>
  <si>
    <t>Q2 FY2020|gc_revenue</t>
  </si>
  <si>
    <t>Khớp bảng doanh thu trong MD&amp;A (tr. 39); cộng các quý từ Q1 bằng số 9 tháng trong 10-Q Q3 FY2020 (tr. 21); báo cáo năm sau in lại đúng số này.</t>
  </si>
  <si>
    <t>Q3 FY2020|gc_revenue</t>
  </si>
  <si>
    <t>Tự tính: cả năm (Item 8 – thuyết minh “Revenues”, bảng phân tách doanh thu, TOTAL REVENUES, cột Greater China) trừ 9 tháng (10-Q Q3 FY2020, cùng dòng, trang 21)</t>
  </si>
  <si>
    <t>10-K FY2020 (cả năm): 6,679; 10-Q Q3 FY2020 (9 tháng): 5,032</t>
  </si>
  <si>
    <t>Q4 FY2020|gc_revenue</t>
  </si>
  <si>
    <t>1,780</t>
  </si>
  <si>
    <t>Khớp bảng doanh thu trong MD&amp;A (tr. 30); báo cáo năm sau in lại đúng số này.</t>
  </si>
  <si>
    <t>Q1 FY2021|gc_revenue</t>
  </si>
  <si>
    <t>Khớp bảng doanh thu trong MD&amp;A (tr. 36); cộng các quý từ Q1 bằng số 6 tháng trong 10-Q Q2 FY2021 (tr. 20); báo cáo năm sau in lại đúng số này.</t>
  </si>
  <si>
    <t>Q2 FY2021|gc_revenue</t>
  </si>
  <si>
    <t>2,279</t>
  </si>
  <si>
    <t>Khớp bảng doanh thu trong MD&amp;A (tr. 36); cộng các quý từ Q1 bằng số 9 tháng trong 10-Q Q3 FY2021 (tr. 20); báo cáo năm sau in lại đúng số này.</t>
  </si>
  <si>
    <t>Q3 FY2021|gc_revenue</t>
  </si>
  <si>
    <t>Tự tính: cả năm (Item 8 – thuyết minh “Revenues”, bảng phân tách doanh thu, TOTAL REVENUES, cột Greater China) trừ 9 tháng (10-Q Q3 FY2021, cùng dòng, trang 20)</t>
  </si>
  <si>
    <t>10-K FY2021 (cả năm): 8,290; 10-Q Q3 FY2021 (9 tháng): 6,357</t>
  </si>
  <si>
    <t>Q4 FY2021|gc_revenue</t>
  </si>
  <si>
    <t>Doanh thu NIKE Direct – Đại Trung Hoa</t>
  </si>
  <si>
    <t>Đại Trung Hoa – NIKE Direct</t>
  </si>
  <si>
    <t>Item 8 – thuyết minh “Revenues”, bảng phân tách doanh thu, Sales through Direct to Consumer, cột Greater China</t>
  </si>
  <si>
    <t>2,482</t>
  </si>
  <si>
    <t>Greater China – Sales through Direct to Consumer</t>
  </si>
  <si>
    <t>us-gaap:RevenueFromContractWithCustomerExcludingAssessedTax [ConsolidationItemsAxis=OperatingSegmentsMember; ContractWithCustomerSalesChannelAxis=SalesChannelDirectlyToConsumerMember; StatementBusinessSegmentsAxis=NIKEBrandMember; SubsegmentsAxis=GreaterChinaSegmentMember]</t>
  </si>
  <si>
    <t>gc_direct_revenue</t>
  </si>
  <si>
    <t>FY2019|gc_direct_revenue</t>
  </si>
  <si>
    <t>2,876</t>
  </si>
  <si>
    <t>FY2020|gc_direct_revenue</t>
  </si>
  <si>
    <t>3,777</t>
  </si>
  <si>
    <t>FY2021|gc_direct_revenue</t>
  </si>
  <si>
    <t>Item 1 – thuyết minh “Revenues”, bảng phân tách doanh thu, Sales through Direct to Consumer, cột Greater China</t>
  </si>
  <si>
    <t>508</t>
  </si>
  <si>
    <t>us-gaap:RevenueFromContractWithCustomerIncludingAssessedTax [ConsolidationItemsAxis=OperatingSegmentsMember; ContractWithCustomerSalesChannelAxis=SalesChannelDirectlyToConsumerMember; StatementBusinessSegmentsAxis=NIKEBrandMember; SubsegmentsAxis=GreaterChinaSegmentMember]</t>
  </si>
  <si>
    <t>Q1 FY2019|gc_direct_revenue</t>
  </si>
  <si>
    <t>647</t>
  </si>
  <si>
    <t>Q2 FY2019|gc_direct_revenue</t>
  </si>
  <si>
    <t>652</t>
  </si>
  <si>
    <t>Q3 FY2019|gc_direct_revenue</t>
  </si>
  <si>
    <t>Tự tính: cả năm (Item 8 – thuyết minh “Revenues”, bảng phân tách doanh thu, Sales through Direct to Consumer, cột Greater China) trừ 9 tháng (10-Q Q3 FY2019, cùng dòng, trang 22)</t>
  </si>
  <si>
    <t>10-K FY2019 (cả năm): 2,482; 10-Q Q3 FY2019 (9 tháng): 1,807</t>
  </si>
  <si>
    <t>Q4 FY2019|gc_direct_revenue</t>
  </si>
  <si>
    <t>693</t>
  </si>
  <si>
    <t>Q1 FY2020|gc_direct_revenue</t>
  </si>
  <si>
    <t>819</t>
  </si>
  <si>
    <t>Q2 FY2020|gc_direct_revenue</t>
  </si>
  <si>
    <t>625</t>
  </si>
  <si>
    <t>Q3 FY2020|gc_direct_revenue</t>
  </si>
  <si>
    <t>Tự tính: cả năm (Item 8 – thuyết minh “Revenues”, bảng phân tách doanh thu, Sales through Direct to Consumer, cột Greater China) trừ 9 tháng (10-Q Q3 FY2020, cùng dòng, trang 21)</t>
  </si>
  <si>
    <t>10-K FY2020 (cả năm): 2,876; 10-Q Q3 FY2020 (9 tháng): 2,137</t>
  </si>
  <si>
    <t>Q4 FY2020|gc_direct_revenue</t>
  </si>
  <si>
    <t>816</t>
  </si>
  <si>
    <t>Q1 FY2021|gc_direct_revenue</t>
  </si>
  <si>
    <t>1,139</t>
  </si>
  <si>
    <t>Q2 FY2021|gc_direct_revenue</t>
  </si>
  <si>
    <t>1,010</t>
  </si>
  <si>
    <t>Q3 FY2021|gc_direct_revenue</t>
  </si>
  <si>
    <t>Tự tính: cả năm (Item 8 – thuyết minh “Revenues”, bảng phân tách doanh thu, Sales through Direct to Consumer, cột Greater China) trừ 9 tháng (10-Q Q3 FY2021, cùng dòng, trang 20)</t>
  </si>
  <si>
    <t>10-K FY2021 (cả năm): 3,777; 10-Q Q3 FY2021 (9 tháng): 2,965</t>
  </si>
  <si>
    <t>Q4 FY2021|gc_direct_revenue</t>
  </si>
  <si>
    <t>Doanh thu bán buôn – Đại Trung Hoa</t>
  </si>
  <si>
    <t>Đại Trung Hoa – Bán buôn (Wholesale)</t>
  </si>
  <si>
    <t>Item 8 – thuyết minh “Revenues”, bảng phân tách doanh thu, Sales to Wholesale Customers, cột Greater China</t>
  </si>
  <si>
    <t>3,726</t>
  </si>
  <si>
    <t>Greater China – Sales to Wholesale Customers</t>
  </si>
  <si>
    <t>us-gaap:RevenueFromContractWithCustomerExcludingAssessedTax [ConsolidationItemsAxis=OperatingSegmentsMember; ContractWithCustomerSalesChannelAxis=SalesChannelWholesaleMember; StatementBusinessSegmentsAxis=NIKEBrandMember; SubsegmentsAxis=GreaterChinaSegmentMember]</t>
  </si>
  <si>
    <t>gc_wholesale_revenue</t>
  </si>
  <si>
    <t>FY2019|gc_wholesale_revenue</t>
  </si>
  <si>
    <t>3,803</t>
  </si>
  <si>
    <t>FY2020|gc_wholesale_revenue</t>
  </si>
  <si>
    <t>4,513</t>
  </si>
  <si>
    <t>FY2021|gc_wholesale_revenue</t>
  </si>
  <si>
    <t>Item 1 – thuyết minh “Revenues”, bảng phân tách doanh thu, Sales to Wholesale Customers, cột Greater China</t>
  </si>
  <si>
    <t>871</t>
  </si>
  <si>
    <t>us-gaap:RevenueFromContractWithCustomerIncludingAssessedTax [ConsolidationItemsAxis=OperatingSegmentsMember; ContractWithCustomerSalesChannelAxis=SalesChannelWholesaleMember; StatementBusinessSegmentsAxis=NIKEBrandMember; SubsegmentsAxis=GreaterChinaSegmentMember]</t>
  </si>
  <si>
    <t>Q1 FY2019|gc_wholesale_revenue</t>
  </si>
  <si>
    <t>897</t>
  </si>
  <si>
    <t>Q2 FY2019|gc_wholesale_revenue</t>
  </si>
  <si>
    <t>936</t>
  </si>
  <si>
    <t>Q3 FY2019|gc_wholesale_revenue</t>
  </si>
  <si>
    <t>Tự tính: cả năm (Item 8 – thuyết minh “Revenues”, bảng phân tách doanh thu, Sales to Wholesale Customers, cột Greater China) trừ 9 tháng (10-Q Q3 FY2019, cùng dòng, trang 22)</t>
  </si>
  <si>
    <t>10-K FY2019 (cả năm): 3,726; 10-Q Q3 FY2019 (9 tháng): 2,704</t>
  </si>
  <si>
    <t>Q4 FY2019|gc_wholesale_revenue</t>
  </si>
  <si>
    <t>986</t>
  </si>
  <si>
    <t>Q1 FY2020|gc_wholesale_revenue</t>
  </si>
  <si>
    <t>1,028</t>
  </si>
  <si>
    <t>Q2 FY2020|gc_wholesale_revenue</t>
  </si>
  <si>
    <t>Q3 FY2020|gc_wholesale_revenue</t>
  </si>
  <si>
    <t>Tự tính: cả năm (Item 8 – thuyết minh “Revenues”, bảng phân tách doanh thu, Sales to Wholesale Customers, cột Greater China) trừ 9 tháng (10-Q Q3 FY2020, cùng dòng, trang 21)</t>
  </si>
  <si>
    <t>10-K FY2020 (cả năm): 3,803; 10-Q Q3 FY2020 (9 tháng): 2,895</t>
  </si>
  <si>
    <t>Q4 FY2020|gc_wholesale_revenue</t>
  </si>
  <si>
    <t>Q1 FY2021|gc_wholesale_revenue</t>
  </si>
  <si>
    <t>1,159</t>
  </si>
  <si>
    <t>Q2 FY2021|gc_wholesale_revenue</t>
  </si>
  <si>
    <t>1,269</t>
  </si>
  <si>
    <t>Q3 FY2021|gc_wholesale_revenue</t>
  </si>
  <si>
    <t>Tự tính: cả năm (Item 8 – thuyết minh “Revenues”, bảng phân tách doanh thu, Sales to Wholesale Customers, cột Greater China) trừ 9 tháng (10-Q Q3 FY2021, cùng dòng, trang 20)</t>
  </si>
  <si>
    <t>10-K FY2021 (cả năm): 4,513; 10-Q Q3 FY2021 (9 tháng): 3,392</t>
  </si>
  <si>
    <t>Q4 FY2021|gc_wholesale_revenue</t>
  </si>
  <si>
    <t>EBIT Đại Trung Hoa</t>
  </si>
  <si>
    <t>Item 8 – thuyết minh “Operating Segments”, EARNINGS BEFORE INTEREST AND TAXES, dòng Greater China</t>
  </si>
  <si>
    <t>2,376</t>
  </si>
  <si>
    <t>Khớp bảng EBIT khu vực trong MD&amp;A (tr. 33); báo cáo năm sau in lại đúng số này.</t>
  </si>
  <si>
    <t>Greater China – Earnings before interest and taxes</t>
  </si>
  <si>
    <t>nke:EarningsBeforeInterestAndTaxes [ConsolidationItemsAxis=OperatingSegmentsMember; ProductOrServiceAxis=NIKEBrandMember; StatementBusinessSegmentsAxis=NIKEBrandMember; SubsegmentsAxis=GreaterChinaSegmentMember]</t>
  </si>
  <si>
    <t>gc_ebit</t>
  </si>
  <si>
    <t>FY2019|gc_ebit</t>
  </si>
  <si>
    <t>2,490</t>
  </si>
  <si>
    <t>FY2020|gc_ebit</t>
  </si>
  <si>
    <t>3,243</t>
  </si>
  <si>
    <t>Khớp bảng EBIT khu vực trong MD&amp;A (tr. 39); báo cáo năm sau in lại đúng số này.</t>
  </si>
  <si>
    <t>FY2021|gc_ebit</t>
  </si>
  <si>
    <t>Doanh thu APLA</t>
  </si>
  <si>
    <t>APLA – Tổng khu vực</t>
  </si>
  <si>
    <t>Item 8 – thuyết minh “Revenues”, bảng phân tách doanh thu, TOTAL REVENUES, cột Asia Pacific &amp; Latin America</t>
  </si>
  <si>
    <t>5,254</t>
  </si>
  <si>
    <t>Asia Pacific &amp; Latin America revenues</t>
  </si>
  <si>
    <t>us-gaap:RevenueFromContractWithCustomerExcludingAssessedTax [ConsolidationItemsAxis=OperatingSegmentsMember; StatementBusinessSegmentsAxis=NIKEBrandMember; SubsegmentsAxis=AsiaPacificAndLatinAmericaSegmentMember]</t>
  </si>
  <si>
    <t>apla_revenue</t>
  </si>
  <si>
    <t>FY2019|apla_revenue</t>
  </si>
  <si>
    <t>5,028</t>
  </si>
  <si>
    <t>FY2020|apla_revenue</t>
  </si>
  <si>
    <t>5,343</t>
  </si>
  <si>
    <t>Khớp bảng doanh thu trong MD&amp;A (tr. 40); báo cáo năm sau in lại đúng số này.</t>
  </si>
  <si>
    <t>FY2021|apla_revenue</t>
  </si>
  <si>
    <t>Item 1 – thuyết minh “Revenues”, bảng phân tách doanh thu, TOTAL REVENUES, cột Asia Pacific &amp; Latin America</t>
  </si>
  <si>
    <t>us-gaap:RevenueFromContractWithCustomerIncludingAssessedTax [ConsolidationItemsAxis=OperatingSegmentsMember; StatementBusinessSegmentsAxis=NIKEBrandMember; SubsegmentsAxis=AsiaPacificAndLatinAmericaSegmentMember]</t>
  </si>
  <si>
    <t>Q1 FY2019|apla_revenue</t>
  </si>
  <si>
    <t>1,298</t>
  </si>
  <si>
    <t>Khớp bảng doanh thu trong MD&amp;A (tr. 33); cộng các quý từ Q1 bằng số 6 tháng trong 10-Q Q2 FY2019 (tr. 22); báo cáo năm sau in lại đúng số này.</t>
  </si>
  <si>
    <t>Q2 FY2019|apla_revenue</t>
  </si>
  <si>
    <t>1,307</t>
  </si>
  <si>
    <t>Khớp bảng doanh thu trong MD&amp;A (tr. 34); cộng các quý từ Q1 bằng số 9 tháng trong 10-Q Q3 FY2019 (tr. 22); báo cáo năm sau in lại đúng số này.</t>
  </si>
  <si>
    <t>Q3 FY2019|apla_revenue</t>
  </si>
  <si>
    <t>Tự tính: cả năm (Item 8 – thuyết minh “Revenues”, bảng phân tách doanh thu, TOTAL REVENUES, cột Asia Pacific &amp; Latin America) trừ 9 tháng (10-Q Q3 FY2019, cùng dòng, trang 22)</t>
  </si>
  <si>
    <t>10-K FY2019 (cả năm): 5,254; 10-Q Q3 FY2019 (9 tháng): 3,875</t>
  </si>
  <si>
    <t>Q4 FY2019|apla_revenue</t>
  </si>
  <si>
    <t>1,345</t>
  </si>
  <si>
    <t>Q1 FY2020|apla_revenue</t>
  </si>
  <si>
    <t>1,468</t>
  </si>
  <si>
    <t>Khớp bảng doanh thu trong MD&amp;A (tr. 36); cộng các quý từ Q1 bằng số 6 tháng trong 10-Q Q2 FY2020 (tr. 21); báo cáo năm sau in lại đúng số này.</t>
  </si>
  <si>
    <t>Q2 FY2020|apla_revenue</t>
  </si>
  <si>
    <t>1,414</t>
  </si>
  <si>
    <t>Khớp bảng doanh thu trong MD&amp;A (tr. 40); cộng các quý từ Q1 bằng số 9 tháng trong 10-Q Q3 FY2020 (tr. 21); báo cáo năm sau in lại đúng số này.</t>
  </si>
  <si>
    <t>Q3 FY2020|apla_revenue</t>
  </si>
  <si>
    <t>Tự tính: cả năm (Item 8 – thuyết minh “Revenues”, bảng phân tách doanh thu, TOTAL REVENUES, cột Asia Pacific &amp; Latin America) trừ 9 tháng (10-Q Q3 FY2020, cùng dòng, trang 21)</t>
  </si>
  <si>
    <t>10-K FY2020 (cả năm): 5,028; 10-Q Q3 FY2020 (9 tháng): 4,227</t>
  </si>
  <si>
    <t>Q4 FY2020|apla_revenue</t>
  </si>
  <si>
    <t>1,099</t>
  </si>
  <si>
    <t>Q1 FY2021|apla_revenue</t>
  </si>
  <si>
    <t>1,471</t>
  </si>
  <si>
    <t>Khớp bảng doanh thu trong MD&amp;A (tr. 37); cộng các quý từ Q1 bằng số 6 tháng trong 10-Q Q2 FY2021 (tr. 20); báo cáo năm sau in lại đúng số này.</t>
  </si>
  <si>
    <t>Q2 FY2021|apla_revenue</t>
  </si>
  <si>
    <t>1,315</t>
  </si>
  <si>
    <t>Khớp bảng doanh thu trong MD&amp;A (tr. 37); cộng các quý từ Q1 bằng số 9 tháng trong 10-Q Q3 FY2021 (tr. 20); báo cáo năm sau in lại đúng số này.</t>
  </si>
  <si>
    <t>Q3 FY2021|apla_revenue</t>
  </si>
  <si>
    <t>Tự tính: cả năm (Item 8 – thuyết minh “Revenues”, bảng phân tách doanh thu, TOTAL REVENUES, cột Asia Pacific &amp; Latin America) trừ 9 tháng (10-Q Q3 FY2021, cùng dòng, trang 20)</t>
  </si>
  <si>
    <t>10-K FY2021 (cả năm): 5,343; 10-Q Q3 FY2021 (9 tháng): 3,885</t>
  </si>
  <si>
    <t>Q4 FY2021|apla_revenue</t>
  </si>
  <si>
    <t>Doanh thu NIKE Direct – APLA</t>
  </si>
  <si>
    <t>APLA – NIKE Direct</t>
  </si>
  <si>
    <t>Item 8 – thuyết minh “Revenues”, bảng phân tách doanh thu, Sales through Direct to Consumer, cột Asia Pacific &amp; Latin America</t>
  </si>
  <si>
    <t>1,508</t>
  </si>
  <si>
    <t>Asia Pacific &amp; Latin America – Sales through Direct to Consumer</t>
  </si>
  <si>
    <t>us-gaap:RevenueFromContractWithCustomerExcludingAssessedTax [ConsolidationItemsAxis=OperatingSegmentsMember; ContractWithCustomerSalesChannelAxis=SalesChannelDirectlyToConsumerMember; StatementBusinessSegmentsAxis=NIKEBrandMember; SubsegmentsAxis=AsiaPacificAndLatinAmericaSegmentMember]</t>
  </si>
  <si>
    <t>apla_direct_revenue</t>
  </si>
  <si>
    <t>FY2019|apla_direct_revenue</t>
  </si>
  <si>
    <t>1,620</t>
  </si>
  <si>
    <t>FY2020|apla_direct_revenue</t>
  </si>
  <si>
    <t>FY2021|apla_direct_revenue</t>
  </si>
  <si>
    <t>Item 1 – thuyết minh “Revenues”, bảng phân tách doanh thu, Sales through Direct to Consumer, cột Asia Pacific &amp; Latin America</t>
  </si>
  <si>
    <t>336</t>
  </si>
  <si>
    <t>us-gaap:RevenueFromContractWithCustomerIncludingAssessedTax [ConsolidationItemsAxis=OperatingSegmentsMember; ContractWithCustomerSalesChannelAxis=SalesChannelDirectlyToConsumerMember; StatementBusinessSegmentsAxis=NIKEBrandMember; SubsegmentsAxis=AsiaPacificAndLatinAmericaSegmentMember]</t>
  </si>
  <si>
    <t>Q1 FY2019|apla_direct_revenue</t>
  </si>
  <si>
    <t>361</t>
  </si>
  <si>
    <t>Q2 FY2019|apla_direct_revenue</t>
  </si>
  <si>
    <t>401</t>
  </si>
  <si>
    <t>Q3 FY2019|apla_direct_revenue</t>
  </si>
  <si>
    <t>Tự tính: cả năm (Item 8 – thuyết minh “Revenues”, bảng phân tách doanh thu, Sales through Direct to Consumer, cột Asia Pacific &amp; Latin America) trừ 9 tháng (10-Q Q3 FY2019, cùng dòng, trang 22)</t>
  </si>
  <si>
    <t>10-K FY2019 (cả năm): 1,508; 10-Q Q3 FY2019 (9 tháng): 1,098</t>
  </si>
  <si>
    <t>Q4 FY2019|apla_direct_revenue</t>
  </si>
  <si>
    <t>395</t>
  </si>
  <si>
    <t>Q1 FY2020|apla_direct_revenue</t>
  </si>
  <si>
    <t>446</t>
  </si>
  <si>
    <t>Q2 FY2020|apla_direct_revenue</t>
  </si>
  <si>
    <t>461</t>
  </si>
  <si>
    <t>Q3 FY2020|apla_direct_revenue</t>
  </si>
  <si>
    <t>Tự tính: cả năm (Item 8 – thuyết minh “Revenues”, bảng phân tách doanh thu, Sales through Direct to Consumer, cột Asia Pacific &amp; Latin America) trừ 9 tháng (10-Q Q3 FY2020, cùng dòng, trang 21)</t>
  </si>
  <si>
    <t>10-K FY2020 (cả năm): 1,620; 10-Q Q3 FY2020 (9 tháng): 1,302</t>
  </si>
  <si>
    <t>Q4 FY2020|apla_direct_revenue</t>
  </si>
  <si>
    <t>391</t>
  </si>
  <si>
    <t>Q1 FY2021|apla_direct_revenue</t>
  </si>
  <si>
    <t>546</t>
  </si>
  <si>
    <t>Q2 FY2021|apla_direct_revenue</t>
  </si>
  <si>
    <t>469</t>
  </si>
  <si>
    <t>Q3 FY2021|apla_direct_revenue</t>
  </si>
  <si>
    <t>Tự tính: cả năm (Item 8 – thuyết minh “Revenues”, bảng phân tách doanh thu, Sales through Direct to Consumer, cột Asia Pacific &amp; Latin America) trừ 9 tháng (10-Q Q3 FY2021, cùng dòng, trang 20)</t>
  </si>
  <si>
    <t>10-K FY2021 (cả năm): 1,956; 10-Q Q3 FY2021 (9 tháng): 1,406</t>
  </si>
  <si>
    <t>Q4 FY2021|apla_direct_revenue</t>
  </si>
  <si>
    <t>Doanh thu bán buôn – APLA</t>
  </si>
  <si>
    <t>APLA – Bán buôn (Wholesale)</t>
  </si>
  <si>
    <t>Item 8 – thuyết minh “Revenues”, bảng phân tách doanh thu, Sales to Wholesale Customers, cột Asia Pacific &amp; Latin America</t>
  </si>
  <si>
    <t>3,746</t>
  </si>
  <si>
    <t>Asia Pacific &amp; Latin America – Sales to Wholesale Customers</t>
  </si>
  <si>
    <t>us-gaap:RevenueFromContractWithCustomerExcludingAssessedTax [ConsolidationItemsAxis=OperatingSegmentsMember; ContractWithCustomerSalesChannelAxis=SalesChannelWholesaleMember; StatementBusinessSegmentsAxis=NIKEBrandMember; SubsegmentsAxis=AsiaPacificAndLatinAmericaSegmentMember]</t>
  </si>
  <si>
    <t>apla_wholesale_revenue</t>
  </si>
  <si>
    <t>FY2019|apla_wholesale_revenue</t>
  </si>
  <si>
    <t>3,408</t>
  </si>
  <si>
    <t>FY2020|apla_wholesale_revenue</t>
  </si>
  <si>
    <t>3,387</t>
  </si>
  <si>
    <t>FY2021|apla_wholesale_revenue</t>
  </si>
  <si>
    <t>Item 1 – thuyết minh “Revenues”, bảng phân tách doanh thu, Sales to Wholesale Customers, cột Asia Pacific &amp; Latin America</t>
  </si>
  <si>
    <t>us-gaap:RevenueFromContractWithCustomerIncludingAssessedTax [ConsolidationItemsAxis=OperatingSegmentsMember; ContractWithCustomerSalesChannelAxis=SalesChannelWholesaleMember; StatementBusinessSegmentsAxis=NIKEBrandMember; SubsegmentsAxis=AsiaPacificAndLatinAmericaSegmentMember]</t>
  </si>
  <si>
    <t>Q1 FY2019|apla_wholesale_revenue</t>
  </si>
  <si>
    <t>Q2 FY2019|apla_wholesale_revenue</t>
  </si>
  <si>
    <t>906</t>
  </si>
  <si>
    <t>Q3 FY2019|apla_wholesale_revenue</t>
  </si>
  <si>
    <t>Tự tính: cả năm (Item 8 – thuyết minh “Revenues”, bảng phân tách doanh thu, Sales to Wholesale Customers, cột Asia Pacific &amp; Latin America) trừ 9 tháng (10-Q Q3 FY2019, cùng dòng, trang 22)</t>
  </si>
  <si>
    <t>10-K FY2019 (cả năm): 3,746; 10-Q Q3 FY2019 (9 tháng): 2,777</t>
  </si>
  <si>
    <t>Q4 FY2019|apla_wholesale_revenue</t>
  </si>
  <si>
    <t>950</t>
  </si>
  <si>
    <t>Q1 FY2020|apla_wholesale_revenue</t>
  </si>
  <si>
    <t>1,022</t>
  </si>
  <si>
    <t>Q2 FY2020|apla_wholesale_revenue</t>
  </si>
  <si>
    <t>953</t>
  </si>
  <si>
    <t>Q3 FY2020|apla_wholesale_revenue</t>
  </si>
  <si>
    <t>Tự tính: cả năm (Item 8 – thuyết minh “Revenues”, bảng phân tách doanh thu, Sales to Wholesale Customers, cột Asia Pacific &amp; Latin America) trừ 9 tháng (10-Q Q3 FY2020, cùng dòng, trang 21)</t>
  </si>
  <si>
    <t>10-K FY2020 (cả năm): 3,408; 10-Q Q3 FY2020 (9 tháng): 2,925</t>
  </si>
  <si>
    <t>Q4 FY2020|apla_wholesale_revenue</t>
  </si>
  <si>
    <t>708</t>
  </si>
  <si>
    <t>Q1 FY2021|apla_wholesale_revenue</t>
  </si>
  <si>
    <t>925</t>
  </si>
  <si>
    <t>Q2 FY2021|apla_wholesale_revenue</t>
  </si>
  <si>
    <t>846</t>
  </si>
  <si>
    <t>Q3 FY2021|apla_wholesale_revenue</t>
  </si>
  <si>
    <t>Tự tính: cả năm (Item 8 – thuyết minh “Revenues”, bảng phân tách doanh thu, Sales to Wholesale Customers, cột Asia Pacific &amp; Latin America) trừ 9 tháng (10-Q Q3 FY2021, cùng dòng, trang 20)</t>
  </si>
  <si>
    <t>10-K FY2021 (cả năm): 3,387; 10-Q Q3 FY2021 (9 tháng): 2,479</t>
  </si>
  <si>
    <t>Q4 FY2021|apla_wholesale_revenue</t>
  </si>
  <si>
    <t>EBIT APLA</t>
  </si>
  <si>
    <t>Item 8 – thuyết minh “Operating Segments”, EARNINGS BEFORE INTEREST AND TAXES, dòng Asia Pacific &amp; Latin America</t>
  </si>
  <si>
    <t>1,323</t>
  </si>
  <si>
    <t>Asia Pacific &amp; Latin America – Earnings before interest and taxes</t>
  </si>
  <si>
    <t>nke:EarningsBeforeInterestAndTaxes [ConsolidationItemsAxis=OperatingSegmentsMember; ProductOrServiceAxis=NIKEBrandMember; StatementBusinessSegmentsAxis=NIKEBrandMember; SubsegmentsAxis=AsiaPacificAndLatinAmericaSegmentMember]</t>
  </si>
  <si>
    <t>apla_ebit</t>
  </si>
  <si>
    <t>FY2019|apla_ebit</t>
  </si>
  <si>
    <t>1,184</t>
  </si>
  <si>
    <t>FY2020|apla_ebit</t>
  </si>
  <si>
    <t>1,530</t>
  </si>
  <si>
    <t>Khớp bảng EBIT khu vực trong MD&amp;A (tr. 40); báo cáo năm sau in lại đúng số này.</t>
  </si>
  <si>
    <t>FY2021|apla_ebit</t>
  </si>
  <si>
    <t>Chỉ số tính toán (KPI) và kiểm tra đối chiếu – năm FY2019–FY2021</t>
  </si>
  <si>
    <t>Mọi ô số trong sheet này là công thức Excel. Số màu xanh lá lấy từ sheet 02–04 theo kỳ và mã chỉ tiêu, số màu đen được tính ngay trong sheet này. “—” là thiếu số đầu vào, không phải bằng 0.</t>
  </si>
  <si>
    <t>Mã</t>
  </si>
  <si>
    <t>Công thức</t>
  </si>
  <si>
    <t>Ghi chú và cách đọc</t>
  </si>
  <si>
    <t>A. Số liệu đầu vào (lấy từ sheet 02–04)</t>
  </si>
  <si>
    <t>Tra cứu sheet “02 Số liệu năm” theo khóa Kỳ|revenues, cột “Giá trị”.</t>
  </si>
  <si>
    <t>revenues__prior</t>
  </si>
  <si>
    <t>Doanh thu – cùng kỳ năm trước</t>
  </si>
  <si>
    <t>Tra cứu sheet “02 Số liệu năm” theo khóa Kỳ|revenues, cột “Cùng kỳ năm trước”.</t>
  </si>
  <si>
    <t>Tra cứu sheet “02 Số liệu năm” theo khóa Kỳ|cost_of_sales, cột “Giá trị”.</t>
  </si>
  <si>
    <t>Tra cứu sheet “02 Số liệu năm” theo khóa Kỳ|gross_profit, cột “Giá trị”.</t>
  </si>
  <si>
    <t>Tra cứu sheet “02 Số liệu năm” theo khóa Kỳ|demand_creation_expense, cột “Giá trị”.</t>
  </si>
  <si>
    <t>Tra cứu sheet “02 Số liệu năm” theo khóa Kỳ|operating_overhead_expense, cột “Giá trị”.</t>
  </si>
  <si>
    <t>Tra cứu sheet “02 Số liệu năm” theo khóa Kỳ|total_selling_admin_expense, cột “Giá trị”.</t>
  </si>
  <si>
    <t>Tra cứu sheet “02 Số liệu năm” theo khóa Kỳ|interest_expense_net, cột “Giá trị”.</t>
  </si>
  <si>
    <t>Tra cứu sheet “02 Số liệu năm” theo khóa Kỳ|other_expense_net, cột “Giá trị”.</t>
  </si>
  <si>
    <t>Tra cứu sheet “02 Số liệu năm” theo khóa Kỳ|income_before_taxes, cột “Giá trị”.</t>
  </si>
  <si>
    <t>Tra cứu sheet “02 Số liệu năm” theo khóa Kỳ|income_tax_expense, cột “Giá trị”.</t>
  </si>
  <si>
    <t>Tra cứu sheet “02 Số liệu năm” theo khóa Kỳ|net_income, cột “Giá trị”.</t>
  </si>
  <si>
    <t>Tra cứu sheet “02 Số liệu năm” theo khóa Kỳ|inventories, cột “Giá trị”.</t>
  </si>
  <si>
    <t>inventories__prior</t>
  </si>
  <si>
    <t>Hàng tồn kho cuối kỳ – cùng kỳ năm trước</t>
  </si>
  <si>
    <t>Tra cứu sheet “02 Số liệu năm” theo khóa Kỳ|inventories, cột “Cùng kỳ năm trước”.</t>
  </si>
  <si>
    <t>inventories__begin</t>
  </si>
  <si>
    <t>Hàng tồn kho đầu kỳ</t>
  </si>
  <si>
    <t>Năm: tồn kho ngày 31/5 năm trước (in trong cùng 10-K). Quý: tồn kho cuối quý liền trước; quý 1 lấy tồn kho ngày 31/5 ở sheet 02.</t>
  </si>
  <si>
    <t>Tra cứu sheet “02 Số liệu năm” theo khóa Kỳ|ebit_reported, cột “Giá trị”.</t>
  </si>
  <si>
    <t>Tra cứu sheet “02 Số liệu năm” theo khóa Kỳ|revenues_pct_change_reported, cột “Giá trị”.</t>
  </si>
  <si>
    <t>Tra cứu sheet “02 Số liệu năm” theo khóa Kỳ|nike_direct_revenue, cột “Giá trị”.</t>
  </si>
  <si>
    <t>nike_direct_revenue__prior</t>
  </si>
  <si>
    <t>Doanh thu NIKE Direct – cùng kỳ năm trước</t>
  </si>
  <si>
    <t>Tra cứu sheet “02 Số liệu năm” theo khóa Kỳ|nike_direct_revenue, cột “Cùng kỳ năm trước”.</t>
  </si>
  <si>
    <t>Tra cứu sheet “02 Số liệu năm” theo khóa Kỳ|nike_brand_wholesale_revenue, cột “Giá trị”.</t>
  </si>
  <si>
    <t>nike_brand_wholesale_revenue__prior</t>
  </si>
  <si>
    <t>Doanh thu bán buôn NIKE Brand – cùng kỳ năm trước</t>
  </si>
  <si>
    <t>Tra cứu sheet “02 Số liệu năm” theo khóa Kỳ|nike_brand_wholesale_revenue, cột “Cùng kỳ năm trước”.</t>
  </si>
  <si>
    <t>Tra cứu sheet “02 Số liệu năm” theo khóa Kỳ|global_brand_divisions_revenue, cột “Giá trị”.</t>
  </si>
  <si>
    <t>Tra cứu sheet “02 Số liệu năm” theo khóa Kỳ|nike_brand_revenue, cột “Giá trị”.</t>
  </si>
  <si>
    <t>nike_brand_revenue__prior</t>
  </si>
  <si>
    <t>Tổng doanh thu NIKE Brand – cùng kỳ năm trước</t>
  </si>
  <si>
    <t>Tra cứu sheet “02 Số liệu năm” theo khóa Kỳ|nike_brand_revenue, cột “Cùng kỳ năm trước”.</t>
  </si>
  <si>
    <t>Tra cứu sheet “02 Số liệu năm” theo khóa Kỳ|converse_revenue, cột “Giá trị”.</t>
  </si>
  <si>
    <t>Tra cứu sheet “02 Số liệu năm” theo khóa Kỳ|corporate_revenue, cột “Giá trị”.</t>
  </si>
  <si>
    <t>Tra cứu sheet “02 Số liệu năm” theo khóa Kỳ|nike_brand_digital_sales, cột “Giá trị”.</t>
  </si>
  <si>
    <t>Tra cứu sheet “02 Số liệu năm” theo khóa Kỳ|nike_direct_share_stated, cột “Giá trị”.</t>
  </si>
  <si>
    <t>Tra cứu sheet “02 Số liệu năm” theo khóa Kỳ|nike_direct_pct_change_reported, cột “Giá trị”.</t>
  </si>
  <si>
    <t>Tra cứu sheet “02 Số liệu năm” theo khóa Kỳ|nike_brand_wholesale_pct_change_reported, cột “Giá trị”.</t>
  </si>
  <si>
    <t>Tra cứu sheet “02 Số liệu năm” theo khóa Kỳ|nike_brand_pct_change_reported, cột “Giá trị”.</t>
  </si>
  <si>
    <t>Tra cứu sheet “04 Khu vực” theo khóa Kỳ|na_revenue, cột “Giá trị”.</t>
  </si>
  <si>
    <t>na_revenue__prior</t>
  </si>
  <si>
    <t>Doanh thu Bắc Mỹ – cùng kỳ năm trước</t>
  </si>
  <si>
    <t>Tra cứu sheet “04 Khu vực” theo khóa Kỳ|na_revenue, cột “Cùng kỳ năm trước”.</t>
  </si>
  <si>
    <t>Tra cứu sheet “04 Khu vực” theo khóa Kỳ|na_direct_revenue, cột “Giá trị”.</t>
  </si>
  <si>
    <t>na_direct_revenue__prior</t>
  </si>
  <si>
    <t>Doanh thu NIKE Direct – Bắc Mỹ – cùng kỳ năm trước</t>
  </si>
  <si>
    <t>Tra cứu sheet “04 Khu vực” theo khóa Kỳ|na_direct_revenue, cột “Cùng kỳ năm trước”.</t>
  </si>
  <si>
    <t>Tra cứu sheet “04 Khu vực” theo khóa Kỳ|na_wholesale_revenue, cột “Giá trị”.</t>
  </si>
  <si>
    <t>Tra cứu sheet “04 Khu vực” theo khóa Kỳ|na_ebit, cột “Giá trị”.</t>
  </si>
  <si>
    <t>Tra cứu sheet “04 Khu vực” theo khóa Kỳ|emea_revenue, cột “Giá trị”.</t>
  </si>
  <si>
    <t>emea_revenue__prior</t>
  </si>
  <si>
    <t>Doanh thu EMEA – cùng kỳ năm trước</t>
  </si>
  <si>
    <t>Tra cứu sheet “04 Khu vực” theo khóa Kỳ|emea_revenue, cột “Cùng kỳ năm trước”.</t>
  </si>
  <si>
    <t>Tra cứu sheet “04 Khu vực” theo khóa Kỳ|emea_direct_revenue, cột “Giá trị”.</t>
  </si>
  <si>
    <t>emea_direct_revenue__prior</t>
  </si>
  <si>
    <t>Doanh thu NIKE Direct – EMEA – cùng kỳ năm trước</t>
  </si>
  <si>
    <t>Tra cứu sheet “04 Khu vực” theo khóa Kỳ|emea_direct_revenue, cột “Cùng kỳ năm trước”.</t>
  </si>
  <si>
    <t>Tra cứu sheet “04 Khu vực” theo khóa Kỳ|emea_wholesale_revenue, cột “Giá trị”.</t>
  </si>
  <si>
    <t>Tra cứu sheet “04 Khu vực” theo khóa Kỳ|emea_ebit, cột “Giá trị”.</t>
  </si>
  <si>
    <t>Tra cứu sheet “04 Khu vực” theo khóa Kỳ|gc_revenue, cột “Giá trị”.</t>
  </si>
  <si>
    <t>gc_revenue__prior</t>
  </si>
  <si>
    <t>Doanh thu Đại Trung Hoa – cùng kỳ năm trước</t>
  </si>
  <si>
    <t>Tra cứu sheet “04 Khu vực” theo khóa Kỳ|gc_revenue, cột “Cùng kỳ năm trước”.</t>
  </si>
  <si>
    <t>Tra cứu sheet “04 Khu vực” theo khóa Kỳ|gc_direct_revenue, cột “Giá trị”.</t>
  </si>
  <si>
    <t>gc_direct_revenue__prior</t>
  </si>
  <si>
    <t>Doanh thu NIKE Direct – Đại Trung Hoa – cùng kỳ năm trước</t>
  </si>
  <si>
    <t>Tra cứu sheet “04 Khu vực” theo khóa Kỳ|gc_direct_revenue, cột “Cùng kỳ năm trước”.</t>
  </si>
  <si>
    <t>Tra cứu sheet “04 Khu vực” theo khóa Kỳ|gc_wholesale_revenue, cột “Giá trị”.</t>
  </si>
  <si>
    <t>Tra cứu sheet “04 Khu vực” theo khóa Kỳ|gc_ebit, cột “Giá trị”.</t>
  </si>
  <si>
    <t>Tra cứu sheet “04 Khu vực” theo khóa Kỳ|apla_revenue, cột “Giá trị”.</t>
  </si>
  <si>
    <t>apla_revenue__prior</t>
  </si>
  <si>
    <t>Doanh thu APLA – cùng kỳ năm trước</t>
  </si>
  <si>
    <t>Tra cứu sheet “04 Khu vực” theo khóa Kỳ|apla_revenue, cột “Cùng kỳ năm trước”.</t>
  </si>
  <si>
    <t>Tra cứu sheet “04 Khu vực” theo khóa Kỳ|apla_direct_revenue, cột “Giá trị”.</t>
  </si>
  <si>
    <t>apla_direct_revenue__prior</t>
  </si>
  <si>
    <t>Doanh thu NIKE Direct – APLA – cùng kỳ năm trước</t>
  </si>
  <si>
    <t>Tra cứu sheet “04 Khu vực” theo khóa Kỳ|apla_direct_revenue, cột “Cùng kỳ năm trước”.</t>
  </si>
  <si>
    <t>Tra cứu sheet “04 Khu vực” theo khóa Kỳ|apla_wholesale_revenue, cột “Giá trị”.</t>
  </si>
  <si>
    <t>Tra cứu sheet “04 Khu vực” theo khóa Kỳ|apla_ebit, cột “Giá trị”.</t>
  </si>
  <si>
    <t>days_in_period</t>
  </si>
  <si>
    <t>Số ngày của kỳ</t>
  </si>
  <si>
    <t>ngày</t>
  </si>
  <si>
    <t>Năm: 365 ngày. Quý: 365/4 = 91,25 ngày, để các quý so sánh được với nhau.</t>
  </si>
  <si>
    <t>B. Kênh phân phối (số của NIKE Brand)</t>
  </si>
  <si>
    <t>direct_share</t>
  </si>
  <si>
    <t>Tỷ trọng NIKE Direct trong doanh thu NIKE Brand</t>
  </si>
  <si>
    <t>[Doanh thu NIKE Direct] / [Tổng doanh thu NIKE Brand]</t>
  </si>
  <si>
    <t>Mẫu số là tổng doanh thu NIKE Brand, không phải NIKE, Inc.; NIKE cũng chia cho số này khi nêu tỷ trọng.</t>
  </si>
  <si>
    <t>wholesale_share</t>
  </si>
  <si>
    <t>Tỷ trọng bán buôn trong doanh thu NIKE Brand</t>
  </si>
  <si>
    <t>[Doanh thu bán buôn NIKE Brand] / [Tổng doanh thu NIKE Brand]</t>
  </si>
  <si>
    <t>NIKE Direct + bán buôn + Global Brand Divisions = 100% doanh thu NIKE Brand.</t>
  </si>
  <si>
    <t>gbd_share</t>
  </si>
  <si>
    <t>Tỷ trọng Global Brand Divisions trong doanh thu NIKE Brand</t>
  </si>
  <si>
    <t>[Doanh thu Global Brand Divisions] / [Tổng doanh thu NIKE Brand]</t>
  </si>
  <si>
    <t>Phần còn lại, dưới 0,2%.</t>
  </si>
  <si>
    <t>direct_growth</t>
  </si>
  <si>
    <t>Tăng trưởng doanh thu NIKE Direct (theo USD)</t>
  </si>
  <si>
    <t>[Doanh thu NIKE Direct] / [Doanh thu NIKE Direct – cùng kỳ năm trước] − 1</t>
  </si>
  <si>
    <t>So với cùng kỳ năm trước (số năm trước in ngay trong báo cáo đó). Chưa loại trừ ảnh hưởng tỷ giá.</t>
  </si>
  <si>
    <t>wholesale_growth</t>
  </si>
  <si>
    <t>Tăng trưởng doanh thu bán buôn NIKE Brand (theo USD)</t>
  </si>
  <si>
    <t>[Doanh thu bán buôn NIKE Brand] / [Doanh thu bán buôn NIKE Brand – cùng kỳ năm trước] − 1</t>
  </si>
  <si>
    <t>nike_brand_growth</t>
  </si>
  <si>
    <t>Tăng trưởng doanh thu NIKE Brand (theo USD)</t>
  </si>
  <si>
    <t>[Tổng doanh thu NIKE Brand] / [Tổng doanh thu NIKE Brand – cùng kỳ năm trước] − 1</t>
  </si>
  <si>
    <t>So với cùng kỳ năm trước (số năm trước in ngay trong báo cáo đó).</t>
  </si>
  <si>
    <t>direct_contribution</t>
  </si>
  <si>
    <t>Đóng góp của NIKE Direct vào tăng trưởng NIKE Brand</t>
  </si>
  <si>
    <t>điểm %</t>
  </si>
  <si>
    <t>([Doanh thu NIKE Direct] − [Doanh thu NIKE Direct – cùng kỳ năm trước]) / [Tổng doanh thu NIKE Brand – cùng kỳ năm trước]</t>
  </si>
  <si>
    <t>Phần thay đổi doanh thu NIKE Direct chia cho doanh thu NIKE Brand cùng kỳ năm trước. Ba phần đóng góp (NIKE Direct, bán buôn, Global Brand Divisions) cộng lại bằng tăng trưởng NIKE Brand.</t>
  </si>
  <si>
    <t>wholesale_contribution</t>
  </si>
  <si>
    <t>Đóng góp của bán buôn vào tăng trưởng NIKE Brand</t>
  </si>
  <si>
    <t>([Doanh thu bán buôn NIKE Brand] − [Doanh thu bán buôn NIKE Brand – cùng kỳ năm trước]) / [Tổng doanh thu NIKE Brand – cùng kỳ năm trước]</t>
  </si>
  <si>
    <t>Phần thay đổi doanh thu bán buôn chia cho doanh thu NIKE Brand cùng kỳ năm trước.</t>
  </si>
  <si>
    <t>digital_share_of_direct</t>
  </si>
  <si>
    <t>Tỷ trọng Digital trong NIKE Direct (xấp xỉ)</t>
  </si>
  <si>
    <t>[Doanh số NIKE Brand Digital] × 1.000 / [Doanh thu NIKE Direct]</t>
  </si>
  <si>
    <t>Xấp xỉ khi số Digital đã làm tròn (số cả năm và các quý từ FY2020). Nhân 1.000 để đổi tỷ USD sang triệu USD.</t>
  </si>
  <si>
    <t>direct_ex_digital</t>
  </si>
  <si>
    <t>NIKE Direct ngoài Digital (ước tính, chủ yếu là cửa hàng)</t>
  </si>
  <si>
    <t>[Doanh thu NIKE Direct] − [Doanh số NIKE Brand Digital] × 1.000</t>
  </si>
  <si>
    <t>NIKE Direct trừ doanh số Digital, gần với doanh thu cửa hàng do NIKE sở hữu. Sai số do làm tròn số Digital: không có ở quý 1–3 FY2019 (NIKE nêu đến triệu USD); tới ±50 triệu USD ở các kỳ khác và quý 4 FY2019; tới ±100 triệu USD ở quý 4 FY2020 và FY2021.</t>
  </si>
  <si>
    <t>C. Kết quả tài chính (số của NIKE, Inc.)</t>
  </si>
  <si>
    <t>revenue_growth</t>
  </si>
  <si>
    <t>Tăng trưởng doanh thu NIKE, Inc. (theo USD)</t>
  </si>
  <si>
    <t>[Doanh thu] / [Doanh thu – cùng kỳ năm trước] − 1</t>
  </si>
  <si>
    <t>gross_margin</t>
  </si>
  <si>
    <t>Biên lợi nhuận gộp</t>
  </si>
  <si>
    <t>[Lợi nhuận gộp] / [Doanh thu]</t>
  </si>
  <si>
    <t>Lợi nhuận gộp / doanh thu, đều của NIKE, Inc.</t>
  </si>
  <si>
    <t>sga_ratio</t>
  </si>
  <si>
    <t>Tỷ lệ chi phí bán hàng và quản lý / doanh thu</t>
  </si>
  <si>
    <t>[Tổng chi phí bán hàng và quản lý (SG&amp;A)] / [Doanh thu]</t>
  </si>
  <si>
    <t>NIKE không công bố khoản chi phí này theo kênh.</t>
  </si>
  <si>
    <t>demand_creation_ratio</t>
  </si>
  <si>
    <t>Tỷ lệ chi phí tạo nhu cầu / doanh thu</t>
  </si>
  <si>
    <t>[Chi phí tạo nhu cầu] / [Doanh thu]</t>
  </si>
  <si>
    <t>Chi phí quảng cáo và quảng bá (một phần của SG&amp;A) so với doanh thu.</t>
  </si>
  <si>
    <t>operating_overhead_ratio</t>
  </si>
  <si>
    <t>Tỷ lệ chi phí vận hành chung / doanh thu</t>
  </si>
  <si>
    <t>[Chi phí vận hành chung] / [Doanh thu]</t>
  </si>
  <si>
    <t>Lương, thuê mặt bằng và chi phí hành chính khác (phần còn lại của SG&amp;A) so với doanh thu.</t>
  </si>
  <si>
    <t>other_expense_ratio</t>
  </si>
  <si>
    <t>Tỷ lệ chi phí (thu nhập) khác thuần / doanh thu</t>
  </si>
  <si>
    <t>[Chi phí (thu nhập) khác thuần] / [Doanh thu]</t>
  </si>
  <si>
    <t>Biên EBIT = biên lợi nhuận gộp − chi phí tạo nhu cầu − chi phí vận hành chung − khoản này (đều tính theo % doanh thu).</t>
  </si>
  <si>
    <t>ebit</t>
  </si>
  <si>
    <t>EBIT (tự tính theo định nghĩa của NIKE)</t>
  </si>
  <si>
    <t>[Lợi nhuận sau thuế] + [Chi phí thuế thu nhập] + [Chi phí (thu nhập) lãi thuần]</t>
  </si>
  <si>
    <t>Chỉ tiêu non-GAAP. NIKE không trình bày dòng “Operating income” mà dùng EBIT. Số tự tính được đối chiếu với EBIT do NIKE công bố.</t>
  </si>
  <si>
    <t>ebit_margin</t>
  </si>
  <si>
    <t>Biên EBIT</t>
  </si>
  <si>
    <t>[EBIT (tự tính theo định nghĩa của NIKE)] / [Doanh thu]</t>
  </si>
  <si>
    <t>Chỉ tiêu non-GAAP: EBIT / doanh thu NIKE, Inc.</t>
  </si>
  <si>
    <t>net_income_margin</t>
  </si>
  <si>
    <t>Biên lợi nhuận sau thuế</t>
  </si>
  <si>
    <t>[Lợi nhuận sau thuế] / [Doanh thu]</t>
  </si>
  <si>
    <t>Theo chuẩn mực kế toán Mỹ (GAAP).</t>
  </si>
  <si>
    <t>inventory_growth</t>
  </si>
  <si>
    <t>Hàng tồn kho so với cùng thời điểm năm trước</t>
  </si>
  <si>
    <t>[Hàng tồn kho cuối kỳ] / [Hàng tồn kho cuối kỳ – cùng kỳ năm trước] − 1</t>
  </si>
  <si>
    <t>Năm: số dư 31/5 so với 31/5 năm trước (cùng 10-K). Quý: số dư cuối quý so với cuối cùng quý năm trước, lấy từ 10-Q cùng quý năm trước, vì 10-Q chỉ in kèm số dư ngày 31/5.</t>
  </si>
  <si>
    <t>average_inventory</t>
  </si>
  <si>
    <t>Hàng tồn kho bình quân</t>
  </si>
  <si>
    <t>([Hàng tồn kho cuối kỳ] + [Hàng tồn kho đầu kỳ]) / 2</t>
  </si>
  <si>
    <t>Bình quân số dư đầu kỳ và cuối kỳ.</t>
  </si>
  <si>
    <t>days_inventory</t>
  </si>
  <si>
    <t>Số ngày tồn kho bình quân</t>
  </si>
  <si>
    <t>[Số ngày của kỳ] × [Hàng tồn kho bình quân] / [Giá vốn hàng bán]</t>
  </si>
  <si>
    <t>Số ngày của kỳ × hàng tồn kho bình quân / giá vốn hàng bán của kỳ. Năm tính 365 ngày, quý tính 91,25 ngày (365/4) để các quý so sánh được với nhau.</t>
  </si>
  <si>
    <t>D. Bốn khu vực của NIKE Brand</t>
  </si>
  <si>
    <t>na_direct_share</t>
  </si>
  <si>
    <t>Tỷ trọng NIKE Direct – Bắc Mỹ</t>
  </si>
  <si>
    <t>[Doanh thu NIKE Direct – Bắc Mỹ] / [Doanh thu Bắc Mỹ]</t>
  </si>
  <si>
    <t>NIKE Direct / doanh thu khu vực Bắc Mỹ.</t>
  </si>
  <si>
    <t>na_growth</t>
  </si>
  <si>
    <t>Tăng trưởng doanh thu – Bắc Mỹ (theo USD)</t>
  </si>
  <si>
    <t>[Doanh thu Bắc Mỹ] / [Doanh thu Bắc Mỹ – cùng kỳ năm trước] − 1</t>
  </si>
  <si>
    <t>na_direct_growth</t>
  </si>
  <si>
    <t>Tăng trưởng NIKE Direct – Bắc Mỹ (theo USD)</t>
  </si>
  <si>
    <t>[Doanh thu NIKE Direct – Bắc Mỹ] / [Doanh thu NIKE Direct – Bắc Mỹ – cùng kỳ năm trước] − 1</t>
  </si>
  <si>
    <t>So với cùng kỳ năm trước. Số năm trước của FY2019 lấy từ bảng khu vực trong MD&amp;A.</t>
  </si>
  <si>
    <t>na_ebit_margin</t>
  </si>
  <si>
    <t>Biên EBIT – Bắc Mỹ</t>
  </si>
  <si>
    <t>[EBIT Bắc Mỹ] / [Doanh thu Bắc Mỹ]</t>
  </si>
  <si>
    <t>EBIT khu vực / doanh thu khu vực. Chưa trừ chi phí Global Brand Divisions và Corporate, vì NIKE không chia các khoản này về khu vực.</t>
  </si>
  <si>
    <t>emea_direct_share</t>
  </si>
  <si>
    <t>Tỷ trọng NIKE Direct – EMEA</t>
  </si>
  <si>
    <t>[Doanh thu NIKE Direct – EMEA] / [Doanh thu EMEA]</t>
  </si>
  <si>
    <t>NIKE Direct / doanh thu khu vực châu Âu, Trung Đông và châu Phi.</t>
  </si>
  <si>
    <t>emea_growth</t>
  </si>
  <si>
    <t>Tăng trưởng doanh thu – EMEA (theo USD)</t>
  </si>
  <si>
    <t>[Doanh thu EMEA] / [Doanh thu EMEA – cùng kỳ năm trước] − 1</t>
  </si>
  <si>
    <t>emea_direct_growth</t>
  </si>
  <si>
    <t>Tăng trưởng NIKE Direct – EMEA (theo USD)</t>
  </si>
  <si>
    <t>[Doanh thu NIKE Direct – EMEA] / [Doanh thu NIKE Direct – EMEA – cùng kỳ năm trước] − 1</t>
  </si>
  <si>
    <t>emea_ebit_margin</t>
  </si>
  <si>
    <t>Biên EBIT – EMEA</t>
  </si>
  <si>
    <t>[EBIT EMEA] / [Doanh thu EMEA]</t>
  </si>
  <si>
    <t>gc_direct_share</t>
  </si>
  <si>
    <t>Tỷ trọng NIKE Direct – Đại Trung Hoa</t>
  </si>
  <si>
    <t>[Doanh thu NIKE Direct – Đại Trung Hoa] / [Doanh thu Đại Trung Hoa]</t>
  </si>
  <si>
    <t>NIKE Direct / doanh thu khu vực Đại Trung Hoa.</t>
  </si>
  <si>
    <t>gc_growth</t>
  </si>
  <si>
    <t>Tăng trưởng doanh thu – Đại Trung Hoa (theo USD)</t>
  </si>
  <si>
    <t>[Doanh thu Đại Trung Hoa] / [Doanh thu Đại Trung Hoa – cùng kỳ năm trước] − 1</t>
  </si>
  <si>
    <t>gc_direct_growth</t>
  </si>
  <si>
    <t>Tăng trưởng NIKE Direct – Đại Trung Hoa (theo USD)</t>
  </si>
  <si>
    <t>[Doanh thu NIKE Direct – Đại Trung Hoa] / [Doanh thu NIKE Direct – Đại Trung Hoa – cùng kỳ năm trước] − 1</t>
  </si>
  <si>
    <t>gc_ebit_margin</t>
  </si>
  <si>
    <t>Biên EBIT – Đại Trung Hoa</t>
  </si>
  <si>
    <t>[EBIT Đại Trung Hoa] / [Doanh thu Đại Trung Hoa]</t>
  </si>
  <si>
    <t>apla_direct_share</t>
  </si>
  <si>
    <t>Tỷ trọng NIKE Direct – APLA</t>
  </si>
  <si>
    <t>[Doanh thu NIKE Direct – APLA] / [Doanh thu APLA]</t>
  </si>
  <si>
    <t>NIKE Direct / doanh thu khu vực châu Á – Thái Bình Dương và Mỹ Latinh.</t>
  </si>
  <si>
    <t>apla_growth</t>
  </si>
  <si>
    <t>Tăng trưởng doanh thu – APLA (theo USD)</t>
  </si>
  <si>
    <t>[Doanh thu APLA] / [Doanh thu APLA – cùng kỳ năm trước] − 1</t>
  </si>
  <si>
    <t>apla_direct_growth</t>
  </si>
  <si>
    <t>Tăng trưởng NIKE Direct – APLA (theo USD)</t>
  </si>
  <si>
    <t>[Doanh thu NIKE Direct – APLA] / [Doanh thu NIKE Direct – APLA – cùng kỳ năm trước] − 1</t>
  </si>
  <si>
    <t>apla_ebit_margin</t>
  </si>
  <si>
    <t>Biên EBIT – APLA</t>
  </si>
  <si>
    <t>[EBIT APLA] / [Doanh thu APLA]</t>
  </si>
  <si>
    <t>E. Kiểm tra các phép cộng trừ (đúng thì chênh lệch bằng 0, cột cuối là kết luận)</t>
  </si>
  <si>
    <t>chk_gross_profit</t>
  </si>
  <si>
    <t>Doanh thu − Giá vốn − Lợi nhuận gộp</t>
  </si>
  <si>
    <t>[Doanh thu] − [Giá vốn hàng bán] − [Lợi nhuận gộp]   (ngưỡng ±1 triệu USD)</t>
  </si>
  <si>
    <t>chk_sga</t>
  </si>
  <si>
    <t>Chi phí tạo nhu cầu + chi phí vận hành chung − tổng SG&amp;A</t>
  </si>
  <si>
    <t>[Chi phí tạo nhu cầu] + [Chi phí vận hành chung] − [Tổng chi phí bán hàng và quản lý (SG&amp;A)]   (ngưỡng ±1 triệu USD)</t>
  </si>
  <si>
    <t>chk_pretax</t>
  </si>
  <si>
    <t>Lợi nhuận gộp − SG&amp;A − lãi thuần − chi phí khác thuần − lợi nhuận trước thuế</t>
  </si>
  <si>
    <t>[Lợi nhuận gộp] − [Tổng chi phí bán hàng và quản lý (SG&amp;A)] − [Chi phí (thu nhập) lãi thuần] − [Chi phí (thu nhập) khác thuần] − [Lợi nhuận trước thuế]   (ngưỡng ±2 triệu USD)</t>
  </si>
  <si>
    <t>chk_net_income</t>
  </si>
  <si>
    <t>Lợi nhuận trước thuế − thuế − lợi nhuận sau thuế</t>
  </si>
  <si>
    <t>[Lợi nhuận trước thuế] − [Chi phí thuế thu nhập] − [Lợi nhuận sau thuế]   (ngưỡng ±1 triệu USD)</t>
  </si>
  <si>
    <t>chk_channels</t>
  </si>
  <si>
    <t>NIKE Direct + bán buôn + Global Brand Divisions − tổng NIKE Brand</t>
  </si>
  <si>
    <t>[Doanh thu NIKE Direct] + [Doanh thu bán buôn NIKE Brand] + [Doanh thu Global Brand Divisions] − [Tổng doanh thu NIKE Brand]   (ngưỡng ±1 triệu USD)</t>
  </si>
  <si>
    <t>chk_segments</t>
  </si>
  <si>
    <t>NIKE Brand + Converse + Corporate − doanh thu NIKE, Inc.</t>
  </si>
  <si>
    <t>[Tổng doanh thu NIKE Brand] + [Doanh thu Converse] + [Doanh thu Corporate] − [Doanh thu]   (ngưỡng ±1 triệu USD)</t>
  </si>
  <si>
    <t>chk_ebit</t>
  </si>
  <si>
    <t>EBIT tự tính − EBIT NIKE công bố</t>
  </si>
  <si>
    <t>[EBIT (tự tính theo định nghĩa của NIKE)] − [EBIT do NIKE công bố]   (ngưỡng ±1 triệu USD)</t>
  </si>
  <si>
    <t>chk_regions</t>
  </si>
  <si>
    <t>Bốn khu vực + Global Brand Divisions − tổng NIKE Brand</t>
  </si>
  <si>
    <t>[Doanh thu Bắc Mỹ] + [Doanh thu EMEA] + [Doanh thu Đại Trung Hoa] + [Doanh thu APLA] + [Doanh thu Global Brand Divisions] − [Tổng doanh thu NIKE Brand]   (ngưỡng ±2 triệu USD)</t>
  </si>
  <si>
    <t>chk_regions_direct</t>
  </si>
  <si>
    <t>NIKE Direct bốn khu vực − NIKE Direct toàn NIKE Brand</t>
  </si>
  <si>
    <t>[Doanh thu NIKE Direct – Bắc Mỹ] + [Doanh thu NIKE Direct – EMEA] + [Doanh thu NIKE Direct – Đại Trung Hoa] + [Doanh thu NIKE Direct – APLA] − [Doanh thu NIKE Direct]   (ngưỡng ±2 triệu USD)</t>
  </si>
  <si>
    <t>chk_regions_wholesale</t>
  </si>
  <si>
    <t>Bán buôn bốn khu vực − bán buôn toàn NIKE Brand</t>
  </si>
  <si>
    <t>[Doanh thu bán buôn – Bắc Mỹ] + [Doanh thu bán buôn – EMEA] + [Doanh thu bán buôn – Đại Trung Hoa] + [Doanh thu bán buôn – APLA] − [Doanh thu bán buôn NIKE Brand]   (ngưỡng ±2 triệu USD)</t>
  </si>
  <si>
    <t>chk_na_channels</t>
  </si>
  <si>
    <t>NIKE Direct + bán buôn − doanh thu Bắc Mỹ</t>
  </si>
  <si>
    <t>[Doanh thu NIKE Direct – Bắc Mỹ] + [Doanh thu bán buôn – Bắc Mỹ] − [Doanh thu Bắc Mỹ]   (ngưỡng ±1 triệu USD)</t>
  </si>
  <si>
    <t>chk_emea_channels</t>
  </si>
  <si>
    <t>NIKE Direct + bán buôn − doanh thu EMEA</t>
  </si>
  <si>
    <t>[Doanh thu NIKE Direct – EMEA] + [Doanh thu bán buôn – EMEA] − [Doanh thu EMEA]   (ngưỡng ±1 triệu USD)</t>
  </si>
  <si>
    <t>chk_gc_channels</t>
  </si>
  <si>
    <t>NIKE Direct + bán buôn − doanh thu Đại Trung Hoa</t>
  </si>
  <si>
    <t>[Doanh thu NIKE Direct – Đại Trung Hoa] + [Doanh thu bán buôn – Đại Trung Hoa] − [Doanh thu Đại Trung Hoa]   (ngưỡng ±1 triệu USD)</t>
  </si>
  <si>
    <t>chk_apla_channels</t>
  </si>
  <si>
    <t>NIKE Direct + bán buôn − doanh thu APLA</t>
  </si>
  <si>
    <t>[Doanh thu NIKE Direct – APLA] + [Doanh thu bán buôn – APLA] − [Doanh thu APLA]   (ngưỡng ±1 triệu USD)</t>
  </si>
  <si>
    <t>F. So với tỷ lệ NIKE tự công bố (các ô là phần chênh lệch)</t>
  </si>
  <si>
    <t>cmp_revenue_growth</t>
  </si>
  <si>
    <t>Tăng trưởng doanh thu tự tính − % NIKE công bố</t>
  </si>
  <si>
    <t>[Tăng trưởng doanh thu NIKE, Inc. (theo USD)] − [% thay đổi doanh thu (NIKE công bố, đã làm tròn)]   (ngưỡng ±1 điểm %)</t>
  </si>
  <si>
    <t>cmp_direct_growth</t>
  </si>
  <si>
    <t>Tăng trưởng NIKE Direct tự tính − % NIKE công bố</t>
  </si>
  <si>
    <t>[Tăng trưởng doanh thu NIKE Direct (theo USD)] − [% thay đổi NIKE Direct (NIKE công bố, đã làm tròn)]   (ngưỡng ±1 điểm %)</t>
  </si>
  <si>
    <t>cmp_wholesale_growth</t>
  </si>
  <si>
    <t>Tăng trưởng bán buôn tự tính − % NIKE công bố</t>
  </si>
  <si>
    <t>[Tăng trưởng doanh thu bán buôn NIKE Brand (theo USD)] − [% thay đổi bán buôn (NIKE công bố, đã làm tròn)]   (ngưỡng ±1 điểm %)</t>
  </si>
  <si>
    <t>cmp_brand_growth</t>
  </si>
  <si>
    <t>Tăng trưởng NIKE Brand tự tính − % NIKE công bố</t>
  </si>
  <si>
    <t>[Tăng trưởng doanh thu NIKE Brand (theo USD)] − [% thay đổi doanh thu NIKE Brand (NIKE công bố, đã làm tròn)]   (ngưỡng ±1 điểm %)</t>
  </si>
  <si>
    <t>cmp_direct_share</t>
  </si>
  <si>
    <t>Tỷ trọng NIKE Direct tự tính − tỷ trọng NIKE nêu</t>
  </si>
  <si>
    <t>[Tỷ trọng NIKE Direct trong doanh thu NIKE Brand] − [Tỷ trọng NIKE Direct do NIKE nêu (xấp xỉ)]   (ngưỡng ±1 điểm %)</t>
  </si>
  <si>
    <t>Chỉ số tính toán (KPI) và kiểm tra đối chiếu – 12 quý, Q1 FY2019 – Q4 FY2021</t>
  </si>
  <si>
    <t>Tra cứu sheet “03 Số liệu quý” theo khóa Kỳ|revenues, cột “Giá trị”.</t>
  </si>
  <si>
    <t>Tra cứu sheet “03 Số liệu quý” theo khóa Kỳ|revenues, cột “Cùng kỳ năm trước”.</t>
  </si>
  <si>
    <t>Tra cứu sheet “03 Số liệu quý” theo khóa Kỳ|cost_of_sales, cột “Giá trị”.</t>
  </si>
  <si>
    <t>Tra cứu sheet “03 Số liệu quý” theo khóa Kỳ|gross_profit, cột “Giá trị”.</t>
  </si>
  <si>
    <t>Tra cứu sheet “03 Số liệu quý” theo khóa Kỳ|demand_creation_expense, cột “Giá trị”.</t>
  </si>
  <si>
    <t>Tra cứu sheet “03 Số liệu quý” theo khóa Kỳ|operating_overhead_expense, cột “Giá trị”.</t>
  </si>
  <si>
    <t>Tra cứu sheet “03 Số liệu quý” theo khóa Kỳ|total_selling_admin_expense, cột “Giá trị”.</t>
  </si>
  <si>
    <t>Tra cứu sheet “03 Số liệu quý” theo khóa Kỳ|interest_expense_net, cột “Giá trị”.</t>
  </si>
  <si>
    <t>Tra cứu sheet “03 Số liệu quý” theo khóa Kỳ|other_expense_net, cột “Giá trị”.</t>
  </si>
  <si>
    <t>Tra cứu sheet “03 Số liệu quý” theo khóa Kỳ|income_before_taxes, cột “Giá trị”.</t>
  </si>
  <si>
    <t>Tra cứu sheet “03 Số liệu quý” theo khóa Kỳ|income_tax_expense, cột “Giá trị”.</t>
  </si>
  <si>
    <t>Tra cứu sheet “03 Số liệu quý” theo khóa Kỳ|net_income, cột “Giá trị”.</t>
  </si>
  <si>
    <t>Tra cứu sheet “03 Số liệu quý” theo khóa Kỳ|inventories, cột “Giá trị”.</t>
  </si>
  <si>
    <t>Tra cứu sheet “03 Số liệu quý” theo khóa Kỳ|inventories, cột “Cùng kỳ năm trước”.</t>
  </si>
  <si>
    <t>Tra cứu sheet “03 Số liệu quý” theo khóa Kỳ|ebit_reported, cột “Giá trị”.</t>
  </si>
  <si>
    <t>Tra cứu sheet “03 Số liệu quý” theo khóa Kỳ|revenues_pct_change_reported, cột “Giá trị”.</t>
  </si>
  <si>
    <t>Tra cứu sheet “03 Số liệu quý” theo khóa Kỳ|nike_direct_revenue, cột “Giá trị”.</t>
  </si>
  <si>
    <t>Tra cứu sheet “03 Số liệu quý” theo khóa Kỳ|nike_direct_revenue, cột “Cùng kỳ năm trước”.</t>
  </si>
  <si>
    <t>Tra cứu sheet “03 Số liệu quý” theo khóa Kỳ|nike_brand_wholesale_revenue, cột “Giá trị”.</t>
  </si>
  <si>
    <t>Tra cứu sheet “03 Số liệu quý” theo khóa Kỳ|nike_brand_wholesale_revenue, cột “Cùng kỳ năm trước”.</t>
  </si>
  <si>
    <t>Tra cứu sheet “03 Số liệu quý” theo khóa Kỳ|global_brand_divisions_revenue, cột “Giá trị”.</t>
  </si>
  <si>
    <t>Tra cứu sheet “03 Số liệu quý” theo khóa Kỳ|nike_brand_revenue, cột “Giá trị”.</t>
  </si>
  <si>
    <t>Tra cứu sheet “03 Số liệu quý” theo khóa Kỳ|nike_brand_revenue, cột “Cùng kỳ năm trước”.</t>
  </si>
  <si>
    <t>Tra cứu sheet “03 Số liệu quý” theo khóa Kỳ|converse_revenue, cột “Giá trị”.</t>
  </si>
  <si>
    <t>Tra cứu sheet “03 Số liệu quý” theo khóa Kỳ|corporate_revenue, cột “Giá trị”.</t>
  </si>
  <si>
    <t>Tra cứu sheet “03 Số liệu quý” theo khóa Kỳ|nike_brand_digital_sales, cột “Giá trị”.</t>
  </si>
  <si>
    <t>Tra cứu sheet “03 Số liệu quý” theo khóa Kỳ|nike_direct_share_stated, cột “Giá trị”.</t>
  </si>
  <si>
    <t>Tra cứu sheet “03 Số liệu quý” theo khóa Kỳ|nike_direct_pct_change_reported, cột “Giá trị”.</t>
  </si>
  <si>
    <t>Tra cứu sheet “03 Số liệu quý” theo khóa Kỳ|nike_brand_wholesale_pct_change_reported, cột “Giá trị”.</t>
  </si>
  <si>
    <t>Tra cứu sheet “03 Số liệu quý” theo khóa Kỳ|nike_brand_pct_change_reported, cột “Giá trị”.</t>
  </si>
  <si>
    <t>F. So với tỷ lệ NIKE tự công bố (các ô là phần chênh lệch; “—” là kỳ NIKE không nêu tỷ lệ)</t>
  </si>
  <si>
    <t>Nguồn và định nghĩa</t>
  </si>
  <si>
    <t>A. Báo cáo nguồn (Form 10-K, 10-Q và thông cáo kết quả quý 4 nộp SEC)</t>
  </si>
  <si>
    <t>Báo cáo</t>
  </si>
  <si>
    <t>Tài liệu</t>
  </si>
  <si>
    <t>Liên kết SEC EDGAR</t>
  </si>
  <si>
    <t>Bản sao trên NIKE Investor Relations</t>
  </si>
  <si>
    <t>Loại</t>
  </si>
  <si>
    <t>Dùng để</t>
  </si>
  <si>
    <t>10‑K FY2019</t>
  </si>
  <si>
    <t>NIKE, Inc. Form 10‑K for the fiscal year ended May 31, 2019</t>
  </si>
  <si>
    <t>Mở trên SEC EDGAR</t>
  </si>
  <si>
    <t>Mở bản sao</t>
  </si>
  <si>
    <t>Báo cáo năm</t>
  </si>
  <si>
    <t>Nguồn số liệu</t>
  </si>
  <si>
    <t>10‑Q Q1 FY2019</t>
  </si>
  <si>
    <t>NIKE, Inc. Form 10‑Q for the quarterly period ended August 31, 2018</t>
  </si>
  <si>
    <t>Báo cáo quý</t>
  </si>
  <si>
    <t>10‑Q Q2 FY2019</t>
  </si>
  <si>
    <t>NIKE, Inc. Form 10‑Q for the quarterly period ended November 30, 2018</t>
  </si>
  <si>
    <t>10‑Q Q3 FY2019</t>
  </si>
  <si>
    <t>NIKE, Inc. Form 10‑Q for the quarterly period ended February 28, 2019</t>
  </si>
  <si>
    <t>10‑K FY2020</t>
  </si>
  <si>
    <t>NIKE, Inc. Form 10‑K for the fiscal year ended May 31, 2020</t>
  </si>
  <si>
    <t>10‑Q Q1 FY2020</t>
  </si>
  <si>
    <t>NIKE, Inc. Form 10‑Q for the quarterly period ended August 31, 2019</t>
  </si>
  <si>
    <t>10‑Q Q2 FY2020</t>
  </si>
  <si>
    <t>NIKE, Inc. Form 10‑Q for the quarterly period ended November 30, 2019</t>
  </si>
  <si>
    <t>10‑Q Q3 FY2020</t>
  </si>
  <si>
    <t>NIKE, Inc. Form 10‑Q for the quarterly period ended February 29, 2020</t>
  </si>
  <si>
    <t>10‑K FY2021</t>
  </si>
  <si>
    <t>NIKE, Inc. Form 10‑K for the fiscal year ended May 31, 2021</t>
  </si>
  <si>
    <t>10‑Q Q1 FY2021</t>
  </si>
  <si>
    <t>NIKE, Inc. Form 10‑Q for the quarterly period ended August 31, 2020</t>
  </si>
  <si>
    <t>10‑Q Q2 FY2021</t>
  </si>
  <si>
    <t>NIKE, Inc. Form 10‑Q for the quarterly period ended November 30, 2020</t>
  </si>
  <si>
    <t>10‑Q Q3 FY2021</t>
  </si>
  <si>
    <t>NIKE, Inc. Form 10‑Q for the quarterly period ended February 28, 2021</t>
  </si>
  <si>
    <t>8‑K Q4 FY2019</t>
  </si>
  <si>
    <t>NIKE, Inc. fiscal 2019 fourth quarter and full year results (press release, Form 8‑K Exhibit 99.1)</t>
  </si>
  <si>
    <t>Thông cáo kết quả quý 4</t>
  </si>
  <si>
    <t>Tỷ lệ % của quý 4 và đối chiếu số quý 4 tự tính</t>
  </si>
  <si>
    <t>8‑K Q4 FY2020</t>
  </si>
  <si>
    <t>NIKE, Inc. fiscal 2020 fourth quarter and full year results (press release, Form 8‑K Exhibit 99.1)</t>
  </si>
  <si>
    <t>8‑K Q4 FY2021</t>
  </si>
  <si>
    <t>NIKE, Inc. fiscal 2021 fourth quarter and full year results (press release, Form 8‑K Exhibit 99.1)</t>
  </si>
  <si>
    <t>10‑Q Q1 FY2022</t>
  </si>
  <si>
    <t>NIKE, Inc. Form 10‑Q for the quarterly period ended August 31, 2021</t>
  </si>
  <si>
    <t>05/10/2021</t>
  </si>
  <si>
    <t>0000320187-21-000045</t>
  </si>
  <si>
    <t>Chỉ để kiểm tra NIKE có in lại số cũ khác đi không</t>
  </si>
  <si>
    <t>10‑Q Q2 FY2022</t>
  </si>
  <si>
    <t>NIKE, Inc. Form 10‑Q for the quarterly period ended November 30, 2021</t>
  </si>
  <si>
    <t>06/01/2022</t>
  </si>
  <si>
    <t>0000320187-22-000004</t>
  </si>
  <si>
    <t>10‑Q Q3 FY2022</t>
  </si>
  <si>
    <t>NIKE, Inc. Form 10‑Q for the quarterly period ended February 28, 2022</t>
  </si>
  <si>
    <t>05/04/2022</t>
  </si>
  <si>
    <t>0000320187-22-000017</t>
  </si>
  <si>
    <t>10‑K FY2022</t>
  </si>
  <si>
    <t>NIKE, Inc. Form 10‑K for the fiscal year ended May 31, 2022</t>
  </si>
  <si>
    <t>21/07/2022</t>
  </si>
  <si>
    <t>0000320187-22-000038</t>
  </si>
  <si>
    <t>10‑K FY2023</t>
  </si>
  <si>
    <t>NIKE, Inc. Form 10‑K for the fiscal year ended May 31, 2023</t>
  </si>
  <si>
    <t>20/07/2023</t>
  </si>
  <si>
    <t>0000320187-23-000039</t>
  </si>
  <si>
    <t>B. Thuật ngữ</t>
  </si>
  <si>
    <t>Thuật ngữ</t>
  </si>
  <si>
    <t>Tiếng Anh / tên trong báo cáo</t>
  </si>
  <si>
    <t>Định nghĩa</t>
  </si>
  <si>
    <t>Ghi chú</t>
  </si>
  <si>
    <t>Năm tài chính (FY)</t>
  </si>
  <si>
    <t>Fiscal year</t>
  </si>
  <si>
    <t>Năm tài chính của NIKE kết thúc ngày 31/5, ví dụ FY2020 là từ 01/06/2019 đến 31/05/2020.</t>
  </si>
  <si>
    <t>Quý (Q1–Q4)</t>
  </si>
  <si>
    <t>Fiscal quarter</t>
  </si>
  <si>
    <t>Q1: tháng 6–8, Q2: tháng 9–11, Q3: tháng 12–2, Q4: tháng 3–5. Ví dụ Q4 FY2020 là 01/03/2020 – 31/05/2020.</t>
  </si>
  <si>
    <t>Quý 1–3 có báo cáo 10‑Q riêng; quý 4 không có.</t>
  </si>
  <si>
    <t>Quý 4 (tự tính)</t>
  </si>
  <si>
    <t>Fourth quarter</t>
  </si>
  <si>
    <t>Không có 10‑Q cho quý 4, nên số quý 4 = số cả năm trong 10‑K trừ số 9 tháng đầu trong 10‑Q quý 3.</t>
  </si>
  <si>
    <t>Ghi “Nhóm tự tính” ở cột “Loại số liệu”, chữ nghiêng. Số nào có trong thông cáo kết quả quý 4 đều khớp; thông cáo không có NIKE Direct, bán buôn và Digital.</t>
  </si>
  <si>
    <t>Earnings release (Form 8‑K, Exhibit 99.1)</t>
  </si>
  <si>
    <t>Thông cáo NIKE công bố khoảng một tháng trước 10‑K, có số riêng của quý 4: doanh thu theo khu vực, báo cáo kết quả kinh doanh và % thay đổi của quý.</t>
  </si>
  <si>
    <t>Không kiểm toán. Dùng cho tỷ lệ % của quý 4 và để đối chiếu số quý 4 tự tính.</t>
  </si>
  <si>
    <t>Lũy kế 6 tháng, 9 tháng</t>
  </si>
  <si>
    <t>Six / nine months ended</t>
  </si>
  <si>
    <t>Số cộng dồn từ đầu năm tài chính, in trong 10‑Q quý 2 và quý 3.</t>
  </si>
  <si>
    <t>Dùng để kiểm tra: cộng các quý phải bằng số lũy kế.</t>
  </si>
  <si>
    <t>Prior-year period</t>
  </si>
  <si>
    <t>Mỗi báo cáo in kèm số của cùng kỳ năm trước để so sánh, ví dụ 10‑K FY2021 in cả số FY2020. Riêng tồn kho cuối quý 1–3: 10‑Q chỉ in kèm số dư ngày 31/5, nên số cùng kỳ lấy từ 10‑Q cùng quý năm trước.</t>
  </si>
  <si>
    <t>Tăng trưởng được tính với số này, giống cách NIKE tự tính.</t>
  </si>
  <si>
    <t>In lại ở báo cáo năm sau</t>
  </si>
  <si>
    <t>Prior periods presented again</t>
  </si>
  <si>
    <t>Báo cáo năm sau in lại số cũ để so sánh. Nếu NIKE đổi cách phân loại, số in lại có thể khác số gốc.</t>
  </si>
  <si>
    <t>Cột “Ở báo cáo năm sau” ghi kết quả so sánh. FY2019–FY2021: không số nào khác.</t>
  </si>
  <si>
    <t>MD&amp;A</t>
  </si>
  <si>
    <t>Management's Discussion and Analysis</t>
  </si>
  <si>
    <t>Phần thảo luận của ban điều hành trong báo cáo: giải thích kết quả, có các bảng doanh thu và tỷ lệ tăng trưởng.</t>
  </si>
  <si>
    <t>Không được kiểm toán.</t>
  </si>
  <si>
    <t>Thuyết minh</t>
  </si>
  <si>
    <t>Notes to the financial statements</t>
  </si>
  <si>
    <t>Phần ghi chú chi tiết đi kèm báo cáo tài chính, ví dụ doanh thu theo kênh và theo khu vực (“Revenues”, “Operating Segments”).</t>
  </si>
  <si>
    <t>Năm: đã kiểm toán. Quý: không kiểm toán (10‑Q ghi “Unaudited”).</t>
  </si>
  <si>
    <t>NIKE, Inc. (consolidated)</t>
  </si>
  <si>
    <t>Toàn tập đoàn: NIKE Brand + Converse + Corporate.</t>
  </si>
  <si>
    <t>Phạm vi các chỉ tiêu tài chính.</t>
  </si>
  <si>
    <t>Thương hiệu NIKE và Jordan; đến hết quý 2 FY2020 gồm cả Hurley (tính vào Bắc Mỹ). Không gồm Converse.</t>
  </si>
  <si>
    <t>Phạm vi các chỉ tiêu kênh và khu vực.</t>
  </si>
  <si>
    <t>NIKE Direct / Sales through Direct to Consumer</t>
  </si>
  <si>
    <t>Doanh thu NIKE Brand bán thẳng cho người tiêu dùng, qua cửa hàng của NIKE và Digital (ứng dụng, website của NIKE).</t>
  </si>
  <si>
    <t>NIKE không công bố lợi nhuận riêng của kênh này.</t>
  </si>
  <si>
    <t>NIKE Brand Digital</t>
  </si>
  <si>
    <t>Digital commerce sales (Q2–Q3 FY2021: Digital sales)</t>
  </si>
  <si>
    <t>Phần doanh số NIKE Direct bán qua ứng dụng và website của NIKE.</t>
  </si>
  <si>
    <t>Chỉ có trong MD&amp;A. Số cả năm và các quý từ FY2020 đã làm tròn đến 0,1 tỷ USD.</t>
  </si>
  <si>
    <t>NIKE Direct ngoài Digital</t>
  </si>
  <si>
    <t>NIKE Direct trừ doanh số Digital, gần với doanh thu cửa hàng do NIKE sở hữu.</t>
  </si>
  <si>
    <t>Ước tính, sai số theo độ làm tròn của số Digital.</t>
  </si>
  <si>
    <t>Sales to Wholesale Customers</t>
  </si>
  <si>
    <t>Doanh thu NIKE Brand bán sản phẩm cho nhà bán lẻ và nhà phân phối.</t>
  </si>
  <si>
    <t>Không gồm Converse.</t>
  </si>
  <si>
    <t>Doanh thu: cấp phép thương hiệu NIKE và khoản nhỏ khác, không thuộc khu vực nào. Chi phí: quảng cáo và vận hành NIKE Brand quản lý tập trung, gồm cả vận hành Digital toàn cầu và công nghệ.</t>
  </si>
  <si>
    <t>Doanh thu dưới 0,2% doanh thu NIKE Brand. Chi phí không chia về khu vực.</t>
  </si>
  <si>
    <t>Bốn khu vực</t>
  </si>
  <si>
    <t>North America, EMEA, Greater China, APLA</t>
  </si>
  <si>
    <t>Bắc Mỹ; châu Âu, Trung Đông và châu Phi (EMEA); Đại Trung Hoa; châu Á – Thái Bình Dương và Mỹ Latinh (APLA).</t>
  </si>
  <si>
    <t>Bốn khu vực cộng Global Brand Divisions bằng doanh thu NIKE Brand.</t>
  </si>
  <si>
    <t>Mảng kinh doanh riêng của NIKE, Inc.: bán trực tiếp, bán buôn và cấp phép thương hiệu Converse.</t>
  </si>
  <si>
    <t>Không tính vào NIKE Direct và bán buôn của NIKE Brand.</t>
  </si>
  <si>
    <t>Doanh thu: chủ yếu là lãi/lỗ phòng ngừa rủi ro tỷ giá liên quan đến doanh thu. Chi phí: chủ yếu là chi phí hành chính chung không chia cho bộ phận nào (phòng ban quản lý tập trung, trụ sở, bảo hiểm, phúc lợi).</t>
  </si>
  <si>
    <t>Doanh thu có thể âm. Chỉ dùng khi cộng đối chiếu ra doanh thu NIKE, Inc.</t>
  </si>
  <si>
    <t>Gross margin</t>
  </si>
  <si>
    <t>Lợi nhuận gộp / doanh thu.</t>
  </si>
  <si>
    <t>Chỉ có ở phạm vi NIKE, Inc.; NIKE không công bố biên gộp theo kênh.</t>
  </si>
  <si>
    <t>Chi phí bán hàng và quản lý (SG&amp;A)</t>
  </si>
  <si>
    <t>Chi phí tạo nhu cầu (Demand creation: quảng cáo, tài trợ, sự kiện thương hiệu) cộng chi phí vận hành chung (Operating overhead: lương, thuê mặt bằng, chi phí hành chính khác).</t>
  </si>
  <si>
    <t>NIKE không công bố khoản này theo kênh.</t>
  </si>
  <si>
    <t>EBIT</t>
  </si>
  <si>
    <t>Earnings Before Interest and Taxes</t>
  </si>
  <si>
    <t>Lợi nhuận sau thuế + chi phí (thu nhập) lãi thuần + chi phí thuế thu nhập, theo định nghĩa của NIKE.</t>
  </si>
  <si>
    <t>Chỉ tiêu non‑GAAP. EBIT khu vực chưa trừ chi phí Global Brand Divisions và Corporate (NIKE không chia về khu vực).</t>
  </si>
  <si>
    <t>Tăng trưởng theo USD</t>
  </si>
  <si>
    <t>Reported growth (% change)</t>
  </si>
  <si>
    <t>Thay đổi so với cùng kỳ năm trước, tính bằng USD theo số báo cáo, chưa loại trừ ảnh hưởng tỷ giá.</t>
  </si>
  <si>
    <t>Tính ở sheet 05–06 từ số kỳ này và số cùng kỳ năm trước (thường in ngay trong báo cáo đó).</t>
  </si>
  <si>
    <t>Tăng trưởng loại trừ tỷ giá</t>
  </si>
  <si>
    <t>Currency-neutral growth (% change excluding currency changes)</t>
  </si>
  <si>
    <t>Tăng trưởng NIKE tính lại theo tỷ giá của cùng kỳ năm trước, để bỏ phần chênh lệch do quy đổi ngoại tệ.</t>
  </si>
  <si>
    <t>Chỉ tiêu non‑GAAP do NIKE tính, lấy nguyên văn từ MD&amp;A.</t>
  </si>
  <si>
    <t>Điểm %</t>
  </si>
  <si>
    <t>Percentage points</t>
  </si>
  <si>
    <t>Hiệu của hai tỷ lệ %, ví dụ từ 30% lên 35% là +5 điểm %.</t>
  </si>
  <si>
    <t>Dùng cho thay đổi của tỷ trọng, của biên lợi nhuận và ở mục F sheet 05–06.</t>
  </si>
  <si>
    <t>Accession number</t>
  </si>
  <si>
    <t>Mã SEC cấp cho mỗi lần nộp báo cáo, dùng để tìm đúng tài liệu trên EDGAR.</t>
  </si>
  <si>
    <t>Cột “Số hồ sơ SEC” ở sheet 02–04 và mục A dưới đây.</t>
  </si>
  <si>
    <t>GAAP / Non-GAAP</t>
  </si>
  <si>
    <t>U.S. GAAP / non‑GAAP financial measure</t>
  </si>
  <si>
    <t>GAAP: số theo chuẩn mực kế toán Mỹ, nằm trong báo cáo tài chính. Non-GAAP: chỉ tiêu công ty tự định nghĩa, nằm ngoài báo cáo tài chính.</t>
  </si>
  <si>
    <t>Xem cột “Loại số liệu” ở sheet 02–04.</t>
  </si>
  <si>
    <t>XBRL</t>
  </si>
  <si>
    <t>eXtensible Business Reporting Language</t>
  </si>
  <si>
    <t>Nhãn dữ liệu gắn vào các con số trong báo cáo nộp SEC để máy đọc được.</t>
  </si>
  <si>
    <t>Báo cáo FY2019 dùng tệp XBRL riêng; từ quý 1 FY2020, nhãn nằm ngay trong báo cáo.</t>
  </si>
  <si>
    <t>C. Số liệu còn thiếu và giới hạn</t>
  </si>
  <si>
    <t>Vấn đề</t>
  </si>
  <si>
    <t>Mô tả</t>
  </si>
  <si>
    <t>Cách xử lý</t>
  </si>
  <si>
    <t>Lợi nhuận và chi phí theo kênh</t>
  </si>
  <si>
    <t>Không công bố</t>
  </si>
  <si>
    <t>NIKE không công bố lợi nhuận, biên gộp hay chi phí riêng của NIKE Direct và bán buôn.</t>
  </si>
  <si>
    <t>Không ước tính. Các chỉ số lợi nhuận chỉ tính cho NIKE, Inc. và cho từng khu vực.</t>
  </si>
  <si>
    <t>Quý 4</t>
  </si>
  <si>
    <t>Tự tính</t>
  </si>
  <si>
    <t>Không có báo cáo 10‑Q cho quý 4.</t>
  </si>
  <si>
    <t>Số quý 4 = cả năm trừ 9 tháng đầu. Số nào có trong thông cáo kết quả quý 4 đều khớp; thông cáo không có NIKE Direct, bán buôn và Digital. Tỷ lệ % quý 4 lấy từ thông cáo; tỷ lệ nào NIKE không nêu (phần lớn tỷ lệ của NIKE Direct, bán buôn và tỷ trọng) thì để trống.</t>
  </si>
  <si>
    <t>Doanh số Digital</t>
  </si>
  <si>
    <t>Độ chính xác thấp</t>
  </si>
  <si>
    <t>Chỉ có trong MD&amp;A. Quý 1–3 FY2019 tính đến triệu USD; số cả năm và các quý từ FY2020 làm tròn đến 0,1 tỷ USD.</t>
  </si>
  <si>
    <t>Số quý 4 và tỷ trọng Digital trong NIKE Direct chỉ là xấp xỉ. Không tính tăng trưởng Digital: tính từ số đã làm tròn sẽ lệch với tỷ lệ NIKE nêu (ví dụ FY2020: 44,7% so với 47%).</t>
  </si>
  <si>
    <t>Không tự tính lại được</t>
  </si>
  <si>
    <t>Muốn tính lại cần doanh thu theo từng loại tiền tệ, mà NIKE không công bố.</t>
  </si>
  <si>
    <t>Lấy từ bảng doanh thu trong MD&amp;A; tỷ lệ của NIKE, Inc., NIKE Brand và NIKE Direct còn khớp với chỗ NIKE in lại trong cùng báo cáo. Cả 36 tỷ lệ quý đã đọc lại trên trang 10‑Q.</t>
  </si>
  <si>
    <t>Số năm trước của FY2019 theo kênh và khu vực</t>
  </si>
  <si>
    <t>Lấy từ MD&amp;A</t>
  </si>
  <si>
    <t>Thuyết minh doanh thu theo kênh bắt đầu từ FY2019, nên phần XBRL không có số FY2018.</t>
  </si>
  <si>
    <t>Lấy số năm trước từ bảng doanh thu trong MD&amp;A của chính báo cáo đó.</t>
  </si>
  <si>
    <t>Tồn kho cuối quý của FY2018</t>
  </si>
  <si>
    <t>Không có trong bộ báo cáo</t>
  </si>
  <si>
    <t>Cần báo cáo 10‑Q của FY2018, ngoài phạm vi đề tài.</t>
  </si>
  <si>
    <t>Thay đổi tồn kho so với cùng kỳ của Q1–Q3 FY2019 để trống.</t>
  </si>
  <si>
    <t>D. Số cũ được in lại ở báo cáo năm sau</t>
  </si>
  <si>
    <t>Kiểm tra</t>
  </si>
  <si>
    <t>Kết quả</t>
  </si>
  <si>
    <t>Chi tiết</t>
  </si>
  <si>
    <t>Ảnh hưởng</t>
  </si>
  <si>
    <t>So với 10‑K FY2020–FY2023 và 10‑Q FY2020–FY2022</t>
  </si>
  <si>
    <t>0 số thay đổi</t>
  </si>
  <si>
    <t>519 số được in lại ở ít nhất một báo cáo sau, tất cả giống số gốc (số Digital chỉ khác cách làm tròn, ví dụ 1.747 triệu USD và 1,7 tỷ USD).</t>
  </si>
  <si>
    <t>Không cần điều chỉnh.</t>
  </si>
  <si>
    <t>E. Trạng thái dữ liệu</t>
  </si>
  <si>
    <t>Trạng thái</t>
  </si>
  <si>
    <t>Tiếng Anh</t>
  </si>
  <si>
    <t>Ý nghĩa</t>
  </si>
  <si>
    <t>Số lượng</t>
  </si>
  <si>
    <t>Matched to official source</t>
  </si>
  <si>
    <t>Đã kiểm tra lại và khớp: so với chỗ khác NIKE in cùng số (bảng trong MD&amp;A, bảng số liệu quý của 10‑K, thông cáo quý 4, báo cáo năm sau), với số lũy kế, với số tính lại từ báo cáo tài chính, hoặc đọc lại trên trang báo cáo.</t>
  </si>
  <si>
    <t>Missing or undisclosed</t>
  </si>
  <si>
    <t>NIKE không nêu số này cho kỳ đó (không có trong 10‑K, 10‑Q và thông cáo kết quả quý 4). Để trống, không điền 0.</t>
  </si>
  <si>
    <t>F. Kết quả đối chiếu</t>
  </si>
  <si>
    <t>Ngày</t>
  </si>
  <si>
    <t>Thuyết minh so với bảng MD&amp;A</t>
  </si>
  <si>
    <t>240/240 khớp</t>
  </si>
  <si>
    <t>Doanh thu theo kênh và theo khu vực, EBIT khu vực ở thuyết minh so với các bảng trong MD&amp;A của chính báo cáo đó.</t>
  </si>
  <si>
    <t>25/10/2026</t>
  </si>
  <si>
    <t>Tỷ lệ % so với chỗ NIKE in lại trong cùng báo cáo</t>
  </si>
  <si>
    <t>60/60 khớp</t>
  </si>
  <si>
    <t>Tỷ lệ tăng của NIKE, Inc. và NIKE Brand in lại ở bảng doanh thu theo khu vực; tỷ lệ loại trừ tỷ giá của NIKE Direct in lại trong một câu ở MD&amp;A.</t>
  </si>
  <si>
    <t>Cộng các quý so với số lũy kế</t>
  </si>
  <si>
    <t>186/186 khớp</t>
  </si>
  <si>
    <t>Quý 1 + quý 2 so với số 6 tháng (10‑Q quý 2), quý 1 + quý 2 + quý 3 so với số 9 tháng (10‑Q quý 3). Chênh tối đa 1 triệu USD do làm tròn; với số Digital, chênh không quá mức làm tròn của NIKE.</t>
  </si>
  <si>
    <t>Số quý so với bảng số liệu quý của 10‑K</t>
  </si>
  <si>
    <t>24/24 khớp</t>
  </si>
  <si>
    <t>10‑K FY2019 và FY2020 có bảng doanh thu, lợi nhuận gộp và lợi nhuận sau thuế từng quý, dùng để kiểm tra cả số quý 4 tự tính. 10‑K FY2021 không còn bảng này.</t>
  </si>
  <si>
    <t>Số quý 4 tự tính so với thông cáo kết quả quý 4</t>
  </si>
  <si>
    <t>Thông cáo kết quả quý 4 (8‑K) in số riêng của quý 4: báo cáo kết quả kinh doanh, doanh thu theo khu vực, EBIT. Mọi số quý 4 tự tính có trong thông cáo đều khớp; thông cáo không có NIKE Direct, bán buôn và Digital.</t>
  </si>
  <si>
    <t>Kiểm tra cộng trừ và so với tỷ lệ NIKE công bố</t>
  </si>
  <si>
    <t>Đạt</t>
  </si>
  <si>
    <t>Xem mục E và F ở sheet 05 và 06.</t>
  </si>
  <si>
    <t>Đọc lại trên trang 10‑Q</t>
  </si>
  <si>
    <t>36/36 khớp</t>
  </si>
  <si>
    <t>36 tỷ lệ tăng trưởng loại trừ tỷ giá của quý 1–3 được đọc lại trên đúng trang 10‑Q (tỷ lệ của bán buôn chỉ in một lần trong mỗi 10‑Q). Ảnh chụp ở trang “Đối chiếu 36 số” trên dashboard web.</t>
  </si>
  <si>
    <t>G. NIKE tự giải thích trong 10-K (trích nguyên văn)</t>
  </si>
  <si>
    <t>Báo cáo, trang</t>
  </si>
  <si>
    <t>Trích dẫn (tiếng Anh)</t>
  </si>
  <si>
    <t>Ý chính</t>
  </si>
  <si>
    <t>Vì sao</t>
  </si>
  <si>
    <t>10‑K FY2019, tr. 31</t>
  </si>
  <si>
    <t>In the current marketplace environment, we believe there continues to be a meaningful shift in the way consumers shop for product and make purchasing decisions. Consumers are demanding a constant flow of fresh and innovative product, and have an expectation for superior service and rapid delivery, all fueled by the shift toward digital and mono-brand experiences in NIKE Direct.</t>
  </si>
  <si>
    <t>NIKE cho rằng cách người tiêu dùng mua sắm vẫn đang thay đổi rõ rệt. Họ đòi hỏi sản phẩm mới liên tục, dịch vụ tốt, giao hàng nhanh, tất cả được thúc đẩy bởi xu hướng chuyển sang trải nghiệm Digital và trải nghiệm chỉ một thương hiệu (mono-brand) trong NIKE Direct.</t>
  </si>
  <si>
    <t>Chiến lược</t>
  </si>
  <si>
    <t>10‑K FY2019, tr. 24</t>
  </si>
  <si>
    <t>Through the Consumer Direct Offense, we are focusing on our Triple Double strategy, with the objective of doubling the impact of innovation, increasing our speed to market and growing our direct connections with consumers.</t>
  </si>
  <si>
    <t>Thông qua Consumer Direct Offense, NIKE tập trung vào chiến lược “Triple Double”, với mục tiêu nhân đôi tác động của đổi mới, đưa hàng ra thị trường nhanh hơn và tăng kết nối trực tiếp với người tiêu dùng.</t>
  </si>
  <si>
    <t>10‑K FY2020, tr. 27</t>
  </si>
  <si>
    <t>In June 2020, we announced a new digitally empowered phase of the Consumer Direct Offense strategy: Consumer Direct Acceleration.</t>
  </si>
  <si>
    <t>Tháng 6/2020, NIKE công bố giai đoạn mới của chiến lược Consumer Direct Offense, dựa trên sức mạnh công nghệ số, gọi là Consumer Direct Acceleration.</t>
  </si>
  <si>
    <t>This next phase of our Consumer Direct Offense is expected to drive sustainable growth and profitability as we accelerate NIKE to a digital-first company.</t>
  </si>
  <si>
    <t>NIKE kỳ vọng giai đoạn này mang lại tăng trưởng và lợi nhuận bền vững, khi NIKE đẩy nhanh việc trở thành công ty ưu tiên kênh số (digital-first).</t>
  </si>
  <si>
    <t>10‑K FY2021, tr. 28</t>
  </si>
  <si>
    <t>Our NIKE Direct business fueled our growth throughout the year as we navigated the pandemic, leveraging our digital platforms with our store footprint to connect directly with the consumer.</t>
  </si>
  <si>
    <t>Theo NIKE, NIKE Direct là động lực tăng trưởng suốt FY2021 trong đại dịch, nhờ kết hợp nền tảng số với hệ thống cửa hàng để kết nối trực tiếp với người tiêu dùng.</t>
  </si>
  <si>
    <t>Lợi nhuận</t>
  </si>
  <si>
    <t>10‑K FY2021, tr. 34</t>
  </si>
  <si>
    <t>Additionally, the favorable impact of growth in our higher margin NIKE Direct business, led by NIKE owned Digital, was more than offset by higher promotions in our factory stores during the first half of fiscal 2021 to reduce excess inventory as a result of COVID-19.</t>
  </si>
  <si>
    <t>NIKE Direct, dẫn đầu là Digital, có biên lợi nhuận cao hơn. Nhưng trong FY2021, phần lợi từ tăng trưởng của NIKE Direct bị lấn át bởi việc tăng khuyến mại ở cửa hàng outlet nửa đầu năm để giảm tồn kho dư do COVID‑19.</t>
  </si>
  <si>
    <t>Chi phí</t>
  </si>
  <si>
    <t>Demand creation expense decreased 13% for fiscal 2021, due to lower marketing and advertising expenses for our brand events and retail operations, as well as lower sports marketing expense as sporting events were postponed due to COVID-19.</t>
  </si>
  <si>
    <t>Chi phí tạo nhu cầu FY2021 giảm 13%: chi marketing và quảng cáo cho sự kiện thương hiệu và hoạt động bán lẻ giảm, chi tài trợ thể thao cũng giảm vì các giải đấu bị hoãn do COVID‑19.</t>
  </si>
</sst>
</file>

<file path=xl/styles.xml><?xml version="1.0" encoding="utf-8"?>
<styleSheet xmlns="http://schemas.openxmlformats.org/spreadsheetml/2006/main">
  <numFmts count="9">
    <numFmt numFmtId="164" formatCode="#,##0;(#,##0);0"/>
    <numFmt numFmtId="165" formatCode="0%;−0%;0%"/>
    <numFmt numFmtId="166" formatCode="0.0##"/>
    <numFmt numFmtId="167" formatCode="0.0%;−0.0%;0.0%"/>
    <numFmt numFmtId="168" formatCode="+0.0;−0.0;0.0"/>
    <numFmt numFmtId="169" formatCode="0%"/>
    <numFmt numFmtId="170" formatCode="#,##0"/>
    <numFmt numFmtId="171" formatCode="+0.00;−0.00;0.00"/>
    <numFmt numFmtId="172" formatCode="0.00"/>
  </numFmts>
  <fonts count="11">
    <font>
      <sz val="10"/>
      <color theme="1"/>
      <name val="Arial"/>
      <family val="2"/>
    </font>
    <font>
      <b/>
      <sz val="16"/>
      <color theme="1"/>
      <name val="Arial"/>
      <family val="2"/>
    </font>
    <font>
      <sz val="10"/>
      <color rgb="FF444444"/>
      <name val="Arial"/>
      <family val="2"/>
    </font>
    <font>
      <b/>
      <sz val="11"/>
      <color theme="1"/>
      <name val="Arial"/>
      <family val="2"/>
    </font>
    <font>
      <b/>
      <sz val="10"/>
      <color theme="1"/>
      <name val="Arial"/>
      <family val="2"/>
    </font>
    <font>
      <u/>
      <sz val="10"/>
      <color rgb="FF1F4E9A"/>
      <name val="Arial"/>
      <family val="2"/>
    </font>
    <font>
      <b/>
      <sz val="14"/>
      <color theme="1"/>
      <name val="Arial"/>
      <family val="2"/>
    </font>
    <font>
      <sz val="10"/>
      <color rgb="FF0000FF"/>
      <name val="Arial"/>
      <family val="2"/>
    </font>
    <font>
      <i/>
      <sz val="10"/>
      <color rgb="FF0000FF"/>
      <name val="Arial"/>
      <family val="2"/>
    </font>
    <font>
      <sz val="10"/>
      <color rgb="FF6B6B6B"/>
      <name val="Arial"/>
      <family val="2"/>
    </font>
    <font>
      <sz val="10"/>
      <color rgb="FF008000"/>
      <name val="Arial"/>
      <family val="2"/>
    </font>
  </fonts>
  <fills count="5">
    <fill>
      <patternFill patternType="none"/>
    </fill>
    <fill>
      <patternFill patternType="gray125"/>
    </fill>
    <fill>
      <patternFill patternType="solid">
        <fgColor rgb="FFE7EAEE"/>
        <bgColor indexed="64"/>
      </patternFill>
    </fill>
    <fill>
      <patternFill patternType="solid">
        <fgColor rgb="FFFFF2CC"/>
        <bgColor indexed="64"/>
      </patternFill>
    </fill>
    <fill>
      <patternFill patternType="solid">
        <fgColor rgb="FFF3F4F6"/>
        <bgColor indexed="64"/>
      </patternFill>
    </fill>
  </fills>
  <borders count="3">
    <border>
      <left/>
      <right/>
      <top/>
      <bottom/>
      <diagonal/>
    </border>
    <border>
      <left/>
      <right/>
      <top/>
      <bottom style="thin">
        <color auto="1"/>
      </bottom>
      <diagonal/>
    </border>
    <border>
      <left/>
      <right/>
      <top style="thin">
        <color auto="1"/>
      </top>
      <bottom/>
      <diagonal/>
    </border>
  </borders>
  <cellStyleXfs count="1">
    <xf numFmtId="0" fontId="0" fillId="0" borderId="0"/>
  </cellStyleXfs>
  <cellXfs count="41">
    <xf numFmtId="0" fontId="0" fillId="0" borderId="0" xfId="0"/>
    <xf numFmtId="0" fontId="1" fillId="0" borderId="0" xfId="0" applyFont="1" applyAlignment="1">
      <alignment vertical="top"/>
    </xf>
    <xf numFmtId="0" fontId="2" fillId="0" borderId="0" xfId="0" applyFont="1" applyAlignment="1">
      <alignment vertical="top"/>
    </xf>
    <xf numFmtId="0" fontId="3" fillId="0" borderId="1" xfId="0" applyFont="1" applyBorder="1" applyAlignment="1">
      <alignment vertical="top"/>
    </xf>
    <xf numFmtId="0" fontId="4" fillId="0" borderId="0" xfId="0" applyFont="1" applyAlignment="1">
      <alignment vertical="top" wrapText="1"/>
    </xf>
    <xf numFmtId="0" fontId="0" fillId="0" borderId="0" xfId="0" applyAlignment="1">
      <alignment vertical="top" wrapText="1"/>
    </xf>
    <xf numFmtId="0" fontId="5" fillId="0" borderId="0" xfId="0" applyFont="1" applyAlignment="1">
      <alignment vertical="top"/>
    </xf>
    <xf numFmtId="0" fontId="6" fillId="0" borderId="0" xfId="0" applyFont="1" applyAlignment="1">
      <alignment vertical="top"/>
    </xf>
    <xf numFmtId="0" fontId="2" fillId="0" borderId="0" xfId="0" applyFont="1" applyAlignment="1">
      <alignment vertical="top" wrapText="1"/>
    </xf>
    <xf numFmtId="0" fontId="4" fillId="2" borderId="1" xfId="0" applyFont="1" applyFill="1" applyBorder="1" applyAlignment="1">
      <alignment vertical="center" wrapText="1"/>
    </xf>
    <xf numFmtId="0" fontId="4" fillId="3" borderId="1" xfId="0" applyFont="1" applyFill="1" applyBorder="1" applyAlignment="1">
      <alignment vertical="center" wrapText="1"/>
    </xf>
    <xf numFmtId="0" fontId="0" fillId="0" borderId="0" xfId="0" applyAlignment="1">
      <alignment vertical="top"/>
    </xf>
    <xf numFmtId="164" fontId="7" fillId="0" borderId="0" xfId="0" applyNumberFormat="1" applyFont="1" applyAlignment="1">
      <alignment vertical="top"/>
    </xf>
    <xf numFmtId="0" fontId="5" fillId="0" borderId="0" xfId="0" applyFont="1" applyAlignment="1">
      <alignment vertical="top" wrapText="1"/>
    </xf>
    <xf numFmtId="0" fontId="0" fillId="0" borderId="0" xfId="0" applyAlignment="1">
      <alignment horizontal="center" vertical="top"/>
    </xf>
    <xf numFmtId="165" fontId="7" fillId="0" borderId="0" xfId="0" applyNumberFormat="1" applyFont="1" applyAlignment="1">
      <alignment vertical="top"/>
    </xf>
    <xf numFmtId="166" fontId="7" fillId="0" borderId="0" xfId="0" applyNumberFormat="1" applyFont="1" applyAlignment="1">
      <alignment vertical="top"/>
    </xf>
    <xf numFmtId="164" fontId="8" fillId="0" borderId="0" xfId="0" applyNumberFormat="1" applyFont="1" applyAlignment="1">
      <alignment vertical="top"/>
    </xf>
    <xf numFmtId="0" fontId="0" fillId="0" borderId="0" xfId="0" applyAlignment="1">
      <alignment horizontal="center" vertical="top" wrapText="1"/>
    </xf>
    <xf numFmtId="166" fontId="8" fillId="0" borderId="0" xfId="0" applyNumberFormat="1" applyFont="1" applyAlignment="1">
      <alignment vertical="top"/>
    </xf>
    <xf numFmtId="0" fontId="4" fillId="2" borderId="1" xfId="0" applyFont="1" applyFill="1" applyBorder="1" applyAlignment="1">
      <alignment horizontal="right" vertical="center"/>
    </xf>
    <xf numFmtId="0" fontId="4" fillId="2" borderId="1" xfId="0" applyFont="1" applyFill="1" applyBorder="1" applyAlignment="1">
      <alignment horizontal="left" vertical="center" indent="1" wrapText="1"/>
    </xf>
    <xf numFmtId="0" fontId="4" fillId="4" borderId="2" xfId="0" applyFont="1" applyFill="1" applyBorder="1" applyAlignment="1">
      <alignment vertical="top"/>
    </xf>
    <xf numFmtId="0" fontId="9" fillId="0" borderId="0" xfId="0" applyFont="1" applyAlignment="1">
      <alignment vertical="top"/>
    </xf>
    <xf numFmtId="164" fontId="10" fillId="0" borderId="0" xfId="0" applyNumberFormat="1" applyFont="1" applyAlignment="1">
      <alignment vertical="top"/>
    </xf>
    <xf numFmtId="0" fontId="9" fillId="0" borderId="0" xfId="0" applyFont="1" applyAlignment="1">
      <alignment horizontal="left" vertical="top" indent="1"/>
    </xf>
    <xf numFmtId="165" fontId="10" fillId="0" borderId="0" xfId="0" applyNumberFormat="1" applyFont="1" applyAlignment="1">
      <alignment vertical="top"/>
    </xf>
    <xf numFmtId="166" fontId="10" fillId="0" borderId="0" xfId="0" applyNumberFormat="1" applyFont="1" applyAlignment="1">
      <alignment vertical="top"/>
    </xf>
    <xf numFmtId="1" fontId="7" fillId="0" borderId="0" xfId="0" applyNumberFormat="1" applyFont="1" applyAlignment="1">
      <alignment vertical="top"/>
    </xf>
    <xf numFmtId="167" fontId="0" fillId="0" borderId="0" xfId="0" applyNumberFormat="1" applyAlignment="1">
      <alignment horizontal="right" vertical="top"/>
    </xf>
    <xf numFmtId="0" fontId="0" fillId="0" borderId="0" xfId="0" applyAlignment="1">
      <alignment horizontal="left" vertical="top" indent="1" wrapText="1"/>
    </xf>
    <xf numFmtId="168" fontId="0" fillId="0" borderId="0" xfId="0" applyNumberFormat="1" applyAlignment="1">
      <alignment horizontal="right" vertical="top"/>
    </xf>
    <xf numFmtId="169" fontId="0" fillId="0" borderId="0" xfId="0" applyNumberFormat="1" applyAlignment="1">
      <alignment horizontal="right" vertical="top"/>
    </xf>
    <xf numFmtId="170" fontId="0" fillId="0" borderId="0" xfId="0" applyNumberFormat="1" applyAlignment="1">
      <alignment horizontal="right" vertical="top"/>
    </xf>
    <xf numFmtId="164" fontId="0" fillId="0" borderId="0" xfId="0" applyNumberFormat="1" applyAlignment="1">
      <alignment horizontal="right" vertical="top"/>
    </xf>
    <xf numFmtId="1" fontId="0" fillId="0" borderId="0" xfId="0" applyNumberFormat="1" applyAlignment="1">
      <alignment horizontal="right" vertical="top"/>
    </xf>
    <xf numFmtId="0" fontId="4" fillId="0" borderId="0" xfId="0" applyFont="1" applyAlignment="1">
      <alignment horizontal="left" vertical="top" indent="1"/>
    </xf>
    <xf numFmtId="171" fontId="0" fillId="0" borderId="0" xfId="0" applyNumberFormat="1" applyAlignment="1">
      <alignment horizontal="right" vertical="top"/>
    </xf>
    <xf numFmtId="172" fontId="7" fillId="0" borderId="0" xfId="0" applyNumberFormat="1" applyFont="1" applyAlignment="1">
      <alignment vertical="top"/>
    </xf>
    <xf numFmtId="0" fontId="3" fillId="0" borderId="0" xfId="0" applyFont="1" applyAlignment="1">
      <alignment vertical="top"/>
    </xf>
    <xf numFmtId="0" fontId="5" fillId="0" borderId="0" xfId="0" applyFont="1" applyAlignment="1">
      <alignment horizontal="left" vertical="top" indent="1" wrapText="1"/>
    </xf>
  </cellXfs>
  <cellStyles count="1">
    <cellStyle name="Normal" xfId="0" builtinId="0"/>
  </cellStyles>
  <dxfs count="5">
    <dxf>
      <fill>
        <patternFill>
          <bgColor rgb="FFFFF4CE"/>
        </patternFill>
      </fill>
    </dxf>
    <dxf>
      <font>
        <i/>
        <color rgb="FF6B6B6B"/>
      </font>
    </dxf>
    <dxf>
      <fill>
        <patternFill>
          <bgColor rgb="FFE2F0D9"/>
        </patternFill>
      </fill>
    </dxf>
    <dxf>
      <font>
        <b/>
      </font>
      <fill>
        <patternFill>
          <bgColor rgb="FFF8D7DA"/>
        </patternFill>
      </fill>
    </dxf>
    <dxf>
      <font>
        <b/>
        <color rgb="FFC00000"/>
      </font>
    </dxf>
  </dxfs>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worksheet" Target="worksheets/sheet6.xml"/><Relationship Id="rId7" Type="http://schemas.openxmlformats.org/officeDocument/2006/relationships/worksheet" Target="worksheets/sheet7.xml"/><Relationship Id="rId8" Type="http://schemas.openxmlformats.org/officeDocument/2006/relationships/theme" Target="theme/theme1.xml"/><Relationship Id="rId9" Type="http://schemas.openxmlformats.org/officeDocument/2006/relationships/styles" Target="styles.xml"/><Relationship Id="rId10"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hyperlink" Target="https://miurikyasakytg2006-dot.github.io/nike-financial-dashboard/" TargetMode="External"/></Relationships>
</file>

<file path=xl/worksheets/_rels/sheet2.xml.rels><?xml version="1.0" encoding="UTF-8" standalone="yes"?>
<Relationships xmlns="http://schemas.openxmlformats.org/package/2006/relationships"><Relationship Id="rId1" Type="http://schemas.openxmlformats.org/officeDocument/2006/relationships/hyperlink" Target="https://www.sec.gov/Archives/edgar/data/320187/000032018719000051/nke-531201910k.htm" TargetMode="External"/><Relationship Id="rId2" Type="http://schemas.openxmlformats.org/officeDocument/2006/relationships/hyperlink" Target="https://www.sec.gov/Archives/edgar/data/320187/000032018720000047/nke-531202010k.htm" TargetMode="External"/><Relationship Id="rId3" Type="http://schemas.openxmlformats.org/officeDocument/2006/relationships/hyperlink" Target="https://www.sec.gov/Archives/edgar/data/320187/000032018721000028/nke-20210531.htm" TargetMode="External"/><Relationship Id="rId4" Type="http://schemas.openxmlformats.org/officeDocument/2006/relationships/hyperlink" Target="https://www.sec.gov/Archives/edgar/data/320187/000032018719000051/nke-531201910k.htm" TargetMode="External"/><Relationship Id="rId5" Type="http://schemas.openxmlformats.org/officeDocument/2006/relationships/hyperlink" Target="https://www.sec.gov/Archives/edgar/data/320187/000032018720000047/nke-531202010k.htm" TargetMode="External"/><Relationship Id="rId6" Type="http://schemas.openxmlformats.org/officeDocument/2006/relationships/hyperlink" Target="https://www.sec.gov/Archives/edgar/data/320187/000032018721000028/nke-20210531.htm" TargetMode="External"/><Relationship Id="rId7" Type="http://schemas.openxmlformats.org/officeDocument/2006/relationships/hyperlink" Target="https://www.sec.gov/Archives/edgar/data/320187/000032018719000051/nke-531201910k.htm" TargetMode="External"/><Relationship Id="rId8" Type="http://schemas.openxmlformats.org/officeDocument/2006/relationships/hyperlink" Target="https://www.sec.gov/Archives/edgar/data/320187/000032018720000047/nke-531202010k.htm" TargetMode="External"/><Relationship Id="rId9" Type="http://schemas.openxmlformats.org/officeDocument/2006/relationships/hyperlink" Target="https://www.sec.gov/Archives/edgar/data/320187/000032018721000028/nke-20210531.htm" TargetMode="External"/><Relationship Id="rId10" Type="http://schemas.openxmlformats.org/officeDocument/2006/relationships/hyperlink" Target="https://www.sec.gov/Archives/edgar/data/320187/000032018719000051/nke-531201910k.htm" TargetMode="External"/><Relationship Id="rId11" Type="http://schemas.openxmlformats.org/officeDocument/2006/relationships/hyperlink" Target="https://www.sec.gov/Archives/edgar/data/320187/000032018720000047/nke-531202010k.htm" TargetMode="External"/><Relationship Id="rId12" Type="http://schemas.openxmlformats.org/officeDocument/2006/relationships/hyperlink" Target="https://www.sec.gov/Archives/edgar/data/320187/000032018721000028/nke-20210531.htm" TargetMode="External"/><Relationship Id="rId13" Type="http://schemas.openxmlformats.org/officeDocument/2006/relationships/hyperlink" Target="https://www.sec.gov/Archives/edgar/data/320187/000032018719000051/nke-531201910k.htm" TargetMode="External"/><Relationship Id="rId14" Type="http://schemas.openxmlformats.org/officeDocument/2006/relationships/hyperlink" Target="https://www.sec.gov/Archives/edgar/data/320187/000032018720000047/nke-531202010k.htm" TargetMode="External"/><Relationship Id="rId15" Type="http://schemas.openxmlformats.org/officeDocument/2006/relationships/hyperlink" Target="https://www.sec.gov/Archives/edgar/data/320187/000032018721000028/nke-20210531.htm" TargetMode="External"/><Relationship Id="rId16" Type="http://schemas.openxmlformats.org/officeDocument/2006/relationships/hyperlink" Target="https://www.sec.gov/Archives/edgar/data/320187/000032018719000051/nke-531201910k.htm" TargetMode="External"/><Relationship Id="rId17" Type="http://schemas.openxmlformats.org/officeDocument/2006/relationships/hyperlink" Target="https://www.sec.gov/Archives/edgar/data/320187/000032018720000047/nke-531202010k.htm" TargetMode="External"/><Relationship Id="rId18" Type="http://schemas.openxmlformats.org/officeDocument/2006/relationships/hyperlink" Target="https://www.sec.gov/Archives/edgar/data/320187/000032018721000028/nke-20210531.htm" TargetMode="External"/><Relationship Id="rId19" Type="http://schemas.openxmlformats.org/officeDocument/2006/relationships/hyperlink" Target="https://www.sec.gov/Archives/edgar/data/320187/000032018719000051/nke-531201910k.htm" TargetMode="External"/><Relationship Id="rId20" Type="http://schemas.openxmlformats.org/officeDocument/2006/relationships/hyperlink" Target="https://www.sec.gov/Archives/edgar/data/320187/000032018720000047/nke-531202010k.htm" TargetMode="External"/><Relationship Id="rId21" Type="http://schemas.openxmlformats.org/officeDocument/2006/relationships/hyperlink" Target="https://www.sec.gov/Archives/edgar/data/320187/000032018721000028/nke-20210531.htm" TargetMode="External"/><Relationship Id="rId22" Type="http://schemas.openxmlformats.org/officeDocument/2006/relationships/hyperlink" Target="https://www.sec.gov/Archives/edgar/data/320187/000032018719000051/nke-531201910k.htm" TargetMode="External"/><Relationship Id="rId23" Type="http://schemas.openxmlformats.org/officeDocument/2006/relationships/hyperlink" Target="https://www.sec.gov/Archives/edgar/data/320187/000032018720000047/nke-531202010k.htm" TargetMode="External"/><Relationship Id="rId24" Type="http://schemas.openxmlformats.org/officeDocument/2006/relationships/hyperlink" Target="https://www.sec.gov/Archives/edgar/data/320187/000032018721000028/nke-20210531.htm" TargetMode="External"/><Relationship Id="rId25" Type="http://schemas.openxmlformats.org/officeDocument/2006/relationships/hyperlink" Target="https://www.sec.gov/Archives/edgar/data/320187/000032018719000051/nke-531201910k.htm" TargetMode="External"/><Relationship Id="rId26" Type="http://schemas.openxmlformats.org/officeDocument/2006/relationships/hyperlink" Target="https://www.sec.gov/Archives/edgar/data/320187/000032018720000047/nke-531202010k.htm" TargetMode="External"/><Relationship Id="rId27" Type="http://schemas.openxmlformats.org/officeDocument/2006/relationships/hyperlink" Target="https://www.sec.gov/Archives/edgar/data/320187/000032018721000028/nke-20210531.htm" TargetMode="External"/><Relationship Id="rId28" Type="http://schemas.openxmlformats.org/officeDocument/2006/relationships/hyperlink" Target="https://www.sec.gov/Archives/edgar/data/320187/000032018719000051/nke-531201910k.htm" TargetMode="External"/><Relationship Id="rId29" Type="http://schemas.openxmlformats.org/officeDocument/2006/relationships/hyperlink" Target="https://www.sec.gov/Archives/edgar/data/320187/000032018720000047/nke-531202010k.htm" TargetMode="External"/><Relationship Id="rId30" Type="http://schemas.openxmlformats.org/officeDocument/2006/relationships/hyperlink" Target="https://www.sec.gov/Archives/edgar/data/320187/000032018721000028/nke-20210531.htm" TargetMode="External"/><Relationship Id="rId31" Type="http://schemas.openxmlformats.org/officeDocument/2006/relationships/hyperlink" Target="https://www.sec.gov/Archives/edgar/data/320187/000032018719000051/nke-531201910k.htm" TargetMode="External"/><Relationship Id="rId32" Type="http://schemas.openxmlformats.org/officeDocument/2006/relationships/hyperlink" Target="https://www.sec.gov/Archives/edgar/data/320187/000032018720000047/nke-531202010k.htm" TargetMode="External"/><Relationship Id="rId33" Type="http://schemas.openxmlformats.org/officeDocument/2006/relationships/hyperlink" Target="https://www.sec.gov/Archives/edgar/data/320187/000032018721000028/nke-20210531.htm" TargetMode="External"/><Relationship Id="rId34" Type="http://schemas.openxmlformats.org/officeDocument/2006/relationships/hyperlink" Target="https://www.sec.gov/Archives/edgar/data/320187/000032018719000051/nke-531201910k.htm" TargetMode="External"/><Relationship Id="rId35" Type="http://schemas.openxmlformats.org/officeDocument/2006/relationships/hyperlink" Target="https://www.sec.gov/Archives/edgar/data/320187/000032018720000047/nke-531202010k.htm" TargetMode="External"/><Relationship Id="rId36" Type="http://schemas.openxmlformats.org/officeDocument/2006/relationships/hyperlink" Target="https://www.sec.gov/Archives/edgar/data/320187/000032018721000028/nke-20210531.htm" TargetMode="External"/><Relationship Id="rId37" Type="http://schemas.openxmlformats.org/officeDocument/2006/relationships/hyperlink" Target="https://www.sec.gov/Archives/edgar/data/320187/000032018719000051/nke-531201910k.htm" TargetMode="External"/><Relationship Id="rId38" Type="http://schemas.openxmlformats.org/officeDocument/2006/relationships/hyperlink" Target="https://www.sec.gov/Archives/edgar/data/320187/000032018720000047/nke-531202010k.htm" TargetMode="External"/><Relationship Id="rId39" Type="http://schemas.openxmlformats.org/officeDocument/2006/relationships/hyperlink" Target="https://www.sec.gov/Archives/edgar/data/320187/000032018721000028/nke-20210531.htm" TargetMode="External"/><Relationship Id="rId40" Type="http://schemas.openxmlformats.org/officeDocument/2006/relationships/hyperlink" Target="https://www.sec.gov/Archives/edgar/data/320187/000032018719000051/nke-531201910k.htm" TargetMode="External"/><Relationship Id="rId41" Type="http://schemas.openxmlformats.org/officeDocument/2006/relationships/hyperlink" Target="https://www.sec.gov/Archives/edgar/data/320187/000032018720000047/nke-531202010k.htm" TargetMode="External"/><Relationship Id="rId42" Type="http://schemas.openxmlformats.org/officeDocument/2006/relationships/hyperlink" Target="https://www.sec.gov/Archives/edgar/data/320187/000032018721000028/nke-20210531.htm" TargetMode="External"/><Relationship Id="rId43" Type="http://schemas.openxmlformats.org/officeDocument/2006/relationships/hyperlink" Target="https://www.sec.gov/Archives/edgar/data/320187/000032018719000051/nke-531201910k.htm" TargetMode="External"/><Relationship Id="rId44" Type="http://schemas.openxmlformats.org/officeDocument/2006/relationships/hyperlink" Target="https://www.sec.gov/Archives/edgar/data/320187/000032018720000047/nke-531202010k.htm" TargetMode="External"/><Relationship Id="rId45" Type="http://schemas.openxmlformats.org/officeDocument/2006/relationships/hyperlink" Target="https://www.sec.gov/Archives/edgar/data/320187/000032018721000028/nke-20210531.htm" TargetMode="External"/><Relationship Id="rId46" Type="http://schemas.openxmlformats.org/officeDocument/2006/relationships/hyperlink" Target="https://www.sec.gov/Archives/edgar/data/320187/000032018719000051/nke-531201910k.htm" TargetMode="External"/><Relationship Id="rId47" Type="http://schemas.openxmlformats.org/officeDocument/2006/relationships/hyperlink" Target="https://www.sec.gov/Archives/edgar/data/320187/000032018720000047/nke-531202010k.htm" TargetMode="External"/><Relationship Id="rId48" Type="http://schemas.openxmlformats.org/officeDocument/2006/relationships/hyperlink" Target="https://www.sec.gov/Archives/edgar/data/320187/000032018721000028/nke-20210531.htm" TargetMode="External"/><Relationship Id="rId49" Type="http://schemas.openxmlformats.org/officeDocument/2006/relationships/hyperlink" Target="https://www.sec.gov/Archives/edgar/data/320187/000032018719000051/nke-531201910k.htm" TargetMode="External"/><Relationship Id="rId50" Type="http://schemas.openxmlformats.org/officeDocument/2006/relationships/hyperlink" Target="https://www.sec.gov/Archives/edgar/data/320187/000032018720000047/nke-531202010k.htm" TargetMode="External"/><Relationship Id="rId51" Type="http://schemas.openxmlformats.org/officeDocument/2006/relationships/hyperlink" Target="https://www.sec.gov/Archives/edgar/data/320187/000032018721000028/nke-20210531.htm" TargetMode="External"/><Relationship Id="rId52" Type="http://schemas.openxmlformats.org/officeDocument/2006/relationships/hyperlink" Target="https://www.sec.gov/Archives/edgar/data/320187/000032018719000051/nke-531201910k.htm" TargetMode="External"/><Relationship Id="rId53" Type="http://schemas.openxmlformats.org/officeDocument/2006/relationships/hyperlink" Target="https://www.sec.gov/Archives/edgar/data/320187/000032018720000047/nke-531202010k.htm" TargetMode="External"/><Relationship Id="rId54" Type="http://schemas.openxmlformats.org/officeDocument/2006/relationships/hyperlink" Target="https://www.sec.gov/Archives/edgar/data/320187/000032018721000028/nke-20210531.htm" TargetMode="External"/><Relationship Id="rId55" Type="http://schemas.openxmlformats.org/officeDocument/2006/relationships/hyperlink" Target="https://www.sec.gov/Archives/edgar/data/320187/000032018719000051/nke-531201910k.htm" TargetMode="External"/><Relationship Id="rId56" Type="http://schemas.openxmlformats.org/officeDocument/2006/relationships/hyperlink" Target="https://www.sec.gov/Archives/edgar/data/320187/000032018720000047/nke-531202010k.htm" TargetMode="External"/><Relationship Id="rId57" Type="http://schemas.openxmlformats.org/officeDocument/2006/relationships/hyperlink" Target="https://www.sec.gov/Archives/edgar/data/320187/000032018721000028/nke-20210531.htm" TargetMode="External"/><Relationship Id="rId58" Type="http://schemas.openxmlformats.org/officeDocument/2006/relationships/hyperlink" Target="https://www.sec.gov/Archives/edgar/data/320187/000032018719000051/nke-531201910k.htm" TargetMode="External"/><Relationship Id="rId59" Type="http://schemas.openxmlformats.org/officeDocument/2006/relationships/hyperlink" Target="https://www.sec.gov/Archives/edgar/data/320187/000032018720000047/nke-531202010k.htm" TargetMode="External"/><Relationship Id="rId60" Type="http://schemas.openxmlformats.org/officeDocument/2006/relationships/hyperlink" Target="https://www.sec.gov/Archives/edgar/data/320187/000032018721000028/nke-20210531.htm" TargetMode="External"/><Relationship Id="rId61" Type="http://schemas.openxmlformats.org/officeDocument/2006/relationships/hyperlink" Target="https://www.sec.gov/Archives/edgar/data/320187/000032018719000051/nke-531201910k.htm" TargetMode="External"/><Relationship Id="rId62" Type="http://schemas.openxmlformats.org/officeDocument/2006/relationships/hyperlink" Target="https://www.sec.gov/Archives/edgar/data/320187/000032018720000047/nke-531202010k.htm" TargetMode="External"/><Relationship Id="rId63" Type="http://schemas.openxmlformats.org/officeDocument/2006/relationships/hyperlink" Target="https://www.sec.gov/Archives/edgar/data/320187/000032018721000028/nke-20210531.htm" TargetMode="External"/><Relationship Id="rId64" Type="http://schemas.openxmlformats.org/officeDocument/2006/relationships/hyperlink" Target="https://www.sec.gov/Archives/edgar/data/320187/000032018719000051/nke-531201910k.htm" TargetMode="External"/><Relationship Id="rId65" Type="http://schemas.openxmlformats.org/officeDocument/2006/relationships/hyperlink" Target="https://www.sec.gov/Archives/edgar/data/320187/000032018720000047/nke-531202010k.htm" TargetMode="External"/><Relationship Id="rId66" Type="http://schemas.openxmlformats.org/officeDocument/2006/relationships/hyperlink" Target="https://www.sec.gov/Archives/edgar/data/320187/000032018721000028/nke-20210531.htm" TargetMode="External"/><Relationship Id="rId67" Type="http://schemas.openxmlformats.org/officeDocument/2006/relationships/hyperlink" Target="https://www.sec.gov/Archives/edgar/data/320187/000032018719000051/nke-531201910k.htm" TargetMode="External"/><Relationship Id="rId68" Type="http://schemas.openxmlformats.org/officeDocument/2006/relationships/hyperlink" Target="https://www.sec.gov/Archives/edgar/data/320187/000032018720000047/nke-531202010k.htm" TargetMode="External"/><Relationship Id="rId69" Type="http://schemas.openxmlformats.org/officeDocument/2006/relationships/hyperlink" Target="https://www.sec.gov/Archives/edgar/data/320187/000032018721000028/nke-20210531.htm" TargetMode="External"/><Relationship Id="rId70" Type="http://schemas.openxmlformats.org/officeDocument/2006/relationships/hyperlink" Target="https://www.sec.gov/Archives/edgar/data/320187/000032018719000051/nke-531201910k.htm" TargetMode="External"/><Relationship Id="rId71" Type="http://schemas.openxmlformats.org/officeDocument/2006/relationships/hyperlink" Target="https://www.sec.gov/Archives/edgar/data/320187/000032018720000047/nke-531202010k.htm" TargetMode="External"/><Relationship Id="rId72" Type="http://schemas.openxmlformats.org/officeDocument/2006/relationships/hyperlink" Target="https://www.sec.gov/Archives/edgar/data/320187/000032018721000028/nke-20210531.htm" TargetMode="External"/><Relationship Id="rId73" Type="http://schemas.openxmlformats.org/officeDocument/2006/relationships/hyperlink" Target="https://www.sec.gov/Archives/edgar/data/320187/000032018719000051/nke-531201910k.htm" TargetMode="External"/><Relationship Id="rId74" Type="http://schemas.openxmlformats.org/officeDocument/2006/relationships/hyperlink" Target="https://www.sec.gov/Archives/edgar/data/320187/000032018720000047/nke-531202010k.htm" TargetMode="External"/><Relationship Id="rId75" Type="http://schemas.openxmlformats.org/officeDocument/2006/relationships/hyperlink" Target="https://www.sec.gov/Archives/edgar/data/320187/000032018721000028/nke-20210531.htm" TargetMode="External"/><Relationship Id="rId76" Type="http://schemas.openxmlformats.org/officeDocument/2006/relationships/hyperlink" Target="https://www.sec.gov/Archives/edgar/data/320187/000032018719000051/nke-531201910k.htm" TargetMode="External"/><Relationship Id="rId77" Type="http://schemas.openxmlformats.org/officeDocument/2006/relationships/hyperlink" Target="https://www.sec.gov/Archives/edgar/data/320187/000032018720000047/nke-531202010k.htm" TargetMode="External"/><Relationship Id="rId78" Type="http://schemas.openxmlformats.org/officeDocument/2006/relationships/hyperlink" Target="https://www.sec.gov/Archives/edgar/data/320187/000032018721000028/nke-20210531.htm" TargetMode="External"/><Relationship Id="rId79" Type="http://schemas.openxmlformats.org/officeDocument/2006/relationships/hyperlink" Target="https://www.sec.gov/Archives/edgar/data/320187/000032018719000051/nke-531201910k.htm" TargetMode="External"/><Relationship Id="rId80" Type="http://schemas.openxmlformats.org/officeDocument/2006/relationships/hyperlink" Target="https://www.sec.gov/Archives/edgar/data/320187/000032018720000047/nke-531202010k.htm" TargetMode="External"/><Relationship Id="rId81" Type="http://schemas.openxmlformats.org/officeDocument/2006/relationships/hyperlink" Target="https://www.sec.gov/Archives/edgar/data/320187/000032018721000028/nke-20210531.htm" TargetMode="External"/><Relationship Id="rId82" Type="http://schemas.openxmlformats.org/officeDocument/2006/relationships/hyperlink" Target="https://www.sec.gov/Archives/edgar/data/320187/000032018719000051/nke-531201910k.htm" TargetMode="External"/><Relationship Id="rId83" Type="http://schemas.openxmlformats.org/officeDocument/2006/relationships/hyperlink" Target="https://www.sec.gov/Archives/edgar/data/320187/000032018720000047/nke-531202010k.htm" TargetMode="External"/><Relationship Id="rId84" Type="http://schemas.openxmlformats.org/officeDocument/2006/relationships/hyperlink" Target="https://www.sec.gov/Archives/edgar/data/320187/000032018721000028/nke-20210531.htm" TargetMode="External"/><Relationship Id="rId85" Type="http://schemas.openxmlformats.org/officeDocument/2006/relationships/hyperlink" Target="https://www.sec.gov/Archives/edgar/data/320187/000032018719000051/nke-531201910k.htm" TargetMode="External"/><Relationship Id="rId86" Type="http://schemas.openxmlformats.org/officeDocument/2006/relationships/hyperlink" Target="https://www.sec.gov/Archives/edgar/data/320187/000032018720000047/nke-531202010k.htm" TargetMode="External"/><Relationship Id="rId87" Type="http://schemas.openxmlformats.org/officeDocument/2006/relationships/hyperlink" Target="https://www.sec.gov/Archives/edgar/data/320187/000032018721000028/nke-20210531.htm" TargetMode="External"/></Relationships>
</file>

<file path=xl/worksheets/_rels/sheet3.xml.rels><?xml version="1.0" encoding="UTF-8" standalone="yes"?>
<Relationships xmlns="http://schemas.openxmlformats.org/package/2006/relationships"><Relationship Id="rId1" Type="http://schemas.openxmlformats.org/officeDocument/2006/relationships/hyperlink" Target="https://www.sec.gov/Archives/edgar/data/320187/000032018718000213/nke-08312018x10q.htm" TargetMode="External"/><Relationship Id="rId2" Type="http://schemas.openxmlformats.org/officeDocument/2006/relationships/hyperlink" Target="https://www.sec.gov/Archives/edgar/data/320187/000032018719000007/nke-11302018x10q.htm" TargetMode="External"/><Relationship Id="rId3" Type="http://schemas.openxmlformats.org/officeDocument/2006/relationships/hyperlink" Target="https://www.sec.gov/Archives/edgar/data/320187/000032018719000030/nke-02282019x10q.htm" TargetMode="External"/><Relationship Id="rId4" Type="http://schemas.openxmlformats.org/officeDocument/2006/relationships/hyperlink" Target="https://www.sec.gov/Archives/edgar/data/320187/000032018719000051/nke-531201910k.htm" TargetMode="External"/><Relationship Id="rId5" Type="http://schemas.openxmlformats.org/officeDocument/2006/relationships/hyperlink" Target="https://www.sec.gov/Archives/edgar/data/320187/000032018719000071/nke-831201910q.htm" TargetMode="External"/><Relationship Id="rId6" Type="http://schemas.openxmlformats.org/officeDocument/2006/relationships/hyperlink" Target="https://www.sec.gov/Archives/edgar/data/320187/000032018720000004/nke-1130201910q.htm" TargetMode="External"/><Relationship Id="rId7" Type="http://schemas.openxmlformats.org/officeDocument/2006/relationships/hyperlink" Target="https://www.sec.gov/Archives/edgar/data/320187/000032018720000018/nke-229202010q.htm" TargetMode="External"/><Relationship Id="rId8" Type="http://schemas.openxmlformats.org/officeDocument/2006/relationships/hyperlink" Target="https://www.sec.gov/Archives/edgar/data/320187/000032018720000047/nke-531202010k.htm" TargetMode="External"/><Relationship Id="rId9" Type="http://schemas.openxmlformats.org/officeDocument/2006/relationships/hyperlink" Target="https://www.sec.gov/Archives/edgar/data/320187/000032018720000061/nke-20200831.htm" TargetMode="External"/><Relationship Id="rId10" Type="http://schemas.openxmlformats.org/officeDocument/2006/relationships/hyperlink" Target="https://www.sec.gov/Archives/edgar/data/320187/000032018721000003/nke-20201130.htm" TargetMode="External"/><Relationship Id="rId11" Type="http://schemas.openxmlformats.org/officeDocument/2006/relationships/hyperlink" Target="https://www.sec.gov/Archives/edgar/data/320187/000032018721000012/nke-20210228.htm" TargetMode="External"/><Relationship Id="rId12" Type="http://schemas.openxmlformats.org/officeDocument/2006/relationships/hyperlink" Target="https://www.sec.gov/Archives/edgar/data/320187/000032018721000028/nke-20210531.htm" TargetMode="External"/><Relationship Id="rId13" Type="http://schemas.openxmlformats.org/officeDocument/2006/relationships/hyperlink" Target="https://www.sec.gov/Archives/edgar/data/320187/000032018718000213/nke-08312018x10q.htm" TargetMode="External"/><Relationship Id="rId14" Type="http://schemas.openxmlformats.org/officeDocument/2006/relationships/hyperlink" Target="https://www.sec.gov/Archives/edgar/data/320187/000032018719000007/nke-11302018x10q.htm" TargetMode="External"/><Relationship Id="rId15" Type="http://schemas.openxmlformats.org/officeDocument/2006/relationships/hyperlink" Target="https://www.sec.gov/Archives/edgar/data/320187/000032018719000030/nke-02282019x10q.htm" TargetMode="External"/><Relationship Id="rId16" Type="http://schemas.openxmlformats.org/officeDocument/2006/relationships/hyperlink" Target="https://www.sec.gov/Archives/edgar/data/320187/000032018719000051/nke-531201910k.htm" TargetMode="External"/><Relationship Id="rId17" Type="http://schemas.openxmlformats.org/officeDocument/2006/relationships/hyperlink" Target="https://www.sec.gov/Archives/edgar/data/320187/000032018719000071/nke-831201910q.htm" TargetMode="External"/><Relationship Id="rId18" Type="http://schemas.openxmlformats.org/officeDocument/2006/relationships/hyperlink" Target="https://www.sec.gov/Archives/edgar/data/320187/000032018720000004/nke-1130201910q.htm" TargetMode="External"/><Relationship Id="rId19" Type="http://schemas.openxmlformats.org/officeDocument/2006/relationships/hyperlink" Target="https://www.sec.gov/Archives/edgar/data/320187/000032018720000018/nke-229202010q.htm" TargetMode="External"/><Relationship Id="rId20" Type="http://schemas.openxmlformats.org/officeDocument/2006/relationships/hyperlink" Target="https://www.sec.gov/Archives/edgar/data/320187/000032018720000047/nke-531202010k.htm" TargetMode="External"/><Relationship Id="rId21" Type="http://schemas.openxmlformats.org/officeDocument/2006/relationships/hyperlink" Target="https://www.sec.gov/Archives/edgar/data/320187/000032018720000061/nke-20200831.htm" TargetMode="External"/><Relationship Id="rId22" Type="http://schemas.openxmlformats.org/officeDocument/2006/relationships/hyperlink" Target="https://www.sec.gov/Archives/edgar/data/320187/000032018721000003/nke-20201130.htm" TargetMode="External"/><Relationship Id="rId23" Type="http://schemas.openxmlformats.org/officeDocument/2006/relationships/hyperlink" Target="https://www.sec.gov/Archives/edgar/data/320187/000032018721000012/nke-20210228.htm" TargetMode="External"/><Relationship Id="rId24" Type="http://schemas.openxmlformats.org/officeDocument/2006/relationships/hyperlink" Target="https://www.sec.gov/Archives/edgar/data/320187/000032018721000028/nke-20210531.htm" TargetMode="External"/><Relationship Id="rId25" Type="http://schemas.openxmlformats.org/officeDocument/2006/relationships/hyperlink" Target="https://www.sec.gov/Archives/edgar/data/320187/000032018718000213/nke-08312018x10q.htm" TargetMode="External"/><Relationship Id="rId26" Type="http://schemas.openxmlformats.org/officeDocument/2006/relationships/hyperlink" Target="https://www.sec.gov/Archives/edgar/data/320187/000032018719000007/nke-11302018x10q.htm" TargetMode="External"/><Relationship Id="rId27" Type="http://schemas.openxmlformats.org/officeDocument/2006/relationships/hyperlink" Target="https://www.sec.gov/Archives/edgar/data/320187/000032018719000030/nke-02282019x10q.htm" TargetMode="External"/><Relationship Id="rId28" Type="http://schemas.openxmlformats.org/officeDocument/2006/relationships/hyperlink" Target="https://www.sec.gov/Archives/edgar/data/320187/000032018719000051/nke-531201910k.htm" TargetMode="External"/><Relationship Id="rId29" Type="http://schemas.openxmlformats.org/officeDocument/2006/relationships/hyperlink" Target="https://www.sec.gov/Archives/edgar/data/320187/000032018719000071/nke-831201910q.htm" TargetMode="External"/><Relationship Id="rId30" Type="http://schemas.openxmlformats.org/officeDocument/2006/relationships/hyperlink" Target="https://www.sec.gov/Archives/edgar/data/320187/000032018720000004/nke-1130201910q.htm" TargetMode="External"/><Relationship Id="rId31" Type="http://schemas.openxmlformats.org/officeDocument/2006/relationships/hyperlink" Target="https://www.sec.gov/Archives/edgar/data/320187/000032018720000018/nke-229202010q.htm" TargetMode="External"/><Relationship Id="rId32" Type="http://schemas.openxmlformats.org/officeDocument/2006/relationships/hyperlink" Target="https://www.sec.gov/Archives/edgar/data/320187/000032018720000047/nke-531202010k.htm" TargetMode="External"/><Relationship Id="rId33" Type="http://schemas.openxmlformats.org/officeDocument/2006/relationships/hyperlink" Target="https://www.sec.gov/Archives/edgar/data/320187/000032018720000061/nke-20200831.htm" TargetMode="External"/><Relationship Id="rId34" Type="http://schemas.openxmlformats.org/officeDocument/2006/relationships/hyperlink" Target="https://www.sec.gov/Archives/edgar/data/320187/000032018721000003/nke-20201130.htm" TargetMode="External"/><Relationship Id="rId35" Type="http://schemas.openxmlformats.org/officeDocument/2006/relationships/hyperlink" Target="https://www.sec.gov/Archives/edgar/data/320187/000032018721000012/nke-20210228.htm" TargetMode="External"/><Relationship Id="rId36" Type="http://schemas.openxmlformats.org/officeDocument/2006/relationships/hyperlink" Target="https://www.sec.gov/Archives/edgar/data/320187/000032018721000028/nke-20210531.htm" TargetMode="External"/><Relationship Id="rId37" Type="http://schemas.openxmlformats.org/officeDocument/2006/relationships/hyperlink" Target="https://www.sec.gov/Archives/edgar/data/320187/000032018718000213/nke-08312018x10q.htm" TargetMode="External"/><Relationship Id="rId38" Type="http://schemas.openxmlformats.org/officeDocument/2006/relationships/hyperlink" Target="https://www.sec.gov/Archives/edgar/data/320187/000032018719000007/nke-11302018x10q.htm" TargetMode="External"/><Relationship Id="rId39" Type="http://schemas.openxmlformats.org/officeDocument/2006/relationships/hyperlink" Target="https://www.sec.gov/Archives/edgar/data/320187/000032018719000030/nke-02282019x10q.htm" TargetMode="External"/><Relationship Id="rId40" Type="http://schemas.openxmlformats.org/officeDocument/2006/relationships/hyperlink" Target="https://www.sec.gov/Archives/edgar/data/320187/000032018719000051/nke-531201910k.htm" TargetMode="External"/><Relationship Id="rId41" Type="http://schemas.openxmlformats.org/officeDocument/2006/relationships/hyperlink" Target="https://www.sec.gov/Archives/edgar/data/320187/000032018719000071/nke-831201910q.htm" TargetMode="External"/><Relationship Id="rId42" Type="http://schemas.openxmlformats.org/officeDocument/2006/relationships/hyperlink" Target="https://www.sec.gov/Archives/edgar/data/320187/000032018720000004/nke-1130201910q.htm" TargetMode="External"/><Relationship Id="rId43" Type="http://schemas.openxmlformats.org/officeDocument/2006/relationships/hyperlink" Target="https://www.sec.gov/Archives/edgar/data/320187/000032018720000018/nke-229202010q.htm" TargetMode="External"/><Relationship Id="rId44" Type="http://schemas.openxmlformats.org/officeDocument/2006/relationships/hyperlink" Target="https://www.sec.gov/Archives/edgar/data/320187/000032018720000047/nke-531202010k.htm" TargetMode="External"/><Relationship Id="rId45" Type="http://schemas.openxmlformats.org/officeDocument/2006/relationships/hyperlink" Target="https://www.sec.gov/Archives/edgar/data/320187/000032018720000061/nke-20200831.htm" TargetMode="External"/><Relationship Id="rId46" Type="http://schemas.openxmlformats.org/officeDocument/2006/relationships/hyperlink" Target="https://www.sec.gov/Archives/edgar/data/320187/000032018721000003/nke-20201130.htm" TargetMode="External"/><Relationship Id="rId47" Type="http://schemas.openxmlformats.org/officeDocument/2006/relationships/hyperlink" Target="https://www.sec.gov/Archives/edgar/data/320187/000032018721000012/nke-20210228.htm" TargetMode="External"/><Relationship Id="rId48" Type="http://schemas.openxmlformats.org/officeDocument/2006/relationships/hyperlink" Target="https://www.sec.gov/Archives/edgar/data/320187/000032018721000028/nke-20210531.htm" TargetMode="External"/><Relationship Id="rId49" Type="http://schemas.openxmlformats.org/officeDocument/2006/relationships/hyperlink" Target="https://www.sec.gov/Archives/edgar/data/320187/000032018718000213/nke-08312018x10q.htm" TargetMode="External"/><Relationship Id="rId50" Type="http://schemas.openxmlformats.org/officeDocument/2006/relationships/hyperlink" Target="https://www.sec.gov/Archives/edgar/data/320187/000032018719000007/nke-11302018x10q.htm" TargetMode="External"/><Relationship Id="rId51" Type="http://schemas.openxmlformats.org/officeDocument/2006/relationships/hyperlink" Target="https://www.sec.gov/Archives/edgar/data/320187/000032018719000030/nke-02282019x10q.htm" TargetMode="External"/><Relationship Id="rId52" Type="http://schemas.openxmlformats.org/officeDocument/2006/relationships/hyperlink" Target="https://www.sec.gov/Archives/edgar/data/320187/000032018719000051/nke-531201910k.htm" TargetMode="External"/><Relationship Id="rId53" Type="http://schemas.openxmlformats.org/officeDocument/2006/relationships/hyperlink" Target="https://www.sec.gov/Archives/edgar/data/320187/000032018719000071/nke-831201910q.htm" TargetMode="External"/><Relationship Id="rId54" Type="http://schemas.openxmlformats.org/officeDocument/2006/relationships/hyperlink" Target="https://www.sec.gov/Archives/edgar/data/320187/000032018720000004/nke-1130201910q.htm" TargetMode="External"/><Relationship Id="rId55" Type="http://schemas.openxmlformats.org/officeDocument/2006/relationships/hyperlink" Target="https://www.sec.gov/Archives/edgar/data/320187/000032018720000018/nke-229202010q.htm" TargetMode="External"/><Relationship Id="rId56" Type="http://schemas.openxmlformats.org/officeDocument/2006/relationships/hyperlink" Target="https://www.sec.gov/Archives/edgar/data/320187/000032018720000047/nke-531202010k.htm" TargetMode="External"/><Relationship Id="rId57" Type="http://schemas.openxmlformats.org/officeDocument/2006/relationships/hyperlink" Target="https://www.sec.gov/Archives/edgar/data/320187/000032018720000061/nke-20200831.htm" TargetMode="External"/><Relationship Id="rId58" Type="http://schemas.openxmlformats.org/officeDocument/2006/relationships/hyperlink" Target="https://www.sec.gov/Archives/edgar/data/320187/000032018721000003/nke-20201130.htm" TargetMode="External"/><Relationship Id="rId59" Type="http://schemas.openxmlformats.org/officeDocument/2006/relationships/hyperlink" Target="https://www.sec.gov/Archives/edgar/data/320187/000032018721000012/nke-20210228.htm" TargetMode="External"/><Relationship Id="rId60" Type="http://schemas.openxmlformats.org/officeDocument/2006/relationships/hyperlink" Target="https://www.sec.gov/Archives/edgar/data/320187/000032018721000028/nke-20210531.htm" TargetMode="External"/><Relationship Id="rId61" Type="http://schemas.openxmlformats.org/officeDocument/2006/relationships/hyperlink" Target="https://www.sec.gov/Archives/edgar/data/320187/000032018718000213/nke-08312018x10q.htm" TargetMode="External"/><Relationship Id="rId62" Type="http://schemas.openxmlformats.org/officeDocument/2006/relationships/hyperlink" Target="https://www.sec.gov/Archives/edgar/data/320187/000032018719000007/nke-11302018x10q.htm" TargetMode="External"/><Relationship Id="rId63" Type="http://schemas.openxmlformats.org/officeDocument/2006/relationships/hyperlink" Target="https://www.sec.gov/Archives/edgar/data/320187/000032018719000030/nke-02282019x10q.htm" TargetMode="External"/><Relationship Id="rId64" Type="http://schemas.openxmlformats.org/officeDocument/2006/relationships/hyperlink" Target="https://www.sec.gov/Archives/edgar/data/320187/000032018719000051/nke-531201910k.htm" TargetMode="External"/><Relationship Id="rId65" Type="http://schemas.openxmlformats.org/officeDocument/2006/relationships/hyperlink" Target="https://www.sec.gov/Archives/edgar/data/320187/000032018719000071/nke-831201910q.htm" TargetMode="External"/><Relationship Id="rId66" Type="http://schemas.openxmlformats.org/officeDocument/2006/relationships/hyperlink" Target="https://www.sec.gov/Archives/edgar/data/320187/000032018720000004/nke-1130201910q.htm" TargetMode="External"/><Relationship Id="rId67" Type="http://schemas.openxmlformats.org/officeDocument/2006/relationships/hyperlink" Target="https://www.sec.gov/Archives/edgar/data/320187/000032018720000018/nke-229202010q.htm" TargetMode="External"/><Relationship Id="rId68" Type="http://schemas.openxmlformats.org/officeDocument/2006/relationships/hyperlink" Target="https://www.sec.gov/Archives/edgar/data/320187/000032018720000047/nke-531202010k.htm" TargetMode="External"/><Relationship Id="rId69" Type="http://schemas.openxmlformats.org/officeDocument/2006/relationships/hyperlink" Target="https://www.sec.gov/Archives/edgar/data/320187/000032018720000061/nke-20200831.htm" TargetMode="External"/><Relationship Id="rId70" Type="http://schemas.openxmlformats.org/officeDocument/2006/relationships/hyperlink" Target="https://www.sec.gov/Archives/edgar/data/320187/000032018721000003/nke-20201130.htm" TargetMode="External"/><Relationship Id="rId71" Type="http://schemas.openxmlformats.org/officeDocument/2006/relationships/hyperlink" Target="https://www.sec.gov/Archives/edgar/data/320187/000032018721000012/nke-20210228.htm" TargetMode="External"/><Relationship Id="rId72" Type="http://schemas.openxmlformats.org/officeDocument/2006/relationships/hyperlink" Target="https://www.sec.gov/Archives/edgar/data/320187/000032018721000028/nke-20210531.htm" TargetMode="External"/><Relationship Id="rId73" Type="http://schemas.openxmlformats.org/officeDocument/2006/relationships/hyperlink" Target="https://www.sec.gov/Archives/edgar/data/320187/000032018718000213/nke-08312018x10q.htm" TargetMode="External"/><Relationship Id="rId74" Type="http://schemas.openxmlformats.org/officeDocument/2006/relationships/hyperlink" Target="https://www.sec.gov/Archives/edgar/data/320187/000032018719000007/nke-11302018x10q.htm" TargetMode="External"/><Relationship Id="rId75" Type="http://schemas.openxmlformats.org/officeDocument/2006/relationships/hyperlink" Target="https://www.sec.gov/Archives/edgar/data/320187/000032018719000030/nke-02282019x10q.htm" TargetMode="External"/><Relationship Id="rId76" Type="http://schemas.openxmlformats.org/officeDocument/2006/relationships/hyperlink" Target="https://www.sec.gov/Archives/edgar/data/320187/000032018719000051/nke-531201910k.htm" TargetMode="External"/><Relationship Id="rId77" Type="http://schemas.openxmlformats.org/officeDocument/2006/relationships/hyperlink" Target="https://www.sec.gov/Archives/edgar/data/320187/000032018719000071/nke-831201910q.htm" TargetMode="External"/><Relationship Id="rId78" Type="http://schemas.openxmlformats.org/officeDocument/2006/relationships/hyperlink" Target="https://www.sec.gov/Archives/edgar/data/320187/000032018720000004/nke-1130201910q.htm" TargetMode="External"/><Relationship Id="rId79" Type="http://schemas.openxmlformats.org/officeDocument/2006/relationships/hyperlink" Target="https://www.sec.gov/Archives/edgar/data/320187/000032018720000018/nke-229202010q.htm" TargetMode="External"/><Relationship Id="rId80" Type="http://schemas.openxmlformats.org/officeDocument/2006/relationships/hyperlink" Target="https://www.sec.gov/Archives/edgar/data/320187/000032018720000047/nke-531202010k.htm" TargetMode="External"/><Relationship Id="rId81" Type="http://schemas.openxmlformats.org/officeDocument/2006/relationships/hyperlink" Target="https://www.sec.gov/Archives/edgar/data/320187/000032018720000061/nke-20200831.htm" TargetMode="External"/><Relationship Id="rId82" Type="http://schemas.openxmlformats.org/officeDocument/2006/relationships/hyperlink" Target="https://www.sec.gov/Archives/edgar/data/320187/000032018721000003/nke-20201130.htm" TargetMode="External"/><Relationship Id="rId83" Type="http://schemas.openxmlformats.org/officeDocument/2006/relationships/hyperlink" Target="https://www.sec.gov/Archives/edgar/data/320187/000032018721000012/nke-20210228.htm" TargetMode="External"/><Relationship Id="rId84" Type="http://schemas.openxmlformats.org/officeDocument/2006/relationships/hyperlink" Target="https://www.sec.gov/Archives/edgar/data/320187/000032018721000028/nke-20210531.htm" TargetMode="External"/><Relationship Id="rId85" Type="http://schemas.openxmlformats.org/officeDocument/2006/relationships/hyperlink" Target="https://www.sec.gov/Archives/edgar/data/320187/000032018718000213/nke-08312018x10q.htm" TargetMode="External"/><Relationship Id="rId86" Type="http://schemas.openxmlformats.org/officeDocument/2006/relationships/hyperlink" Target="https://www.sec.gov/Archives/edgar/data/320187/000032018719000007/nke-11302018x10q.htm" TargetMode="External"/><Relationship Id="rId87" Type="http://schemas.openxmlformats.org/officeDocument/2006/relationships/hyperlink" Target="https://www.sec.gov/Archives/edgar/data/320187/000032018719000030/nke-02282019x10q.htm" TargetMode="External"/><Relationship Id="rId88" Type="http://schemas.openxmlformats.org/officeDocument/2006/relationships/hyperlink" Target="https://www.sec.gov/Archives/edgar/data/320187/000032018719000051/nke-531201910k.htm" TargetMode="External"/><Relationship Id="rId89" Type="http://schemas.openxmlformats.org/officeDocument/2006/relationships/hyperlink" Target="https://www.sec.gov/Archives/edgar/data/320187/000032018719000071/nke-831201910q.htm" TargetMode="External"/><Relationship Id="rId90" Type="http://schemas.openxmlformats.org/officeDocument/2006/relationships/hyperlink" Target="https://www.sec.gov/Archives/edgar/data/320187/000032018720000004/nke-1130201910q.htm" TargetMode="External"/><Relationship Id="rId91" Type="http://schemas.openxmlformats.org/officeDocument/2006/relationships/hyperlink" Target="https://www.sec.gov/Archives/edgar/data/320187/000032018720000018/nke-229202010q.htm" TargetMode="External"/><Relationship Id="rId92" Type="http://schemas.openxmlformats.org/officeDocument/2006/relationships/hyperlink" Target="https://www.sec.gov/Archives/edgar/data/320187/000032018720000047/nke-531202010k.htm" TargetMode="External"/><Relationship Id="rId93" Type="http://schemas.openxmlformats.org/officeDocument/2006/relationships/hyperlink" Target="https://www.sec.gov/Archives/edgar/data/320187/000032018720000061/nke-20200831.htm" TargetMode="External"/><Relationship Id="rId94" Type="http://schemas.openxmlformats.org/officeDocument/2006/relationships/hyperlink" Target="https://www.sec.gov/Archives/edgar/data/320187/000032018721000003/nke-20201130.htm" TargetMode="External"/><Relationship Id="rId95" Type="http://schemas.openxmlformats.org/officeDocument/2006/relationships/hyperlink" Target="https://www.sec.gov/Archives/edgar/data/320187/000032018721000012/nke-20210228.htm" TargetMode="External"/><Relationship Id="rId96" Type="http://schemas.openxmlformats.org/officeDocument/2006/relationships/hyperlink" Target="https://www.sec.gov/Archives/edgar/data/320187/000032018721000028/nke-20210531.htm" TargetMode="External"/><Relationship Id="rId97" Type="http://schemas.openxmlformats.org/officeDocument/2006/relationships/hyperlink" Target="https://www.sec.gov/Archives/edgar/data/320187/000032018718000213/nke-08312018x10q.htm" TargetMode="External"/><Relationship Id="rId98" Type="http://schemas.openxmlformats.org/officeDocument/2006/relationships/hyperlink" Target="https://www.sec.gov/Archives/edgar/data/320187/000032018719000007/nke-11302018x10q.htm" TargetMode="External"/><Relationship Id="rId99" Type="http://schemas.openxmlformats.org/officeDocument/2006/relationships/hyperlink" Target="https://www.sec.gov/Archives/edgar/data/320187/000032018719000030/nke-02282019x10q.htm" TargetMode="External"/><Relationship Id="rId100" Type="http://schemas.openxmlformats.org/officeDocument/2006/relationships/hyperlink" Target="https://www.sec.gov/Archives/edgar/data/320187/000032018719000051/nke-531201910k.htm" TargetMode="External"/><Relationship Id="rId101" Type="http://schemas.openxmlformats.org/officeDocument/2006/relationships/hyperlink" Target="https://www.sec.gov/Archives/edgar/data/320187/000032018719000071/nke-831201910q.htm" TargetMode="External"/><Relationship Id="rId102" Type="http://schemas.openxmlformats.org/officeDocument/2006/relationships/hyperlink" Target="https://www.sec.gov/Archives/edgar/data/320187/000032018720000004/nke-1130201910q.htm" TargetMode="External"/><Relationship Id="rId103" Type="http://schemas.openxmlformats.org/officeDocument/2006/relationships/hyperlink" Target="https://www.sec.gov/Archives/edgar/data/320187/000032018720000018/nke-229202010q.htm" TargetMode="External"/><Relationship Id="rId104" Type="http://schemas.openxmlformats.org/officeDocument/2006/relationships/hyperlink" Target="https://www.sec.gov/Archives/edgar/data/320187/000032018720000047/nke-531202010k.htm" TargetMode="External"/><Relationship Id="rId105" Type="http://schemas.openxmlformats.org/officeDocument/2006/relationships/hyperlink" Target="https://www.sec.gov/Archives/edgar/data/320187/000032018720000061/nke-20200831.htm" TargetMode="External"/><Relationship Id="rId106" Type="http://schemas.openxmlformats.org/officeDocument/2006/relationships/hyperlink" Target="https://www.sec.gov/Archives/edgar/data/320187/000032018721000003/nke-20201130.htm" TargetMode="External"/><Relationship Id="rId107" Type="http://schemas.openxmlformats.org/officeDocument/2006/relationships/hyperlink" Target="https://www.sec.gov/Archives/edgar/data/320187/000032018721000012/nke-20210228.htm" TargetMode="External"/><Relationship Id="rId108" Type="http://schemas.openxmlformats.org/officeDocument/2006/relationships/hyperlink" Target="https://www.sec.gov/Archives/edgar/data/320187/000032018721000028/nke-20210531.htm" TargetMode="External"/><Relationship Id="rId109" Type="http://schemas.openxmlformats.org/officeDocument/2006/relationships/hyperlink" Target="https://www.sec.gov/Archives/edgar/data/320187/000032018718000213/nke-08312018x10q.htm" TargetMode="External"/><Relationship Id="rId110" Type="http://schemas.openxmlformats.org/officeDocument/2006/relationships/hyperlink" Target="https://www.sec.gov/Archives/edgar/data/320187/000032018719000007/nke-11302018x10q.htm" TargetMode="External"/><Relationship Id="rId111" Type="http://schemas.openxmlformats.org/officeDocument/2006/relationships/hyperlink" Target="https://www.sec.gov/Archives/edgar/data/320187/000032018719000030/nke-02282019x10q.htm" TargetMode="External"/><Relationship Id="rId112" Type="http://schemas.openxmlformats.org/officeDocument/2006/relationships/hyperlink" Target="https://www.sec.gov/Archives/edgar/data/320187/000032018719000051/nke-531201910k.htm" TargetMode="External"/><Relationship Id="rId113" Type="http://schemas.openxmlformats.org/officeDocument/2006/relationships/hyperlink" Target="https://www.sec.gov/Archives/edgar/data/320187/000032018719000071/nke-831201910q.htm" TargetMode="External"/><Relationship Id="rId114" Type="http://schemas.openxmlformats.org/officeDocument/2006/relationships/hyperlink" Target="https://www.sec.gov/Archives/edgar/data/320187/000032018720000004/nke-1130201910q.htm" TargetMode="External"/><Relationship Id="rId115" Type="http://schemas.openxmlformats.org/officeDocument/2006/relationships/hyperlink" Target="https://www.sec.gov/Archives/edgar/data/320187/000032018720000018/nke-229202010q.htm" TargetMode="External"/><Relationship Id="rId116" Type="http://schemas.openxmlformats.org/officeDocument/2006/relationships/hyperlink" Target="https://www.sec.gov/Archives/edgar/data/320187/000032018720000047/nke-531202010k.htm" TargetMode="External"/><Relationship Id="rId117" Type="http://schemas.openxmlformats.org/officeDocument/2006/relationships/hyperlink" Target="https://www.sec.gov/Archives/edgar/data/320187/000032018720000061/nke-20200831.htm" TargetMode="External"/><Relationship Id="rId118" Type="http://schemas.openxmlformats.org/officeDocument/2006/relationships/hyperlink" Target="https://www.sec.gov/Archives/edgar/data/320187/000032018721000003/nke-20201130.htm" TargetMode="External"/><Relationship Id="rId119" Type="http://schemas.openxmlformats.org/officeDocument/2006/relationships/hyperlink" Target="https://www.sec.gov/Archives/edgar/data/320187/000032018721000012/nke-20210228.htm" TargetMode="External"/><Relationship Id="rId120" Type="http://schemas.openxmlformats.org/officeDocument/2006/relationships/hyperlink" Target="https://www.sec.gov/Archives/edgar/data/320187/000032018721000028/nke-20210531.htm" TargetMode="External"/><Relationship Id="rId121" Type="http://schemas.openxmlformats.org/officeDocument/2006/relationships/hyperlink" Target="https://www.sec.gov/Archives/edgar/data/320187/000032018718000213/nke-08312018x10q.htm" TargetMode="External"/><Relationship Id="rId122" Type="http://schemas.openxmlformats.org/officeDocument/2006/relationships/hyperlink" Target="https://www.sec.gov/Archives/edgar/data/320187/000032018719000007/nke-11302018x10q.htm" TargetMode="External"/><Relationship Id="rId123" Type="http://schemas.openxmlformats.org/officeDocument/2006/relationships/hyperlink" Target="https://www.sec.gov/Archives/edgar/data/320187/000032018719000030/nke-02282019x10q.htm" TargetMode="External"/><Relationship Id="rId124" Type="http://schemas.openxmlformats.org/officeDocument/2006/relationships/hyperlink" Target="https://www.sec.gov/Archives/edgar/data/320187/000032018719000051/nke-531201910k.htm" TargetMode="External"/><Relationship Id="rId125" Type="http://schemas.openxmlformats.org/officeDocument/2006/relationships/hyperlink" Target="https://www.sec.gov/Archives/edgar/data/320187/000032018719000071/nke-831201910q.htm" TargetMode="External"/><Relationship Id="rId126" Type="http://schemas.openxmlformats.org/officeDocument/2006/relationships/hyperlink" Target="https://www.sec.gov/Archives/edgar/data/320187/000032018720000004/nke-1130201910q.htm" TargetMode="External"/><Relationship Id="rId127" Type="http://schemas.openxmlformats.org/officeDocument/2006/relationships/hyperlink" Target="https://www.sec.gov/Archives/edgar/data/320187/000032018720000018/nke-229202010q.htm" TargetMode="External"/><Relationship Id="rId128" Type="http://schemas.openxmlformats.org/officeDocument/2006/relationships/hyperlink" Target="https://www.sec.gov/Archives/edgar/data/320187/000032018720000047/nke-531202010k.htm" TargetMode="External"/><Relationship Id="rId129" Type="http://schemas.openxmlformats.org/officeDocument/2006/relationships/hyperlink" Target="https://www.sec.gov/Archives/edgar/data/320187/000032018720000061/nke-20200831.htm" TargetMode="External"/><Relationship Id="rId130" Type="http://schemas.openxmlformats.org/officeDocument/2006/relationships/hyperlink" Target="https://www.sec.gov/Archives/edgar/data/320187/000032018721000003/nke-20201130.htm" TargetMode="External"/><Relationship Id="rId131" Type="http://schemas.openxmlformats.org/officeDocument/2006/relationships/hyperlink" Target="https://www.sec.gov/Archives/edgar/data/320187/000032018721000012/nke-20210228.htm" TargetMode="External"/><Relationship Id="rId132" Type="http://schemas.openxmlformats.org/officeDocument/2006/relationships/hyperlink" Target="https://www.sec.gov/Archives/edgar/data/320187/000032018721000028/nke-20210531.htm" TargetMode="External"/><Relationship Id="rId133" Type="http://schemas.openxmlformats.org/officeDocument/2006/relationships/hyperlink" Target="https://www.sec.gov/Archives/edgar/data/320187/000032018718000213/nke-08312018x10q.htm" TargetMode="External"/><Relationship Id="rId134" Type="http://schemas.openxmlformats.org/officeDocument/2006/relationships/hyperlink" Target="https://www.sec.gov/Archives/edgar/data/320187/000032018719000007/nke-11302018x10q.htm" TargetMode="External"/><Relationship Id="rId135" Type="http://schemas.openxmlformats.org/officeDocument/2006/relationships/hyperlink" Target="https://www.sec.gov/Archives/edgar/data/320187/000032018719000030/nke-02282019x10q.htm" TargetMode="External"/><Relationship Id="rId136" Type="http://schemas.openxmlformats.org/officeDocument/2006/relationships/hyperlink" Target="https://www.sec.gov/Archives/edgar/data/320187/000032018719000051/nke-531201910k.htm" TargetMode="External"/><Relationship Id="rId137" Type="http://schemas.openxmlformats.org/officeDocument/2006/relationships/hyperlink" Target="https://www.sec.gov/Archives/edgar/data/320187/000032018719000071/nke-831201910q.htm" TargetMode="External"/><Relationship Id="rId138" Type="http://schemas.openxmlformats.org/officeDocument/2006/relationships/hyperlink" Target="https://www.sec.gov/Archives/edgar/data/320187/000032018720000004/nke-1130201910q.htm" TargetMode="External"/><Relationship Id="rId139" Type="http://schemas.openxmlformats.org/officeDocument/2006/relationships/hyperlink" Target="https://www.sec.gov/Archives/edgar/data/320187/000032018720000018/nke-229202010q.htm" TargetMode="External"/><Relationship Id="rId140" Type="http://schemas.openxmlformats.org/officeDocument/2006/relationships/hyperlink" Target="https://www.sec.gov/Archives/edgar/data/320187/000032018720000047/nke-531202010k.htm" TargetMode="External"/><Relationship Id="rId141" Type="http://schemas.openxmlformats.org/officeDocument/2006/relationships/hyperlink" Target="https://www.sec.gov/Archives/edgar/data/320187/000032018720000061/nke-20200831.htm" TargetMode="External"/><Relationship Id="rId142" Type="http://schemas.openxmlformats.org/officeDocument/2006/relationships/hyperlink" Target="https://www.sec.gov/Archives/edgar/data/320187/000032018721000003/nke-20201130.htm" TargetMode="External"/><Relationship Id="rId143" Type="http://schemas.openxmlformats.org/officeDocument/2006/relationships/hyperlink" Target="https://www.sec.gov/Archives/edgar/data/320187/000032018721000012/nke-20210228.htm" TargetMode="External"/><Relationship Id="rId144" Type="http://schemas.openxmlformats.org/officeDocument/2006/relationships/hyperlink" Target="https://www.sec.gov/Archives/edgar/data/320187/000032018721000028/nke-20210531.htm" TargetMode="External"/><Relationship Id="rId145" Type="http://schemas.openxmlformats.org/officeDocument/2006/relationships/hyperlink" Target="https://www.sec.gov/Archives/edgar/data/320187/000032018718000213/nke-08312018x10q.htm" TargetMode="External"/><Relationship Id="rId146" Type="http://schemas.openxmlformats.org/officeDocument/2006/relationships/hyperlink" Target="https://www.sec.gov/Archives/edgar/data/320187/000032018719000007/nke-11302018x10q.htm" TargetMode="External"/><Relationship Id="rId147" Type="http://schemas.openxmlformats.org/officeDocument/2006/relationships/hyperlink" Target="https://www.sec.gov/Archives/edgar/data/320187/000032018719000030/nke-02282019x10q.htm" TargetMode="External"/><Relationship Id="rId148" Type="http://schemas.openxmlformats.org/officeDocument/2006/relationships/hyperlink" Target="https://www.sec.gov/Archives/edgar/data/320187/000032018719000051/nke-531201910k.htm" TargetMode="External"/><Relationship Id="rId149" Type="http://schemas.openxmlformats.org/officeDocument/2006/relationships/hyperlink" Target="https://www.sec.gov/Archives/edgar/data/320187/000032018719000071/nke-831201910q.htm" TargetMode="External"/><Relationship Id="rId150" Type="http://schemas.openxmlformats.org/officeDocument/2006/relationships/hyperlink" Target="https://www.sec.gov/Archives/edgar/data/320187/000032018720000004/nke-1130201910q.htm" TargetMode="External"/><Relationship Id="rId151" Type="http://schemas.openxmlformats.org/officeDocument/2006/relationships/hyperlink" Target="https://www.sec.gov/Archives/edgar/data/320187/000032018720000018/nke-229202010q.htm" TargetMode="External"/><Relationship Id="rId152" Type="http://schemas.openxmlformats.org/officeDocument/2006/relationships/hyperlink" Target="https://www.sec.gov/Archives/edgar/data/320187/000032018720000047/nke-531202010k.htm" TargetMode="External"/><Relationship Id="rId153" Type="http://schemas.openxmlformats.org/officeDocument/2006/relationships/hyperlink" Target="https://www.sec.gov/Archives/edgar/data/320187/000032018720000061/nke-20200831.htm" TargetMode="External"/><Relationship Id="rId154" Type="http://schemas.openxmlformats.org/officeDocument/2006/relationships/hyperlink" Target="https://www.sec.gov/Archives/edgar/data/320187/000032018721000003/nke-20201130.htm" TargetMode="External"/><Relationship Id="rId155" Type="http://schemas.openxmlformats.org/officeDocument/2006/relationships/hyperlink" Target="https://www.sec.gov/Archives/edgar/data/320187/000032018721000012/nke-20210228.htm" TargetMode="External"/><Relationship Id="rId156" Type="http://schemas.openxmlformats.org/officeDocument/2006/relationships/hyperlink" Target="https://www.sec.gov/Archives/edgar/data/320187/000032018721000028/nke-20210531.htm" TargetMode="External"/><Relationship Id="rId157" Type="http://schemas.openxmlformats.org/officeDocument/2006/relationships/hyperlink" Target="https://www.sec.gov/Archives/edgar/data/320187/000032018718000213/nke-08312018x10q.htm" TargetMode="External"/><Relationship Id="rId158" Type="http://schemas.openxmlformats.org/officeDocument/2006/relationships/hyperlink" Target="https://www.sec.gov/Archives/edgar/data/320187/000032018719000007/nke-11302018x10q.htm" TargetMode="External"/><Relationship Id="rId159" Type="http://schemas.openxmlformats.org/officeDocument/2006/relationships/hyperlink" Target="https://www.sec.gov/Archives/edgar/data/320187/000032018719000030/nke-02282019x10q.htm" TargetMode="External"/><Relationship Id="rId160" Type="http://schemas.openxmlformats.org/officeDocument/2006/relationships/hyperlink" Target="https://www.sec.gov/Archives/edgar/data/320187/000032018719000044/q4fy19exhibit991er.htm" TargetMode="External"/><Relationship Id="rId161" Type="http://schemas.openxmlformats.org/officeDocument/2006/relationships/hyperlink" Target="https://www.sec.gov/Archives/edgar/data/320187/000032018719000071/nke-831201910q.htm" TargetMode="External"/><Relationship Id="rId162" Type="http://schemas.openxmlformats.org/officeDocument/2006/relationships/hyperlink" Target="https://www.sec.gov/Archives/edgar/data/320187/000032018720000004/nke-1130201910q.htm" TargetMode="External"/><Relationship Id="rId163" Type="http://schemas.openxmlformats.org/officeDocument/2006/relationships/hyperlink" Target="https://www.sec.gov/Archives/edgar/data/320187/000032018720000018/nke-229202010q.htm" TargetMode="External"/><Relationship Id="rId164" Type="http://schemas.openxmlformats.org/officeDocument/2006/relationships/hyperlink" Target="https://www.sec.gov/Archives/edgar/data/320187/000032018720000033/q4fy20exhibit991er.htm" TargetMode="External"/><Relationship Id="rId165" Type="http://schemas.openxmlformats.org/officeDocument/2006/relationships/hyperlink" Target="https://www.sec.gov/Archives/edgar/data/320187/000032018720000061/nke-20200831.htm" TargetMode="External"/><Relationship Id="rId166" Type="http://schemas.openxmlformats.org/officeDocument/2006/relationships/hyperlink" Target="https://www.sec.gov/Archives/edgar/data/320187/000032018721000003/nke-20201130.htm" TargetMode="External"/><Relationship Id="rId167" Type="http://schemas.openxmlformats.org/officeDocument/2006/relationships/hyperlink" Target="https://www.sec.gov/Archives/edgar/data/320187/000032018721000012/nke-20210228.htm" TargetMode="External"/><Relationship Id="rId168" Type="http://schemas.openxmlformats.org/officeDocument/2006/relationships/hyperlink" Target="https://www.sec.gov/Archives/edgar/data/320187/000032018721000025/q4fy21exhibit991er.htm" TargetMode="External"/><Relationship Id="rId169" Type="http://schemas.openxmlformats.org/officeDocument/2006/relationships/hyperlink" Target="https://www.sec.gov/Archives/edgar/data/320187/000032018718000213/nke-08312018x10q.htm" TargetMode="External"/><Relationship Id="rId170" Type="http://schemas.openxmlformats.org/officeDocument/2006/relationships/hyperlink" Target="https://www.sec.gov/Archives/edgar/data/320187/000032018719000007/nke-11302018x10q.htm" TargetMode="External"/><Relationship Id="rId171" Type="http://schemas.openxmlformats.org/officeDocument/2006/relationships/hyperlink" Target="https://www.sec.gov/Archives/edgar/data/320187/000032018719000030/nke-02282019x10q.htm" TargetMode="External"/><Relationship Id="rId172" Type="http://schemas.openxmlformats.org/officeDocument/2006/relationships/hyperlink" Target="https://www.sec.gov/Archives/edgar/data/320187/000032018719000044/q4fy19exhibit991er.htm" TargetMode="External"/><Relationship Id="rId173" Type="http://schemas.openxmlformats.org/officeDocument/2006/relationships/hyperlink" Target="https://www.sec.gov/Archives/edgar/data/320187/000032018719000071/nke-831201910q.htm" TargetMode="External"/><Relationship Id="rId174" Type="http://schemas.openxmlformats.org/officeDocument/2006/relationships/hyperlink" Target="https://www.sec.gov/Archives/edgar/data/320187/000032018720000004/nke-1130201910q.htm" TargetMode="External"/><Relationship Id="rId175" Type="http://schemas.openxmlformats.org/officeDocument/2006/relationships/hyperlink" Target="https://www.sec.gov/Archives/edgar/data/320187/000032018720000018/nke-229202010q.htm" TargetMode="External"/><Relationship Id="rId176" Type="http://schemas.openxmlformats.org/officeDocument/2006/relationships/hyperlink" Target="https://www.sec.gov/Archives/edgar/data/320187/000032018720000033/q4fy20exhibit991er.htm" TargetMode="External"/><Relationship Id="rId177" Type="http://schemas.openxmlformats.org/officeDocument/2006/relationships/hyperlink" Target="https://www.sec.gov/Archives/edgar/data/320187/000032018720000061/nke-20200831.htm" TargetMode="External"/><Relationship Id="rId178" Type="http://schemas.openxmlformats.org/officeDocument/2006/relationships/hyperlink" Target="https://www.sec.gov/Archives/edgar/data/320187/000032018721000003/nke-20201130.htm" TargetMode="External"/><Relationship Id="rId179" Type="http://schemas.openxmlformats.org/officeDocument/2006/relationships/hyperlink" Target="https://www.sec.gov/Archives/edgar/data/320187/000032018721000012/nke-20210228.htm" TargetMode="External"/><Relationship Id="rId180" Type="http://schemas.openxmlformats.org/officeDocument/2006/relationships/hyperlink" Target="https://www.sec.gov/Archives/edgar/data/320187/000032018721000025/q4fy21exhibit991er.htm" TargetMode="External"/><Relationship Id="rId181" Type="http://schemas.openxmlformats.org/officeDocument/2006/relationships/hyperlink" Target="https://www.sec.gov/Archives/edgar/data/320187/000032018718000213/nke-08312018x10q.htm" TargetMode="External"/><Relationship Id="rId182" Type="http://schemas.openxmlformats.org/officeDocument/2006/relationships/hyperlink" Target="https://www.sec.gov/Archives/edgar/data/320187/000032018719000007/nke-11302018x10q.htm" TargetMode="External"/><Relationship Id="rId183" Type="http://schemas.openxmlformats.org/officeDocument/2006/relationships/hyperlink" Target="https://www.sec.gov/Archives/edgar/data/320187/000032018719000030/nke-02282019x10q.htm" TargetMode="External"/><Relationship Id="rId184" Type="http://schemas.openxmlformats.org/officeDocument/2006/relationships/hyperlink" Target="https://www.sec.gov/Archives/edgar/data/320187/000032018719000051/nke-531201910k.htm" TargetMode="External"/><Relationship Id="rId185" Type="http://schemas.openxmlformats.org/officeDocument/2006/relationships/hyperlink" Target="https://www.sec.gov/Archives/edgar/data/320187/000032018719000071/nke-831201910q.htm" TargetMode="External"/><Relationship Id="rId186" Type="http://schemas.openxmlformats.org/officeDocument/2006/relationships/hyperlink" Target="https://www.sec.gov/Archives/edgar/data/320187/000032018720000004/nke-1130201910q.htm" TargetMode="External"/><Relationship Id="rId187" Type="http://schemas.openxmlformats.org/officeDocument/2006/relationships/hyperlink" Target="https://www.sec.gov/Archives/edgar/data/320187/000032018720000018/nke-229202010q.htm" TargetMode="External"/><Relationship Id="rId188" Type="http://schemas.openxmlformats.org/officeDocument/2006/relationships/hyperlink" Target="https://www.sec.gov/Archives/edgar/data/320187/000032018720000047/nke-531202010k.htm" TargetMode="External"/><Relationship Id="rId189" Type="http://schemas.openxmlformats.org/officeDocument/2006/relationships/hyperlink" Target="https://www.sec.gov/Archives/edgar/data/320187/000032018720000061/nke-20200831.htm" TargetMode="External"/><Relationship Id="rId190" Type="http://schemas.openxmlformats.org/officeDocument/2006/relationships/hyperlink" Target="https://www.sec.gov/Archives/edgar/data/320187/000032018721000003/nke-20201130.htm" TargetMode="External"/><Relationship Id="rId191" Type="http://schemas.openxmlformats.org/officeDocument/2006/relationships/hyperlink" Target="https://www.sec.gov/Archives/edgar/data/320187/000032018721000012/nke-20210228.htm" TargetMode="External"/><Relationship Id="rId192" Type="http://schemas.openxmlformats.org/officeDocument/2006/relationships/hyperlink" Target="https://www.sec.gov/Archives/edgar/data/320187/000032018721000028/nke-20210531.htm" TargetMode="External"/><Relationship Id="rId193" Type="http://schemas.openxmlformats.org/officeDocument/2006/relationships/hyperlink" Target="https://www.sec.gov/Archives/edgar/data/320187/000032018718000213/nke-08312018x10q.htm" TargetMode="External"/><Relationship Id="rId194" Type="http://schemas.openxmlformats.org/officeDocument/2006/relationships/hyperlink" Target="https://www.sec.gov/Archives/edgar/data/320187/000032018719000007/nke-11302018x10q.htm" TargetMode="External"/><Relationship Id="rId195" Type="http://schemas.openxmlformats.org/officeDocument/2006/relationships/hyperlink" Target="https://www.sec.gov/Archives/edgar/data/320187/000032018719000030/nke-02282019x10q.htm" TargetMode="External"/><Relationship Id="rId196" Type="http://schemas.openxmlformats.org/officeDocument/2006/relationships/hyperlink" Target="https://www.sec.gov/Archives/edgar/data/320187/000032018719000051/nke-531201910k.htm" TargetMode="External"/><Relationship Id="rId197" Type="http://schemas.openxmlformats.org/officeDocument/2006/relationships/hyperlink" Target="https://www.sec.gov/Archives/edgar/data/320187/000032018719000071/nke-831201910q.htm" TargetMode="External"/><Relationship Id="rId198" Type="http://schemas.openxmlformats.org/officeDocument/2006/relationships/hyperlink" Target="https://www.sec.gov/Archives/edgar/data/320187/000032018720000004/nke-1130201910q.htm" TargetMode="External"/><Relationship Id="rId199" Type="http://schemas.openxmlformats.org/officeDocument/2006/relationships/hyperlink" Target="https://www.sec.gov/Archives/edgar/data/320187/000032018720000018/nke-229202010q.htm" TargetMode="External"/><Relationship Id="rId200" Type="http://schemas.openxmlformats.org/officeDocument/2006/relationships/hyperlink" Target="https://www.sec.gov/Archives/edgar/data/320187/000032018720000047/nke-531202010k.htm" TargetMode="External"/><Relationship Id="rId201" Type="http://schemas.openxmlformats.org/officeDocument/2006/relationships/hyperlink" Target="https://www.sec.gov/Archives/edgar/data/320187/000032018720000061/nke-20200831.htm" TargetMode="External"/><Relationship Id="rId202" Type="http://schemas.openxmlformats.org/officeDocument/2006/relationships/hyperlink" Target="https://www.sec.gov/Archives/edgar/data/320187/000032018721000003/nke-20201130.htm" TargetMode="External"/><Relationship Id="rId203" Type="http://schemas.openxmlformats.org/officeDocument/2006/relationships/hyperlink" Target="https://www.sec.gov/Archives/edgar/data/320187/000032018721000012/nke-20210228.htm" TargetMode="External"/><Relationship Id="rId204" Type="http://schemas.openxmlformats.org/officeDocument/2006/relationships/hyperlink" Target="https://www.sec.gov/Archives/edgar/data/320187/000032018721000028/nke-20210531.htm" TargetMode="External"/><Relationship Id="rId205" Type="http://schemas.openxmlformats.org/officeDocument/2006/relationships/hyperlink" Target="https://www.sec.gov/Archives/edgar/data/320187/000032018718000213/nke-08312018x10q.htm" TargetMode="External"/><Relationship Id="rId206" Type="http://schemas.openxmlformats.org/officeDocument/2006/relationships/hyperlink" Target="https://www.sec.gov/Archives/edgar/data/320187/000032018719000007/nke-11302018x10q.htm" TargetMode="External"/><Relationship Id="rId207" Type="http://schemas.openxmlformats.org/officeDocument/2006/relationships/hyperlink" Target="https://www.sec.gov/Archives/edgar/data/320187/000032018719000030/nke-02282019x10q.htm" TargetMode="External"/><Relationship Id="rId208" Type="http://schemas.openxmlformats.org/officeDocument/2006/relationships/hyperlink" Target="https://www.sec.gov/Archives/edgar/data/320187/000032018719000051/nke-531201910k.htm" TargetMode="External"/><Relationship Id="rId209" Type="http://schemas.openxmlformats.org/officeDocument/2006/relationships/hyperlink" Target="https://www.sec.gov/Archives/edgar/data/320187/000032018719000071/nke-831201910q.htm" TargetMode="External"/><Relationship Id="rId210" Type="http://schemas.openxmlformats.org/officeDocument/2006/relationships/hyperlink" Target="https://www.sec.gov/Archives/edgar/data/320187/000032018720000004/nke-1130201910q.htm" TargetMode="External"/><Relationship Id="rId211" Type="http://schemas.openxmlformats.org/officeDocument/2006/relationships/hyperlink" Target="https://www.sec.gov/Archives/edgar/data/320187/000032018720000018/nke-229202010q.htm" TargetMode="External"/><Relationship Id="rId212" Type="http://schemas.openxmlformats.org/officeDocument/2006/relationships/hyperlink" Target="https://www.sec.gov/Archives/edgar/data/320187/000032018720000047/nke-531202010k.htm" TargetMode="External"/><Relationship Id="rId213" Type="http://schemas.openxmlformats.org/officeDocument/2006/relationships/hyperlink" Target="https://www.sec.gov/Archives/edgar/data/320187/000032018720000061/nke-20200831.htm" TargetMode="External"/><Relationship Id="rId214" Type="http://schemas.openxmlformats.org/officeDocument/2006/relationships/hyperlink" Target="https://www.sec.gov/Archives/edgar/data/320187/000032018721000003/nke-20201130.htm" TargetMode="External"/><Relationship Id="rId215" Type="http://schemas.openxmlformats.org/officeDocument/2006/relationships/hyperlink" Target="https://www.sec.gov/Archives/edgar/data/320187/000032018721000012/nke-20210228.htm" TargetMode="External"/><Relationship Id="rId216" Type="http://schemas.openxmlformats.org/officeDocument/2006/relationships/hyperlink" Target="https://www.sec.gov/Archives/edgar/data/320187/000032018721000028/nke-20210531.htm" TargetMode="External"/><Relationship Id="rId217" Type="http://schemas.openxmlformats.org/officeDocument/2006/relationships/hyperlink" Target="https://www.sec.gov/Archives/edgar/data/320187/000032018718000213/nke-08312018x10q.htm" TargetMode="External"/><Relationship Id="rId218" Type="http://schemas.openxmlformats.org/officeDocument/2006/relationships/hyperlink" Target="https://www.sec.gov/Archives/edgar/data/320187/000032018719000007/nke-11302018x10q.htm" TargetMode="External"/><Relationship Id="rId219" Type="http://schemas.openxmlformats.org/officeDocument/2006/relationships/hyperlink" Target="https://www.sec.gov/Archives/edgar/data/320187/000032018719000030/nke-02282019x10q.htm" TargetMode="External"/><Relationship Id="rId220" Type="http://schemas.openxmlformats.org/officeDocument/2006/relationships/hyperlink" Target="https://www.sec.gov/Archives/edgar/data/320187/000032018719000051/nke-531201910k.htm" TargetMode="External"/><Relationship Id="rId221" Type="http://schemas.openxmlformats.org/officeDocument/2006/relationships/hyperlink" Target="https://www.sec.gov/Archives/edgar/data/320187/000032018719000071/nke-831201910q.htm" TargetMode="External"/><Relationship Id="rId222" Type="http://schemas.openxmlformats.org/officeDocument/2006/relationships/hyperlink" Target="https://www.sec.gov/Archives/edgar/data/320187/000032018720000004/nke-1130201910q.htm" TargetMode="External"/><Relationship Id="rId223" Type="http://schemas.openxmlformats.org/officeDocument/2006/relationships/hyperlink" Target="https://www.sec.gov/Archives/edgar/data/320187/000032018720000018/nke-229202010q.htm" TargetMode="External"/><Relationship Id="rId224" Type="http://schemas.openxmlformats.org/officeDocument/2006/relationships/hyperlink" Target="https://www.sec.gov/Archives/edgar/data/320187/000032018720000047/nke-531202010k.htm" TargetMode="External"/><Relationship Id="rId225" Type="http://schemas.openxmlformats.org/officeDocument/2006/relationships/hyperlink" Target="https://www.sec.gov/Archives/edgar/data/320187/000032018720000061/nke-20200831.htm" TargetMode="External"/><Relationship Id="rId226" Type="http://schemas.openxmlformats.org/officeDocument/2006/relationships/hyperlink" Target="https://www.sec.gov/Archives/edgar/data/320187/000032018721000003/nke-20201130.htm" TargetMode="External"/><Relationship Id="rId227" Type="http://schemas.openxmlformats.org/officeDocument/2006/relationships/hyperlink" Target="https://www.sec.gov/Archives/edgar/data/320187/000032018721000012/nke-20210228.htm" TargetMode="External"/><Relationship Id="rId228" Type="http://schemas.openxmlformats.org/officeDocument/2006/relationships/hyperlink" Target="https://www.sec.gov/Archives/edgar/data/320187/000032018721000028/nke-20210531.htm" TargetMode="External"/><Relationship Id="rId229" Type="http://schemas.openxmlformats.org/officeDocument/2006/relationships/hyperlink" Target="https://www.sec.gov/Archives/edgar/data/320187/000032018718000213/nke-08312018x10q.htm" TargetMode="External"/><Relationship Id="rId230" Type="http://schemas.openxmlformats.org/officeDocument/2006/relationships/hyperlink" Target="https://www.sec.gov/Archives/edgar/data/320187/000032018719000007/nke-11302018x10q.htm" TargetMode="External"/><Relationship Id="rId231" Type="http://schemas.openxmlformats.org/officeDocument/2006/relationships/hyperlink" Target="https://www.sec.gov/Archives/edgar/data/320187/000032018719000030/nke-02282019x10q.htm" TargetMode="External"/><Relationship Id="rId232" Type="http://schemas.openxmlformats.org/officeDocument/2006/relationships/hyperlink" Target="https://www.sec.gov/Archives/edgar/data/320187/000032018719000051/nke-531201910k.htm" TargetMode="External"/><Relationship Id="rId233" Type="http://schemas.openxmlformats.org/officeDocument/2006/relationships/hyperlink" Target="https://www.sec.gov/Archives/edgar/data/320187/000032018719000071/nke-831201910q.htm" TargetMode="External"/><Relationship Id="rId234" Type="http://schemas.openxmlformats.org/officeDocument/2006/relationships/hyperlink" Target="https://www.sec.gov/Archives/edgar/data/320187/000032018720000004/nke-1130201910q.htm" TargetMode="External"/><Relationship Id="rId235" Type="http://schemas.openxmlformats.org/officeDocument/2006/relationships/hyperlink" Target="https://www.sec.gov/Archives/edgar/data/320187/000032018720000018/nke-229202010q.htm" TargetMode="External"/><Relationship Id="rId236" Type="http://schemas.openxmlformats.org/officeDocument/2006/relationships/hyperlink" Target="https://www.sec.gov/Archives/edgar/data/320187/000032018720000047/nke-531202010k.htm" TargetMode="External"/><Relationship Id="rId237" Type="http://schemas.openxmlformats.org/officeDocument/2006/relationships/hyperlink" Target="https://www.sec.gov/Archives/edgar/data/320187/000032018720000061/nke-20200831.htm" TargetMode="External"/><Relationship Id="rId238" Type="http://schemas.openxmlformats.org/officeDocument/2006/relationships/hyperlink" Target="https://www.sec.gov/Archives/edgar/data/320187/000032018721000003/nke-20201130.htm" TargetMode="External"/><Relationship Id="rId239" Type="http://schemas.openxmlformats.org/officeDocument/2006/relationships/hyperlink" Target="https://www.sec.gov/Archives/edgar/data/320187/000032018721000012/nke-20210228.htm" TargetMode="External"/><Relationship Id="rId240" Type="http://schemas.openxmlformats.org/officeDocument/2006/relationships/hyperlink" Target="https://www.sec.gov/Archives/edgar/data/320187/000032018721000028/nke-20210531.htm" TargetMode="External"/><Relationship Id="rId241" Type="http://schemas.openxmlformats.org/officeDocument/2006/relationships/hyperlink" Target="https://www.sec.gov/Archives/edgar/data/320187/000032018718000213/nke-08312018x10q.htm" TargetMode="External"/><Relationship Id="rId242" Type="http://schemas.openxmlformats.org/officeDocument/2006/relationships/hyperlink" Target="https://www.sec.gov/Archives/edgar/data/320187/000032018719000007/nke-11302018x10q.htm" TargetMode="External"/><Relationship Id="rId243" Type="http://schemas.openxmlformats.org/officeDocument/2006/relationships/hyperlink" Target="https://www.sec.gov/Archives/edgar/data/320187/000032018719000030/nke-02282019x10q.htm" TargetMode="External"/><Relationship Id="rId244" Type="http://schemas.openxmlformats.org/officeDocument/2006/relationships/hyperlink" Target="https://www.sec.gov/Archives/edgar/data/320187/000032018719000051/nke-531201910k.htm" TargetMode="External"/><Relationship Id="rId245" Type="http://schemas.openxmlformats.org/officeDocument/2006/relationships/hyperlink" Target="https://www.sec.gov/Archives/edgar/data/320187/000032018719000071/nke-831201910q.htm" TargetMode="External"/><Relationship Id="rId246" Type="http://schemas.openxmlformats.org/officeDocument/2006/relationships/hyperlink" Target="https://www.sec.gov/Archives/edgar/data/320187/000032018720000004/nke-1130201910q.htm" TargetMode="External"/><Relationship Id="rId247" Type="http://schemas.openxmlformats.org/officeDocument/2006/relationships/hyperlink" Target="https://www.sec.gov/Archives/edgar/data/320187/000032018720000018/nke-229202010q.htm" TargetMode="External"/><Relationship Id="rId248" Type="http://schemas.openxmlformats.org/officeDocument/2006/relationships/hyperlink" Target="https://www.sec.gov/Archives/edgar/data/320187/000032018720000047/nke-531202010k.htm" TargetMode="External"/><Relationship Id="rId249" Type="http://schemas.openxmlformats.org/officeDocument/2006/relationships/hyperlink" Target="https://www.sec.gov/Archives/edgar/data/320187/000032018720000061/nke-20200831.htm" TargetMode="External"/><Relationship Id="rId250" Type="http://schemas.openxmlformats.org/officeDocument/2006/relationships/hyperlink" Target="https://www.sec.gov/Archives/edgar/data/320187/000032018721000003/nke-20201130.htm" TargetMode="External"/><Relationship Id="rId251" Type="http://schemas.openxmlformats.org/officeDocument/2006/relationships/hyperlink" Target="https://www.sec.gov/Archives/edgar/data/320187/000032018721000012/nke-20210228.htm" TargetMode="External"/><Relationship Id="rId252" Type="http://schemas.openxmlformats.org/officeDocument/2006/relationships/hyperlink" Target="https://www.sec.gov/Archives/edgar/data/320187/000032018721000028/nke-20210531.htm" TargetMode="External"/><Relationship Id="rId253" Type="http://schemas.openxmlformats.org/officeDocument/2006/relationships/hyperlink" Target="https://www.sec.gov/Archives/edgar/data/320187/000032018718000213/nke-08312018x10q.htm" TargetMode="External"/><Relationship Id="rId254" Type="http://schemas.openxmlformats.org/officeDocument/2006/relationships/hyperlink" Target="https://www.sec.gov/Archives/edgar/data/320187/000032018719000007/nke-11302018x10q.htm" TargetMode="External"/><Relationship Id="rId255" Type="http://schemas.openxmlformats.org/officeDocument/2006/relationships/hyperlink" Target="https://www.sec.gov/Archives/edgar/data/320187/000032018719000030/nke-02282019x10q.htm" TargetMode="External"/><Relationship Id="rId256" Type="http://schemas.openxmlformats.org/officeDocument/2006/relationships/hyperlink" Target="https://www.sec.gov/Archives/edgar/data/320187/000032018719000051/nke-531201910k.htm" TargetMode="External"/><Relationship Id="rId257" Type="http://schemas.openxmlformats.org/officeDocument/2006/relationships/hyperlink" Target="https://www.sec.gov/Archives/edgar/data/320187/000032018719000071/nke-831201910q.htm" TargetMode="External"/><Relationship Id="rId258" Type="http://schemas.openxmlformats.org/officeDocument/2006/relationships/hyperlink" Target="https://www.sec.gov/Archives/edgar/data/320187/000032018720000004/nke-1130201910q.htm" TargetMode="External"/><Relationship Id="rId259" Type="http://schemas.openxmlformats.org/officeDocument/2006/relationships/hyperlink" Target="https://www.sec.gov/Archives/edgar/data/320187/000032018720000018/nke-229202010q.htm" TargetMode="External"/><Relationship Id="rId260" Type="http://schemas.openxmlformats.org/officeDocument/2006/relationships/hyperlink" Target="https://www.sec.gov/Archives/edgar/data/320187/000032018720000047/nke-531202010k.htm" TargetMode="External"/><Relationship Id="rId261" Type="http://schemas.openxmlformats.org/officeDocument/2006/relationships/hyperlink" Target="https://www.sec.gov/Archives/edgar/data/320187/000032018720000061/nke-20200831.htm" TargetMode="External"/><Relationship Id="rId262" Type="http://schemas.openxmlformats.org/officeDocument/2006/relationships/hyperlink" Target="https://www.sec.gov/Archives/edgar/data/320187/000032018721000003/nke-20201130.htm" TargetMode="External"/><Relationship Id="rId263" Type="http://schemas.openxmlformats.org/officeDocument/2006/relationships/hyperlink" Target="https://www.sec.gov/Archives/edgar/data/320187/000032018721000012/nke-20210228.htm" TargetMode="External"/><Relationship Id="rId264" Type="http://schemas.openxmlformats.org/officeDocument/2006/relationships/hyperlink" Target="https://www.sec.gov/Archives/edgar/data/320187/000032018721000028/nke-20210531.htm" TargetMode="External"/><Relationship Id="rId265" Type="http://schemas.openxmlformats.org/officeDocument/2006/relationships/hyperlink" Target="https://www.sec.gov/Archives/edgar/data/320187/000032018718000213/nke-08312018x10q.htm" TargetMode="External"/><Relationship Id="rId266" Type="http://schemas.openxmlformats.org/officeDocument/2006/relationships/hyperlink" Target="https://www.sec.gov/Archives/edgar/data/320187/000032018719000007/nke-11302018x10q.htm" TargetMode="External"/><Relationship Id="rId267" Type="http://schemas.openxmlformats.org/officeDocument/2006/relationships/hyperlink" Target="https://www.sec.gov/Archives/edgar/data/320187/000032018719000030/nke-02282019x10q.htm" TargetMode="External"/><Relationship Id="rId268" Type="http://schemas.openxmlformats.org/officeDocument/2006/relationships/hyperlink" Target="https://www.sec.gov/Archives/edgar/data/320187/000032018719000044/q4fy19exhibit991er.htm" TargetMode="External"/><Relationship Id="rId269" Type="http://schemas.openxmlformats.org/officeDocument/2006/relationships/hyperlink" Target="https://www.sec.gov/Archives/edgar/data/320187/000032018719000071/nke-831201910q.htm" TargetMode="External"/><Relationship Id="rId270" Type="http://schemas.openxmlformats.org/officeDocument/2006/relationships/hyperlink" Target="https://www.sec.gov/Archives/edgar/data/320187/000032018720000004/nke-1130201910q.htm" TargetMode="External"/><Relationship Id="rId271" Type="http://schemas.openxmlformats.org/officeDocument/2006/relationships/hyperlink" Target="https://www.sec.gov/Archives/edgar/data/320187/000032018720000018/nke-229202010q.htm" TargetMode="External"/><Relationship Id="rId272" Type="http://schemas.openxmlformats.org/officeDocument/2006/relationships/hyperlink" Target="https://www.sec.gov/Archives/edgar/data/320187/000032018720000033/q4fy20exhibit991er.htm" TargetMode="External"/><Relationship Id="rId273" Type="http://schemas.openxmlformats.org/officeDocument/2006/relationships/hyperlink" Target="https://www.sec.gov/Archives/edgar/data/320187/000032018720000061/nke-20200831.htm" TargetMode="External"/><Relationship Id="rId274" Type="http://schemas.openxmlformats.org/officeDocument/2006/relationships/hyperlink" Target="https://www.sec.gov/Archives/edgar/data/320187/000032018721000003/nke-20201130.htm" TargetMode="External"/><Relationship Id="rId275" Type="http://schemas.openxmlformats.org/officeDocument/2006/relationships/hyperlink" Target="https://www.sec.gov/Archives/edgar/data/320187/000032018721000012/nke-20210228.htm" TargetMode="External"/><Relationship Id="rId276" Type="http://schemas.openxmlformats.org/officeDocument/2006/relationships/hyperlink" Target="https://www.sec.gov/Archives/edgar/data/320187/000032018721000025/q4fy21exhibit991er.htm" TargetMode="External"/><Relationship Id="rId277" Type="http://schemas.openxmlformats.org/officeDocument/2006/relationships/hyperlink" Target="https://www.sec.gov/Archives/edgar/data/320187/000032018718000213/nke-08312018x10q.htm" TargetMode="External"/><Relationship Id="rId278" Type="http://schemas.openxmlformats.org/officeDocument/2006/relationships/hyperlink" Target="https://www.sec.gov/Archives/edgar/data/320187/000032018719000007/nke-11302018x10q.htm" TargetMode="External"/><Relationship Id="rId279" Type="http://schemas.openxmlformats.org/officeDocument/2006/relationships/hyperlink" Target="https://www.sec.gov/Archives/edgar/data/320187/000032018719000030/nke-02282019x10q.htm" TargetMode="External"/><Relationship Id="rId280" Type="http://schemas.openxmlformats.org/officeDocument/2006/relationships/hyperlink" Target="https://www.sec.gov/Archives/edgar/data/320187/000032018719000044/q4fy19exhibit991er.htm" TargetMode="External"/><Relationship Id="rId281" Type="http://schemas.openxmlformats.org/officeDocument/2006/relationships/hyperlink" Target="https://www.sec.gov/Archives/edgar/data/320187/000032018719000071/nke-831201910q.htm" TargetMode="External"/><Relationship Id="rId282" Type="http://schemas.openxmlformats.org/officeDocument/2006/relationships/hyperlink" Target="https://www.sec.gov/Archives/edgar/data/320187/000032018720000004/nke-1130201910q.htm" TargetMode="External"/><Relationship Id="rId283" Type="http://schemas.openxmlformats.org/officeDocument/2006/relationships/hyperlink" Target="https://www.sec.gov/Archives/edgar/data/320187/000032018720000018/nke-229202010q.htm" TargetMode="External"/><Relationship Id="rId284" Type="http://schemas.openxmlformats.org/officeDocument/2006/relationships/hyperlink" Target="https://www.sec.gov/Archives/edgar/data/320187/000032018720000033/q4fy20exhibit991er.htm" TargetMode="External"/><Relationship Id="rId285" Type="http://schemas.openxmlformats.org/officeDocument/2006/relationships/hyperlink" Target="https://www.sec.gov/Archives/edgar/data/320187/000032018720000061/nke-20200831.htm" TargetMode="External"/><Relationship Id="rId286" Type="http://schemas.openxmlformats.org/officeDocument/2006/relationships/hyperlink" Target="https://www.sec.gov/Archives/edgar/data/320187/000032018721000003/nke-20201130.htm" TargetMode="External"/><Relationship Id="rId287" Type="http://schemas.openxmlformats.org/officeDocument/2006/relationships/hyperlink" Target="https://www.sec.gov/Archives/edgar/data/320187/000032018721000012/nke-20210228.htm" TargetMode="External"/><Relationship Id="rId288" Type="http://schemas.openxmlformats.org/officeDocument/2006/relationships/hyperlink" Target="https://www.sec.gov/Archives/edgar/data/320187/000032018721000025/q4fy21exhibit991er.htm" TargetMode="External"/><Relationship Id="rId289" Type="http://schemas.openxmlformats.org/officeDocument/2006/relationships/hyperlink" Target="https://www.sec.gov/Archives/edgar/data/320187/000032018718000213/nke-08312018x10q.htm" TargetMode="External"/><Relationship Id="rId290" Type="http://schemas.openxmlformats.org/officeDocument/2006/relationships/hyperlink" Target="https://www.sec.gov/Archives/edgar/data/320187/000032018719000007/nke-11302018x10q.htm" TargetMode="External"/><Relationship Id="rId291" Type="http://schemas.openxmlformats.org/officeDocument/2006/relationships/hyperlink" Target="https://www.sec.gov/Archives/edgar/data/320187/000032018719000030/nke-02282019x10q.htm" TargetMode="External"/><Relationship Id="rId292" Type="http://schemas.openxmlformats.org/officeDocument/2006/relationships/hyperlink" Target="https://www.sec.gov/Archives/edgar/data/320187/000032018719000044/q4fy19exhibit991er.htm" TargetMode="External"/><Relationship Id="rId293" Type="http://schemas.openxmlformats.org/officeDocument/2006/relationships/hyperlink" Target="https://www.sec.gov/Archives/edgar/data/320187/000032018719000071/nke-831201910q.htm" TargetMode="External"/><Relationship Id="rId294" Type="http://schemas.openxmlformats.org/officeDocument/2006/relationships/hyperlink" Target="https://www.sec.gov/Archives/edgar/data/320187/000032018720000004/nke-1130201910q.htm" TargetMode="External"/><Relationship Id="rId295" Type="http://schemas.openxmlformats.org/officeDocument/2006/relationships/hyperlink" Target="https://www.sec.gov/Archives/edgar/data/320187/000032018720000018/nke-229202010q.htm" TargetMode="External"/><Relationship Id="rId296" Type="http://schemas.openxmlformats.org/officeDocument/2006/relationships/hyperlink" Target="https://www.sec.gov/Archives/edgar/data/320187/000032018720000033/q4fy20exhibit991er.htm" TargetMode="External"/><Relationship Id="rId297" Type="http://schemas.openxmlformats.org/officeDocument/2006/relationships/hyperlink" Target="https://www.sec.gov/Archives/edgar/data/320187/000032018720000061/nke-20200831.htm" TargetMode="External"/><Relationship Id="rId298" Type="http://schemas.openxmlformats.org/officeDocument/2006/relationships/hyperlink" Target="https://www.sec.gov/Archives/edgar/data/320187/000032018721000003/nke-20201130.htm" TargetMode="External"/><Relationship Id="rId299" Type="http://schemas.openxmlformats.org/officeDocument/2006/relationships/hyperlink" Target="https://www.sec.gov/Archives/edgar/data/320187/000032018721000012/nke-20210228.htm" TargetMode="External"/><Relationship Id="rId300" Type="http://schemas.openxmlformats.org/officeDocument/2006/relationships/hyperlink" Target="https://www.sec.gov/Archives/edgar/data/320187/000032018721000025/q4fy21exhibit991er.htm" TargetMode="External"/><Relationship Id="rId301" Type="http://schemas.openxmlformats.org/officeDocument/2006/relationships/hyperlink" Target="https://www.sec.gov/Archives/edgar/data/320187/000032018718000213/nke-08312018x10q.htm" TargetMode="External"/><Relationship Id="rId302" Type="http://schemas.openxmlformats.org/officeDocument/2006/relationships/hyperlink" Target="https://www.sec.gov/Archives/edgar/data/320187/000032018719000007/nke-11302018x10q.htm" TargetMode="External"/><Relationship Id="rId303" Type="http://schemas.openxmlformats.org/officeDocument/2006/relationships/hyperlink" Target="https://www.sec.gov/Archives/edgar/data/320187/000032018719000030/nke-02282019x10q.htm" TargetMode="External"/><Relationship Id="rId304" Type="http://schemas.openxmlformats.org/officeDocument/2006/relationships/hyperlink" Target="https://www.sec.gov/Archives/edgar/data/320187/000032018719000044/q4fy19exhibit991er.htm" TargetMode="External"/><Relationship Id="rId305" Type="http://schemas.openxmlformats.org/officeDocument/2006/relationships/hyperlink" Target="https://www.sec.gov/Archives/edgar/data/320187/000032018719000071/nke-831201910q.htm" TargetMode="External"/><Relationship Id="rId306" Type="http://schemas.openxmlformats.org/officeDocument/2006/relationships/hyperlink" Target="https://www.sec.gov/Archives/edgar/data/320187/000032018720000004/nke-1130201910q.htm" TargetMode="External"/><Relationship Id="rId307" Type="http://schemas.openxmlformats.org/officeDocument/2006/relationships/hyperlink" Target="https://www.sec.gov/Archives/edgar/data/320187/000032018720000018/nke-229202010q.htm" TargetMode="External"/><Relationship Id="rId308" Type="http://schemas.openxmlformats.org/officeDocument/2006/relationships/hyperlink" Target="https://www.sec.gov/Archives/edgar/data/320187/000032018720000033/q4fy20exhibit991er.htm" TargetMode="External"/><Relationship Id="rId309" Type="http://schemas.openxmlformats.org/officeDocument/2006/relationships/hyperlink" Target="https://www.sec.gov/Archives/edgar/data/320187/000032018720000061/nke-20200831.htm" TargetMode="External"/><Relationship Id="rId310" Type="http://schemas.openxmlformats.org/officeDocument/2006/relationships/hyperlink" Target="https://www.sec.gov/Archives/edgar/data/320187/000032018721000003/nke-20201130.htm" TargetMode="External"/><Relationship Id="rId311" Type="http://schemas.openxmlformats.org/officeDocument/2006/relationships/hyperlink" Target="https://www.sec.gov/Archives/edgar/data/320187/000032018721000012/nke-20210228.htm" TargetMode="External"/><Relationship Id="rId312" Type="http://schemas.openxmlformats.org/officeDocument/2006/relationships/hyperlink" Target="https://www.sec.gov/Archives/edgar/data/320187/000032018721000025/q4fy21exhibit991er.htm" TargetMode="External"/><Relationship Id="rId313" Type="http://schemas.openxmlformats.org/officeDocument/2006/relationships/hyperlink" Target="https://www.sec.gov/Archives/edgar/data/320187/000032018718000213/nke-08312018x10q.htm" TargetMode="External"/><Relationship Id="rId314" Type="http://schemas.openxmlformats.org/officeDocument/2006/relationships/hyperlink" Target="https://www.sec.gov/Archives/edgar/data/320187/000032018719000007/nke-11302018x10q.htm" TargetMode="External"/><Relationship Id="rId315" Type="http://schemas.openxmlformats.org/officeDocument/2006/relationships/hyperlink" Target="https://www.sec.gov/Archives/edgar/data/320187/000032018719000030/nke-02282019x10q.htm" TargetMode="External"/><Relationship Id="rId316" Type="http://schemas.openxmlformats.org/officeDocument/2006/relationships/hyperlink" Target="https://www.sec.gov/Archives/edgar/data/320187/000032018719000044/q4fy19exhibit991er.htm" TargetMode="External"/><Relationship Id="rId317" Type="http://schemas.openxmlformats.org/officeDocument/2006/relationships/hyperlink" Target="https://www.sec.gov/Archives/edgar/data/320187/000032018719000071/nke-831201910q.htm" TargetMode="External"/><Relationship Id="rId318" Type="http://schemas.openxmlformats.org/officeDocument/2006/relationships/hyperlink" Target="https://www.sec.gov/Archives/edgar/data/320187/000032018720000004/nke-1130201910q.htm" TargetMode="External"/><Relationship Id="rId319" Type="http://schemas.openxmlformats.org/officeDocument/2006/relationships/hyperlink" Target="https://www.sec.gov/Archives/edgar/data/320187/000032018720000018/nke-229202010q.htm" TargetMode="External"/><Relationship Id="rId320" Type="http://schemas.openxmlformats.org/officeDocument/2006/relationships/hyperlink" Target="https://www.sec.gov/Archives/edgar/data/320187/000032018720000033/q4fy20exhibit991er.htm" TargetMode="External"/><Relationship Id="rId321" Type="http://schemas.openxmlformats.org/officeDocument/2006/relationships/hyperlink" Target="https://www.sec.gov/Archives/edgar/data/320187/000032018720000061/nke-20200831.htm" TargetMode="External"/><Relationship Id="rId322" Type="http://schemas.openxmlformats.org/officeDocument/2006/relationships/hyperlink" Target="https://www.sec.gov/Archives/edgar/data/320187/000032018721000003/nke-20201130.htm" TargetMode="External"/><Relationship Id="rId323" Type="http://schemas.openxmlformats.org/officeDocument/2006/relationships/hyperlink" Target="https://www.sec.gov/Archives/edgar/data/320187/000032018721000012/nke-20210228.htm" TargetMode="External"/><Relationship Id="rId324" Type="http://schemas.openxmlformats.org/officeDocument/2006/relationships/hyperlink" Target="https://www.sec.gov/Archives/edgar/data/320187/000032018721000025/q4fy21exhibit991er.htm" TargetMode="External"/><Relationship Id="rId325" Type="http://schemas.openxmlformats.org/officeDocument/2006/relationships/hyperlink" Target="https://www.sec.gov/Archives/edgar/data/320187/000032018718000213/nke-08312018x10q.htm" TargetMode="External"/><Relationship Id="rId326" Type="http://schemas.openxmlformats.org/officeDocument/2006/relationships/hyperlink" Target="https://www.sec.gov/Archives/edgar/data/320187/000032018719000007/nke-11302018x10q.htm" TargetMode="External"/><Relationship Id="rId327" Type="http://schemas.openxmlformats.org/officeDocument/2006/relationships/hyperlink" Target="https://www.sec.gov/Archives/edgar/data/320187/000032018719000030/nke-02282019x10q.htm" TargetMode="External"/><Relationship Id="rId328" Type="http://schemas.openxmlformats.org/officeDocument/2006/relationships/hyperlink" Target="https://www.sec.gov/Archives/edgar/data/320187/000032018719000044/q4fy19exhibit991er.htm" TargetMode="External"/><Relationship Id="rId329" Type="http://schemas.openxmlformats.org/officeDocument/2006/relationships/hyperlink" Target="https://www.sec.gov/Archives/edgar/data/320187/000032018719000071/nke-831201910q.htm" TargetMode="External"/><Relationship Id="rId330" Type="http://schemas.openxmlformats.org/officeDocument/2006/relationships/hyperlink" Target="https://www.sec.gov/Archives/edgar/data/320187/000032018720000004/nke-1130201910q.htm" TargetMode="External"/><Relationship Id="rId331" Type="http://schemas.openxmlformats.org/officeDocument/2006/relationships/hyperlink" Target="https://www.sec.gov/Archives/edgar/data/320187/000032018720000018/nke-229202010q.htm" TargetMode="External"/><Relationship Id="rId332" Type="http://schemas.openxmlformats.org/officeDocument/2006/relationships/hyperlink" Target="https://www.sec.gov/Archives/edgar/data/320187/000032018720000033/q4fy20exhibit991er.htm" TargetMode="External"/><Relationship Id="rId333" Type="http://schemas.openxmlformats.org/officeDocument/2006/relationships/hyperlink" Target="https://www.sec.gov/Archives/edgar/data/320187/000032018720000061/nke-20200831.htm" TargetMode="External"/><Relationship Id="rId334" Type="http://schemas.openxmlformats.org/officeDocument/2006/relationships/hyperlink" Target="https://www.sec.gov/Archives/edgar/data/320187/000032018721000003/nke-20201130.htm" TargetMode="External"/><Relationship Id="rId335" Type="http://schemas.openxmlformats.org/officeDocument/2006/relationships/hyperlink" Target="https://www.sec.gov/Archives/edgar/data/320187/000032018721000012/nke-20210228.htm" TargetMode="External"/><Relationship Id="rId336" Type="http://schemas.openxmlformats.org/officeDocument/2006/relationships/hyperlink" Target="https://www.sec.gov/Archives/edgar/data/320187/000032018721000025/q4fy21exhibit991er.htm" TargetMode="External"/><Relationship Id="rId337" Type="http://schemas.openxmlformats.org/officeDocument/2006/relationships/hyperlink" Target="https://www.sec.gov/Archives/edgar/data/320187/000032018718000213/nke-08312018x10q.htm" TargetMode="External"/><Relationship Id="rId338" Type="http://schemas.openxmlformats.org/officeDocument/2006/relationships/hyperlink" Target="https://www.sec.gov/Archives/edgar/data/320187/000032018719000007/nke-11302018x10q.htm" TargetMode="External"/><Relationship Id="rId339" Type="http://schemas.openxmlformats.org/officeDocument/2006/relationships/hyperlink" Target="https://www.sec.gov/Archives/edgar/data/320187/000032018719000030/nke-02282019x10q.htm" TargetMode="External"/><Relationship Id="rId340" Type="http://schemas.openxmlformats.org/officeDocument/2006/relationships/hyperlink" Target="https://www.sec.gov/Archives/edgar/data/320187/000032018719000044/q4fy19exhibit991er.htm" TargetMode="External"/><Relationship Id="rId341" Type="http://schemas.openxmlformats.org/officeDocument/2006/relationships/hyperlink" Target="https://www.sec.gov/Archives/edgar/data/320187/000032018719000071/nke-831201910q.htm" TargetMode="External"/><Relationship Id="rId342" Type="http://schemas.openxmlformats.org/officeDocument/2006/relationships/hyperlink" Target="https://www.sec.gov/Archives/edgar/data/320187/000032018720000004/nke-1130201910q.htm" TargetMode="External"/><Relationship Id="rId343" Type="http://schemas.openxmlformats.org/officeDocument/2006/relationships/hyperlink" Target="https://www.sec.gov/Archives/edgar/data/320187/000032018720000018/nke-229202010q.htm" TargetMode="External"/><Relationship Id="rId344" Type="http://schemas.openxmlformats.org/officeDocument/2006/relationships/hyperlink" Target="https://www.sec.gov/Archives/edgar/data/320187/000032018720000033/q4fy20exhibit991er.htm" TargetMode="External"/><Relationship Id="rId345" Type="http://schemas.openxmlformats.org/officeDocument/2006/relationships/hyperlink" Target="https://www.sec.gov/Archives/edgar/data/320187/000032018720000061/nke-20200831.htm" TargetMode="External"/><Relationship Id="rId346" Type="http://schemas.openxmlformats.org/officeDocument/2006/relationships/hyperlink" Target="https://www.sec.gov/Archives/edgar/data/320187/000032018721000003/nke-20201130.htm" TargetMode="External"/><Relationship Id="rId347" Type="http://schemas.openxmlformats.org/officeDocument/2006/relationships/hyperlink" Target="https://www.sec.gov/Archives/edgar/data/320187/000032018721000012/nke-20210228.htm" TargetMode="External"/><Relationship Id="rId348" Type="http://schemas.openxmlformats.org/officeDocument/2006/relationships/hyperlink" Target="https://www.sec.gov/Archives/edgar/data/320187/000032018721000025/q4fy21exhibit991er.htm" TargetMode="External"/></Relationships>
</file>

<file path=xl/worksheets/_rels/sheet4.xml.rels><?xml version="1.0" encoding="UTF-8" standalone="yes"?>
<Relationships xmlns="http://schemas.openxmlformats.org/package/2006/relationships"><Relationship Id="rId1" Type="http://schemas.openxmlformats.org/officeDocument/2006/relationships/hyperlink" Target="https://www.sec.gov/Archives/edgar/data/320187/000032018719000051/nke-531201910k.htm" TargetMode="External"/><Relationship Id="rId2" Type="http://schemas.openxmlformats.org/officeDocument/2006/relationships/hyperlink" Target="https://www.sec.gov/Archives/edgar/data/320187/000032018720000047/nke-531202010k.htm" TargetMode="External"/><Relationship Id="rId3" Type="http://schemas.openxmlformats.org/officeDocument/2006/relationships/hyperlink" Target="https://www.sec.gov/Archives/edgar/data/320187/000032018721000028/nke-20210531.htm" TargetMode="External"/><Relationship Id="rId4" Type="http://schemas.openxmlformats.org/officeDocument/2006/relationships/hyperlink" Target="https://www.sec.gov/Archives/edgar/data/320187/000032018718000213/nke-08312018x10q.htm" TargetMode="External"/><Relationship Id="rId5" Type="http://schemas.openxmlformats.org/officeDocument/2006/relationships/hyperlink" Target="https://www.sec.gov/Archives/edgar/data/320187/000032018719000007/nke-11302018x10q.htm" TargetMode="External"/><Relationship Id="rId6" Type="http://schemas.openxmlformats.org/officeDocument/2006/relationships/hyperlink" Target="https://www.sec.gov/Archives/edgar/data/320187/000032018719000030/nke-02282019x10q.htm" TargetMode="External"/><Relationship Id="rId7" Type="http://schemas.openxmlformats.org/officeDocument/2006/relationships/hyperlink" Target="https://www.sec.gov/Archives/edgar/data/320187/000032018719000051/nke-531201910k.htm" TargetMode="External"/><Relationship Id="rId8" Type="http://schemas.openxmlformats.org/officeDocument/2006/relationships/hyperlink" Target="https://www.sec.gov/Archives/edgar/data/320187/000032018719000071/nke-831201910q.htm" TargetMode="External"/><Relationship Id="rId9" Type="http://schemas.openxmlformats.org/officeDocument/2006/relationships/hyperlink" Target="https://www.sec.gov/Archives/edgar/data/320187/000032018720000004/nke-1130201910q.htm" TargetMode="External"/><Relationship Id="rId10" Type="http://schemas.openxmlformats.org/officeDocument/2006/relationships/hyperlink" Target="https://www.sec.gov/Archives/edgar/data/320187/000032018720000018/nke-229202010q.htm" TargetMode="External"/><Relationship Id="rId11" Type="http://schemas.openxmlformats.org/officeDocument/2006/relationships/hyperlink" Target="https://www.sec.gov/Archives/edgar/data/320187/000032018720000047/nke-531202010k.htm" TargetMode="External"/><Relationship Id="rId12" Type="http://schemas.openxmlformats.org/officeDocument/2006/relationships/hyperlink" Target="https://www.sec.gov/Archives/edgar/data/320187/000032018720000061/nke-20200831.htm" TargetMode="External"/><Relationship Id="rId13" Type="http://schemas.openxmlformats.org/officeDocument/2006/relationships/hyperlink" Target="https://www.sec.gov/Archives/edgar/data/320187/000032018721000003/nke-20201130.htm" TargetMode="External"/><Relationship Id="rId14" Type="http://schemas.openxmlformats.org/officeDocument/2006/relationships/hyperlink" Target="https://www.sec.gov/Archives/edgar/data/320187/000032018721000012/nke-20210228.htm" TargetMode="External"/><Relationship Id="rId15" Type="http://schemas.openxmlformats.org/officeDocument/2006/relationships/hyperlink" Target="https://www.sec.gov/Archives/edgar/data/320187/000032018721000028/nke-20210531.htm" TargetMode="External"/><Relationship Id="rId16" Type="http://schemas.openxmlformats.org/officeDocument/2006/relationships/hyperlink" Target="https://www.sec.gov/Archives/edgar/data/320187/000032018719000051/nke-531201910k.htm" TargetMode="External"/><Relationship Id="rId17" Type="http://schemas.openxmlformats.org/officeDocument/2006/relationships/hyperlink" Target="https://www.sec.gov/Archives/edgar/data/320187/000032018720000047/nke-531202010k.htm" TargetMode="External"/><Relationship Id="rId18" Type="http://schemas.openxmlformats.org/officeDocument/2006/relationships/hyperlink" Target="https://www.sec.gov/Archives/edgar/data/320187/000032018721000028/nke-20210531.htm" TargetMode="External"/><Relationship Id="rId19" Type="http://schemas.openxmlformats.org/officeDocument/2006/relationships/hyperlink" Target="https://www.sec.gov/Archives/edgar/data/320187/000032018718000213/nke-08312018x10q.htm" TargetMode="External"/><Relationship Id="rId20" Type="http://schemas.openxmlformats.org/officeDocument/2006/relationships/hyperlink" Target="https://www.sec.gov/Archives/edgar/data/320187/000032018719000007/nke-11302018x10q.htm" TargetMode="External"/><Relationship Id="rId21" Type="http://schemas.openxmlformats.org/officeDocument/2006/relationships/hyperlink" Target="https://www.sec.gov/Archives/edgar/data/320187/000032018719000030/nke-02282019x10q.htm" TargetMode="External"/><Relationship Id="rId22" Type="http://schemas.openxmlformats.org/officeDocument/2006/relationships/hyperlink" Target="https://www.sec.gov/Archives/edgar/data/320187/000032018719000051/nke-531201910k.htm" TargetMode="External"/><Relationship Id="rId23" Type="http://schemas.openxmlformats.org/officeDocument/2006/relationships/hyperlink" Target="https://www.sec.gov/Archives/edgar/data/320187/000032018719000071/nke-831201910q.htm" TargetMode="External"/><Relationship Id="rId24" Type="http://schemas.openxmlformats.org/officeDocument/2006/relationships/hyperlink" Target="https://www.sec.gov/Archives/edgar/data/320187/000032018720000004/nke-1130201910q.htm" TargetMode="External"/><Relationship Id="rId25" Type="http://schemas.openxmlformats.org/officeDocument/2006/relationships/hyperlink" Target="https://www.sec.gov/Archives/edgar/data/320187/000032018720000018/nke-229202010q.htm" TargetMode="External"/><Relationship Id="rId26" Type="http://schemas.openxmlformats.org/officeDocument/2006/relationships/hyperlink" Target="https://www.sec.gov/Archives/edgar/data/320187/000032018720000047/nke-531202010k.htm" TargetMode="External"/><Relationship Id="rId27" Type="http://schemas.openxmlformats.org/officeDocument/2006/relationships/hyperlink" Target="https://www.sec.gov/Archives/edgar/data/320187/000032018720000061/nke-20200831.htm" TargetMode="External"/><Relationship Id="rId28" Type="http://schemas.openxmlformats.org/officeDocument/2006/relationships/hyperlink" Target="https://www.sec.gov/Archives/edgar/data/320187/000032018721000003/nke-20201130.htm" TargetMode="External"/><Relationship Id="rId29" Type="http://schemas.openxmlformats.org/officeDocument/2006/relationships/hyperlink" Target="https://www.sec.gov/Archives/edgar/data/320187/000032018721000012/nke-20210228.htm" TargetMode="External"/><Relationship Id="rId30" Type="http://schemas.openxmlformats.org/officeDocument/2006/relationships/hyperlink" Target="https://www.sec.gov/Archives/edgar/data/320187/000032018721000028/nke-20210531.htm" TargetMode="External"/><Relationship Id="rId31" Type="http://schemas.openxmlformats.org/officeDocument/2006/relationships/hyperlink" Target="https://www.sec.gov/Archives/edgar/data/320187/000032018719000051/nke-531201910k.htm" TargetMode="External"/><Relationship Id="rId32" Type="http://schemas.openxmlformats.org/officeDocument/2006/relationships/hyperlink" Target="https://www.sec.gov/Archives/edgar/data/320187/000032018720000047/nke-531202010k.htm" TargetMode="External"/><Relationship Id="rId33" Type="http://schemas.openxmlformats.org/officeDocument/2006/relationships/hyperlink" Target="https://www.sec.gov/Archives/edgar/data/320187/000032018721000028/nke-20210531.htm" TargetMode="External"/><Relationship Id="rId34" Type="http://schemas.openxmlformats.org/officeDocument/2006/relationships/hyperlink" Target="https://www.sec.gov/Archives/edgar/data/320187/000032018718000213/nke-08312018x10q.htm" TargetMode="External"/><Relationship Id="rId35" Type="http://schemas.openxmlformats.org/officeDocument/2006/relationships/hyperlink" Target="https://www.sec.gov/Archives/edgar/data/320187/000032018719000007/nke-11302018x10q.htm" TargetMode="External"/><Relationship Id="rId36" Type="http://schemas.openxmlformats.org/officeDocument/2006/relationships/hyperlink" Target="https://www.sec.gov/Archives/edgar/data/320187/000032018719000030/nke-02282019x10q.htm" TargetMode="External"/><Relationship Id="rId37" Type="http://schemas.openxmlformats.org/officeDocument/2006/relationships/hyperlink" Target="https://www.sec.gov/Archives/edgar/data/320187/000032018719000051/nke-531201910k.htm" TargetMode="External"/><Relationship Id="rId38" Type="http://schemas.openxmlformats.org/officeDocument/2006/relationships/hyperlink" Target="https://www.sec.gov/Archives/edgar/data/320187/000032018719000071/nke-831201910q.htm" TargetMode="External"/><Relationship Id="rId39" Type="http://schemas.openxmlformats.org/officeDocument/2006/relationships/hyperlink" Target="https://www.sec.gov/Archives/edgar/data/320187/000032018720000004/nke-1130201910q.htm" TargetMode="External"/><Relationship Id="rId40" Type="http://schemas.openxmlformats.org/officeDocument/2006/relationships/hyperlink" Target="https://www.sec.gov/Archives/edgar/data/320187/000032018720000018/nke-229202010q.htm" TargetMode="External"/><Relationship Id="rId41" Type="http://schemas.openxmlformats.org/officeDocument/2006/relationships/hyperlink" Target="https://www.sec.gov/Archives/edgar/data/320187/000032018720000047/nke-531202010k.htm" TargetMode="External"/><Relationship Id="rId42" Type="http://schemas.openxmlformats.org/officeDocument/2006/relationships/hyperlink" Target="https://www.sec.gov/Archives/edgar/data/320187/000032018720000061/nke-20200831.htm" TargetMode="External"/><Relationship Id="rId43" Type="http://schemas.openxmlformats.org/officeDocument/2006/relationships/hyperlink" Target="https://www.sec.gov/Archives/edgar/data/320187/000032018721000003/nke-20201130.htm" TargetMode="External"/><Relationship Id="rId44" Type="http://schemas.openxmlformats.org/officeDocument/2006/relationships/hyperlink" Target="https://www.sec.gov/Archives/edgar/data/320187/000032018721000012/nke-20210228.htm" TargetMode="External"/><Relationship Id="rId45" Type="http://schemas.openxmlformats.org/officeDocument/2006/relationships/hyperlink" Target="https://www.sec.gov/Archives/edgar/data/320187/000032018721000028/nke-20210531.htm" TargetMode="External"/><Relationship Id="rId46" Type="http://schemas.openxmlformats.org/officeDocument/2006/relationships/hyperlink" Target="https://www.sec.gov/Archives/edgar/data/320187/000032018719000051/nke-531201910k.htm" TargetMode="External"/><Relationship Id="rId47" Type="http://schemas.openxmlformats.org/officeDocument/2006/relationships/hyperlink" Target="https://www.sec.gov/Archives/edgar/data/320187/000032018720000047/nke-531202010k.htm" TargetMode="External"/><Relationship Id="rId48" Type="http://schemas.openxmlformats.org/officeDocument/2006/relationships/hyperlink" Target="https://www.sec.gov/Archives/edgar/data/320187/000032018721000028/nke-20210531.htm" TargetMode="External"/><Relationship Id="rId49" Type="http://schemas.openxmlformats.org/officeDocument/2006/relationships/hyperlink" Target="https://www.sec.gov/Archives/edgar/data/320187/000032018719000051/nke-531201910k.htm" TargetMode="External"/><Relationship Id="rId50" Type="http://schemas.openxmlformats.org/officeDocument/2006/relationships/hyperlink" Target="https://www.sec.gov/Archives/edgar/data/320187/000032018720000047/nke-531202010k.htm" TargetMode="External"/><Relationship Id="rId51" Type="http://schemas.openxmlformats.org/officeDocument/2006/relationships/hyperlink" Target="https://www.sec.gov/Archives/edgar/data/320187/000032018721000028/nke-20210531.htm" TargetMode="External"/><Relationship Id="rId52" Type="http://schemas.openxmlformats.org/officeDocument/2006/relationships/hyperlink" Target="https://www.sec.gov/Archives/edgar/data/320187/000032018718000213/nke-08312018x10q.htm" TargetMode="External"/><Relationship Id="rId53" Type="http://schemas.openxmlformats.org/officeDocument/2006/relationships/hyperlink" Target="https://www.sec.gov/Archives/edgar/data/320187/000032018719000007/nke-11302018x10q.htm" TargetMode="External"/><Relationship Id="rId54" Type="http://schemas.openxmlformats.org/officeDocument/2006/relationships/hyperlink" Target="https://www.sec.gov/Archives/edgar/data/320187/000032018719000030/nke-02282019x10q.htm" TargetMode="External"/><Relationship Id="rId55" Type="http://schemas.openxmlformats.org/officeDocument/2006/relationships/hyperlink" Target="https://www.sec.gov/Archives/edgar/data/320187/000032018719000051/nke-531201910k.htm" TargetMode="External"/><Relationship Id="rId56" Type="http://schemas.openxmlformats.org/officeDocument/2006/relationships/hyperlink" Target="https://www.sec.gov/Archives/edgar/data/320187/000032018719000071/nke-831201910q.htm" TargetMode="External"/><Relationship Id="rId57" Type="http://schemas.openxmlformats.org/officeDocument/2006/relationships/hyperlink" Target="https://www.sec.gov/Archives/edgar/data/320187/000032018720000004/nke-1130201910q.htm" TargetMode="External"/><Relationship Id="rId58" Type="http://schemas.openxmlformats.org/officeDocument/2006/relationships/hyperlink" Target="https://www.sec.gov/Archives/edgar/data/320187/000032018720000018/nke-229202010q.htm" TargetMode="External"/><Relationship Id="rId59" Type="http://schemas.openxmlformats.org/officeDocument/2006/relationships/hyperlink" Target="https://www.sec.gov/Archives/edgar/data/320187/000032018720000047/nke-531202010k.htm" TargetMode="External"/><Relationship Id="rId60" Type="http://schemas.openxmlformats.org/officeDocument/2006/relationships/hyperlink" Target="https://www.sec.gov/Archives/edgar/data/320187/000032018720000061/nke-20200831.htm" TargetMode="External"/><Relationship Id="rId61" Type="http://schemas.openxmlformats.org/officeDocument/2006/relationships/hyperlink" Target="https://www.sec.gov/Archives/edgar/data/320187/000032018721000003/nke-20201130.htm" TargetMode="External"/><Relationship Id="rId62" Type="http://schemas.openxmlformats.org/officeDocument/2006/relationships/hyperlink" Target="https://www.sec.gov/Archives/edgar/data/320187/000032018721000012/nke-20210228.htm" TargetMode="External"/><Relationship Id="rId63" Type="http://schemas.openxmlformats.org/officeDocument/2006/relationships/hyperlink" Target="https://www.sec.gov/Archives/edgar/data/320187/000032018721000028/nke-20210531.htm" TargetMode="External"/><Relationship Id="rId64" Type="http://schemas.openxmlformats.org/officeDocument/2006/relationships/hyperlink" Target="https://www.sec.gov/Archives/edgar/data/320187/000032018719000051/nke-531201910k.htm" TargetMode="External"/><Relationship Id="rId65" Type="http://schemas.openxmlformats.org/officeDocument/2006/relationships/hyperlink" Target="https://www.sec.gov/Archives/edgar/data/320187/000032018720000047/nke-531202010k.htm" TargetMode="External"/><Relationship Id="rId66" Type="http://schemas.openxmlformats.org/officeDocument/2006/relationships/hyperlink" Target="https://www.sec.gov/Archives/edgar/data/320187/000032018721000028/nke-20210531.htm" TargetMode="External"/><Relationship Id="rId67" Type="http://schemas.openxmlformats.org/officeDocument/2006/relationships/hyperlink" Target="https://www.sec.gov/Archives/edgar/data/320187/000032018718000213/nke-08312018x10q.htm" TargetMode="External"/><Relationship Id="rId68" Type="http://schemas.openxmlformats.org/officeDocument/2006/relationships/hyperlink" Target="https://www.sec.gov/Archives/edgar/data/320187/000032018719000007/nke-11302018x10q.htm" TargetMode="External"/><Relationship Id="rId69" Type="http://schemas.openxmlformats.org/officeDocument/2006/relationships/hyperlink" Target="https://www.sec.gov/Archives/edgar/data/320187/000032018719000030/nke-02282019x10q.htm" TargetMode="External"/><Relationship Id="rId70" Type="http://schemas.openxmlformats.org/officeDocument/2006/relationships/hyperlink" Target="https://www.sec.gov/Archives/edgar/data/320187/000032018719000051/nke-531201910k.htm" TargetMode="External"/><Relationship Id="rId71" Type="http://schemas.openxmlformats.org/officeDocument/2006/relationships/hyperlink" Target="https://www.sec.gov/Archives/edgar/data/320187/000032018719000071/nke-831201910q.htm" TargetMode="External"/><Relationship Id="rId72" Type="http://schemas.openxmlformats.org/officeDocument/2006/relationships/hyperlink" Target="https://www.sec.gov/Archives/edgar/data/320187/000032018720000004/nke-1130201910q.htm" TargetMode="External"/><Relationship Id="rId73" Type="http://schemas.openxmlformats.org/officeDocument/2006/relationships/hyperlink" Target="https://www.sec.gov/Archives/edgar/data/320187/000032018720000018/nke-229202010q.htm" TargetMode="External"/><Relationship Id="rId74" Type="http://schemas.openxmlformats.org/officeDocument/2006/relationships/hyperlink" Target="https://www.sec.gov/Archives/edgar/data/320187/000032018720000047/nke-531202010k.htm" TargetMode="External"/><Relationship Id="rId75" Type="http://schemas.openxmlformats.org/officeDocument/2006/relationships/hyperlink" Target="https://www.sec.gov/Archives/edgar/data/320187/000032018720000061/nke-20200831.htm" TargetMode="External"/><Relationship Id="rId76" Type="http://schemas.openxmlformats.org/officeDocument/2006/relationships/hyperlink" Target="https://www.sec.gov/Archives/edgar/data/320187/000032018721000003/nke-20201130.htm" TargetMode="External"/><Relationship Id="rId77" Type="http://schemas.openxmlformats.org/officeDocument/2006/relationships/hyperlink" Target="https://www.sec.gov/Archives/edgar/data/320187/000032018721000012/nke-20210228.htm" TargetMode="External"/><Relationship Id="rId78" Type="http://schemas.openxmlformats.org/officeDocument/2006/relationships/hyperlink" Target="https://www.sec.gov/Archives/edgar/data/320187/000032018721000028/nke-20210531.htm" TargetMode="External"/><Relationship Id="rId79" Type="http://schemas.openxmlformats.org/officeDocument/2006/relationships/hyperlink" Target="https://www.sec.gov/Archives/edgar/data/320187/000032018719000051/nke-531201910k.htm" TargetMode="External"/><Relationship Id="rId80" Type="http://schemas.openxmlformats.org/officeDocument/2006/relationships/hyperlink" Target="https://www.sec.gov/Archives/edgar/data/320187/000032018720000047/nke-531202010k.htm" TargetMode="External"/><Relationship Id="rId81" Type="http://schemas.openxmlformats.org/officeDocument/2006/relationships/hyperlink" Target="https://www.sec.gov/Archives/edgar/data/320187/000032018721000028/nke-20210531.htm" TargetMode="External"/><Relationship Id="rId82" Type="http://schemas.openxmlformats.org/officeDocument/2006/relationships/hyperlink" Target="https://www.sec.gov/Archives/edgar/data/320187/000032018718000213/nke-08312018x10q.htm" TargetMode="External"/><Relationship Id="rId83" Type="http://schemas.openxmlformats.org/officeDocument/2006/relationships/hyperlink" Target="https://www.sec.gov/Archives/edgar/data/320187/000032018719000007/nke-11302018x10q.htm" TargetMode="External"/><Relationship Id="rId84" Type="http://schemas.openxmlformats.org/officeDocument/2006/relationships/hyperlink" Target="https://www.sec.gov/Archives/edgar/data/320187/000032018719000030/nke-02282019x10q.htm" TargetMode="External"/><Relationship Id="rId85" Type="http://schemas.openxmlformats.org/officeDocument/2006/relationships/hyperlink" Target="https://www.sec.gov/Archives/edgar/data/320187/000032018719000051/nke-531201910k.htm" TargetMode="External"/><Relationship Id="rId86" Type="http://schemas.openxmlformats.org/officeDocument/2006/relationships/hyperlink" Target="https://www.sec.gov/Archives/edgar/data/320187/000032018719000071/nke-831201910q.htm" TargetMode="External"/><Relationship Id="rId87" Type="http://schemas.openxmlformats.org/officeDocument/2006/relationships/hyperlink" Target="https://www.sec.gov/Archives/edgar/data/320187/000032018720000004/nke-1130201910q.htm" TargetMode="External"/><Relationship Id="rId88" Type="http://schemas.openxmlformats.org/officeDocument/2006/relationships/hyperlink" Target="https://www.sec.gov/Archives/edgar/data/320187/000032018720000018/nke-229202010q.htm" TargetMode="External"/><Relationship Id="rId89" Type="http://schemas.openxmlformats.org/officeDocument/2006/relationships/hyperlink" Target="https://www.sec.gov/Archives/edgar/data/320187/000032018720000047/nke-531202010k.htm" TargetMode="External"/><Relationship Id="rId90" Type="http://schemas.openxmlformats.org/officeDocument/2006/relationships/hyperlink" Target="https://www.sec.gov/Archives/edgar/data/320187/000032018720000061/nke-20200831.htm" TargetMode="External"/><Relationship Id="rId91" Type="http://schemas.openxmlformats.org/officeDocument/2006/relationships/hyperlink" Target="https://www.sec.gov/Archives/edgar/data/320187/000032018721000003/nke-20201130.htm" TargetMode="External"/><Relationship Id="rId92" Type="http://schemas.openxmlformats.org/officeDocument/2006/relationships/hyperlink" Target="https://www.sec.gov/Archives/edgar/data/320187/000032018721000012/nke-20210228.htm" TargetMode="External"/><Relationship Id="rId93" Type="http://schemas.openxmlformats.org/officeDocument/2006/relationships/hyperlink" Target="https://www.sec.gov/Archives/edgar/data/320187/000032018721000028/nke-20210531.htm" TargetMode="External"/><Relationship Id="rId94" Type="http://schemas.openxmlformats.org/officeDocument/2006/relationships/hyperlink" Target="https://www.sec.gov/Archives/edgar/data/320187/000032018719000051/nke-531201910k.htm" TargetMode="External"/><Relationship Id="rId95" Type="http://schemas.openxmlformats.org/officeDocument/2006/relationships/hyperlink" Target="https://www.sec.gov/Archives/edgar/data/320187/000032018720000047/nke-531202010k.htm" TargetMode="External"/><Relationship Id="rId96" Type="http://schemas.openxmlformats.org/officeDocument/2006/relationships/hyperlink" Target="https://www.sec.gov/Archives/edgar/data/320187/000032018721000028/nke-20210531.htm" TargetMode="External"/><Relationship Id="rId97" Type="http://schemas.openxmlformats.org/officeDocument/2006/relationships/hyperlink" Target="https://www.sec.gov/Archives/edgar/data/320187/000032018719000051/nke-531201910k.htm" TargetMode="External"/><Relationship Id="rId98" Type="http://schemas.openxmlformats.org/officeDocument/2006/relationships/hyperlink" Target="https://www.sec.gov/Archives/edgar/data/320187/000032018720000047/nke-531202010k.htm" TargetMode="External"/><Relationship Id="rId99" Type="http://schemas.openxmlformats.org/officeDocument/2006/relationships/hyperlink" Target="https://www.sec.gov/Archives/edgar/data/320187/000032018721000028/nke-20210531.htm" TargetMode="External"/><Relationship Id="rId100" Type="http://schemas.openxmlformats.org/officeDocument/2006/relationships/hyperlink" Target="https://www.sec.gov/Archives/edgar/data/320187/000032018718000213/nke-08312018x10q.htm" TargetMode="External"/><Relationship Id="rId101" Type="http://schemas.openxmlformats.org/officeDocument/2006/relationships/hyperlink" Target="https://www.sec.gov/Archives/edgar/data/320187/000032018719000007/nke-11302018x10q.htm" TargetMode="External"/><Relationship Id="rId102" Type="http://schemas.openxmlformats.org/officeDocument/2006/relationships/hyperlink" Target="https://www.sec.gov/Archives/edgar/data/320187/000032018719000030/nke-02282019x10q.htm" TargetMode="External"/><Relationship Id="rId103" Type="http://schemas.openxmlformats.org/officeDocument/2006/relationships/hyperlink" Target="https://www.sec.gov/Archives/edgar/data/320187/000032018719000051/nke-531201910k.htm" TargetMode="External"/><Relationship Id="rId104" Type="http://schemas.openxmlformats.org/officeDocument/2006/relationships/hyperlink" Target="https://www.sec.gov/Archives/edgar/data/320187/000032018719000071/nke-831201910q.htm" TargetMode="External"/><Relationship Id="rId105" Type="http://schemas.openxmlformats.org/officeDocument/2006/relationships/hyperlink" Target="https://www.sec.gov/Archives/edgar/data/320187/000032018720000004/nke-1130201910q.htm" TargetMode="External"/><Relationship Id="rId106" Type="http://schemas.openxmlformats.org/officeDocument/2006/relationships/hyperlink" Target="https://www.sec.gov/Archives/edgar/data/320187/000032018720000018/nke-229202010q.htm" TargetMode="External"/><Relationship Id="rId107" Type="http://schemas.openxmlformats.org/officeDocument/2006/relationships/hyperlink" Target="https://www.sec.gov/Archives/edgar/data/320187/000032018720000047/nke-531202010k.htm" TargetMode="External"/><Relationship Id="rId108" Type="http://schemas.openxmlformats.org/officeDocument/2006/relationships/hyperlink" Target="https://www.sec.gov/Archives/edgar/data/320187/000032018720000061/nke-20200831.htm" TargetMode="External"/><Relationship Id="rId109" Type="http://schemas.openxmlformats.org/officeDocument/2006/relationships/hyperlink" Target="https://www.sec.gov/Archives/edgar/data/320187/000032018721000003/nke-20201130.htm" TargetMode="External"/><Relationship Id="rId110" Type="http://schemas.openxmlformats.org/officeDocument/2006/relationships/hyperlink" Target="https://www.sec.gov/Archives/edgar/data/320187/000032018721000012/nke-20210228.htm" TargetMode="External"/><Relationship Id="rId111" Type="http://schemas.openxmlformats.org/officeDocument/2006/relationships/hyperlink" Target="https://www.sec.gov/Archives/edgar/data/320187/000032018721000028/nke-20210531.htm" TargetMode="External"/><Relationship Id="rId112" Type="http://schemas.openxmlformats.org/officeDocument/2006/relationships/hyperlink" Target="https://www.sec.gov/Archives/edgar/data/320187/000032018719000051/nke-531201910k.htm" TargetMode="External"/><Relationship Id="rId113" Type="http://schemas.openxmlformats.org/officeDocument/2006/relationships/hyperlink" Target="https://www.sec.gov/Archives/edgar/data/320187/000032018720000047/nke-531202010k.htm" TargetMode="External"/><Relationship Id="rId114" Type="http://schemas.openxmlformats.org/officeDocument/2006/relationships/hyperlink" Target="https://www.sec.gov/Archives/edgar/data/320187/000032018721000028/nke-20210531.htm" TargetMode="External"/><Relationship Id="rId115" Type="http://schemas.openxmlformats.org/officeDocument/2006/relationships/hyperlink" Target="https://www.sec.gov/Archives/edgar/data/320187/000032018718000213/nke-08312018x10q.htm" TargetMode="External"/><Relationship Id="rId116" Type="http://schemas.openxmlformats.org/officeDocument/2006/relationships/hyperlink" Target="https://www.sec.gov/Archives/edgar/data/320187/000032018719000007/nke-11302018x10q.htm" TargetMode="External"/><Relationship Id="rId117" Type="http://schemas.openxmlformats.org/officeDocument/2006/relationships/hyperlink" Target="https://www.sec.gov/Archives/edgar/data/320187/000032018719000030/nke-02282019x10q.htm" TargetMode="External"/><Relationship Id="rId118" Type="http://schemas.openxmlformats.org/officeDocument/2006/relationships/hyperlink" Target="https://www.sec.gov/Archives/edgar/data/320187/000032018719000051/nke-531201910k.htm" TargetMode="External"/><Relationship Id="rId119" Type="http://schemas.openxmlformats.org/officeDocument/2006/relationships/hyperlink" Target="https://www.sec.gov/Archives/edgar/data/320187/000032018719000071/nke-831201910q.htm" TargetMode="External"/><Relationship Id="rId120" Type="http://schemas.openxmlformats.org/officeDocument/2006/relationships/hyperlink" Target="https://www.sec.gov/Archives/edgar/data/320187/000032018720000004/nke-1130201910q.htm" TargetMode="External"/><Relationship Id="rId121" Type="http://schemas.openxmlformats.org/officeDocument/2006/relationships/hyperlink" Target="https://www.sec.gov/Archives/edgar/data/320187/000032018720000018/nke-229202010q.htm" TargetMode="External"/><Relationship Id="rId122" Type="http://schemas.openxmlformats.org/officeDocument/2006/relationships/hyperlink" Target="https://www.sec.gov/Archives/edgar/data/320187/000032018720000047/nke-531202010k.htm" TargetMode="External"/><Relationship Id="rId123" Type="http://schemas.openxmlformats.org/officeDocument/2006/relationships/hyperlink" Target="https://www.sec.gov/Archives/edgar/data/320187/000032018720000061/nke-20200831.htm" TargetMode="External"/><Relationship Id="rId124" Type="http://schemas.openxmlformats.org/officeDocument/2006/relationships/hyperlink" Target="https://www.sec.gov/Archives/edgar/data/320187/000032018721000003/nke-20201130.htm" TargetMode="External"/><Relationship Id="rId125" Type="http://schemas.openxmlformats.org/officeDocument/2006/relationships/hyperlink" Target="https://www.sec.gov/Archives/edgar/data/320187/000032018721000012/nke-20210228.htm" TargetMode="External"/><Relationship Id="rId126" Type="http://schemas.openxmlformats.org/officeDocument/2006/relationships/hyperlink" Target="https://www.sec.gov/Archives/edgar/data/320187/000032018721000028/nke-20210531.htm" TargetMode="External"/><Relationship Id="rId127" Type="http://schemas.openxmlformats.org/officeDocument/2006/relationships/hyperlink" Target="https://www.sec.gov/Archives/edgar/data/320187/000032018719000051/nke-531201910k.htm" TargetMode="External"/><Relationship Id="rId128" Type="http://schemas.openxmlformats.org/officeDocument/2006/relationships/hyperlink" Target="https://www.sec.gov/Archives/edgar/data/320187/000032018720000047/nke-531202010k.htm" TargetMode="External"/><Relationship Id="rId129" Type="http://schemas.openxmlformats.org/officeDocument/2006/relationships/hyperlink" Target="https://www.sec.gov/Archives/edgar/data/320187/000032018721000028/nke-20210531.htm" TargetMode="External"/><Relationship Id="rId130" Type="http://schemas.openxmlformats.org/officeDocument/2006/relationships/hyperlink" Target="https://www.sec.gov/Archives/edgar/data/320187/000032018718000213/nke-08312018x10q.htm" TargetMode="External"/><Relationship Id="rId131" Type="http://schemas.openxmlformats.org/officeDocument/2006/relationships/hyperlink" Target="https://www.sec.gov/Archives/edgar/data/320187/000032018719000007/nke-11302018x10q.htm" TargetMode="External"/><Relationship Id="rId132" Type="http://schemas.openxmlformats.org/officeDocument/2006/relationships/hyperlink" Target="https://www.sec.gov/Archives/edgar/data/320187/000032018719000030/nke-02282019x10q.htm" TargetMode="External"/><Relationship Id="rId133" Type="http://schemas.openxmlformats.org/officeDocument/2006/relationships/hyperlink" Target="https://www.sec.gov/Archives/edgar/data/320187/000032018719000051/nke-531201910k.htm" TargetMode="External"/><Relationship Id="rId134" Type="http://schemas.openxmlformats.org/officeDocument/2006/relationships/hyperlink" Target="https://www.sec.gov/Archives/edgar/data/320187/000032018719000071/nke-831201910q.htm" TargetMode="External"/><Relationship Id="rId135" Type="http://schemas.openxmlformats.org/officeDocument/2006/relationships/hyperlink" Target="https://www.sec.gov/Archives/edgar/data/320187/000032018720000004/nke-1130201910q.htm" TargetMode="External"/><Relationship Id="rId136" Type="http://schemas.openxmlformats.org/officeDocument/2006/relationships/hyperlink" Target="https://www.sec.gov/Archives/edgar/data/320187/000032018720000018/nke-229202010q.htm" TargetMode="External"/><Relationship Id="rId137" Type="http://schemas.openxmlformats.org/officeDocument/2006/relationships/hyperlink" Target="https://www.sec.gov/Archives/edgar/data/320187/000032018720000047/nke-531202010k.htm" TargetMode="External"/><Relationship Id="rId138" Type="http://schemas.openxmlformats.org/officeDocument/2006/relationships/hyperlink" Target="https://www.sec.gov/Archives/edgar/data/320187/000032018720000061/nke-20200831.htm" TargetMode="External"/><Relationship Id="rId139" Type="http://schemas.openxmlformats.org/officeDocument/2006/relationships/hyperlink" Target="https://www.sec.gov/Archives/edgar/data/320187/000032018721000003/nke-20201130.htm" TargetMode="External"/><Relationship Id="rId140" Type="http://schemas.openxmlformats.org/officeDocument/2006/relationships/hyperlink" Target="https://www.sec.gov/Archives/edgar/data/320187/000032018721000012/nke-20210228.htm" TargetMode="External"/><Relationship Id="rId141" Type="http://schemas.openxmlformats.org/officeDocument/2006/relationships/hyperlink" Target="https://www.sec.gov/Archives/edgar/data/320187/000032018721000028/nke-20210531.htm" TargetMode="External"/><Relationship Id="rId142" Type="http://schemas.openxmlformats.org/officeDocument/2006/relationships/hyperlink" Target="https://www.sec.gov/Archives/edgar/data/320187/000032018719000051/nke-531201910k.htm" TargetMode="External"/><Relationship Id="rId143" Type="http://schemas.openxmlformats.org/officeDocument/2006/relationships/hyperlink" Target="https://www.sec.gov/Archives/edgar/data/320187/000032018720000047/nke-531202010k.htm" TargetMode="External"/><Relationship Id="rId144" Type="http://schemas.openxmlformats.org/officeDocument/2006/relationships/hyperlink" Target="https://www.sec.gov/Archives/edgar/data/320187/000032018721000028/nke-20210531.htm" TargetMode="External"/><Relationship Id="rId145" Type="http://schemas.openxmlformats.org/officeDocument/2006/relationships/hyperlink" Target="https://www.sec.gov/Archives/edgar/data/320187/000032018719000051/nke-531201910k.htm" TargetMode="External"/><Relationship Id="rId146" Type="http://schemas.openxmlformats.org/officeDocument/2006/relationships/hyperlink" Target="https://www.sec.gov/Archives/edgar/data/320187/000032018720000047/nke-531202010k.htm" TargetMode="External"/><Relationship Id="rId147" Type="http://schemas.openxmlformats.org/officeDocument/2006/relationships/hyperlink" Target="https://www.sec.gov/Archives/edgar/data/320187/000032018721000028/nke-20210531.htm" TargetMode="External"/><Relationship Id="rId148" Type="http://schemas.openxmlformats.org/officeDocument/2006/relationships/hyperlink" Target="https://www.sec.gov/Archives/edgar/data/320187/000032018718000213/nke-08312018x10q.htm" TargetMode="External"/><Relationship Id="rId149" Type="http://schemas.openxmlformats.org/officeDocument/2006/relationships/hyperlink" Target="https://www.sec.gov/Archives/edgar/data/320187/000032018719000007/nke-11302018x10q.htm" TargetMode="External"/><Relationship Id="rId150" Type="http://schemas.openxmlformats.org/officeDocument/2006/relationships/hyperlink" Target="https://www.sec.gov/Archives/edgar/data/320187/000032018719000030/nke-02282019x10q.htm" TargetMode="External"/><Relationship Id="rId151" Type="http://schemas.openxmlformats.org/officeDocument/2006/relationships/hyperlink" Target="https://www.sec.gov/Archives/edgar/data/320187/000032018719000051/nke-531201910k.htm" TargetMode="External"/><Relationship Id="rId152" Type="http://schemas.openxmlformats.org/officeDocument/2006/relationships/hyperlink" Target="https://www.sec.gov/Archives/edgar/data/320187/000032018719000071/nke-831201910q.htm" TargetMode="External"/><Relationship Id="rId153" Type="http://schemas.openxmlformats.org/officeDocument/2006/relationships/hyperlink" Target="https://www.sec.gov/Archives/edgar/data/320187/000032018720000004/nke-1130201910q.htm" TargetMode="External"/><Relationship Id="rId154" Type="http://schemas.openxmlformats.org/officeDocument/2006/relationships/hyperlink" Target="https://www.sec.gov/Archives/edgar/data/320187/000032018720000018/nke-229202010q.htm" TargetMode="External"/><Relationship Id="rId155" Type="http://schemas.openxmlformats.org/officeDocument/2006/relationships/hyperlink" Target="https://www.sec.gov/Archives/edgar/data/320187/000032018720000047/nke-531202010k.htm" TargetMode="External"/><Relationship Id="rId156" Type="http://schemas.openxmlformats.org/officeDocument/2006/relationships/hyperlink" Target="https://www.sec.gov/Archives/edgar/data/320187/000032018720000061/nke-20200831.htm" TargetMode="External"/><Relationship Id="rId157" Type="http://schemas.openxmlformats.org/officeDocument/2006/relationships/hyperlink" Target="https://www.sec.gov/Archives/edgar/data/320187/000032018721000003/nke-20201130.htm" TargetMode="External"/><Relationship Id="rId158" Type="http://schemas.openxmlformats.org/officeDocument/2006/relationships/hyperlink" Target="https://www.sec.gov/Archives/edgar/data/320187/000032018721000012/nke-20210228.htm" TargetMode="External"/><Relationship Id="rId159" Type="http://schemas.openxmlformats.org/officeDocument/2006/relationships/hyperlink" Target="https://www.sec.gov/Archives/edgar/data/320187/000032018721000028/nke-20210531.htm" TargetMode="External"/><Relationship Id="rId160" Type="http://schemas.openxmlformats.org/officeDocument/2006/relationships/hyperlink" Target="https://www.sec.gov/Archives/edgar/data/320187/000032018719000051/nke-531201910k.htm" TargetMode="External"/><Relationship Id="rId161" Type="http://schemas.openxmlformats.org/officeDocument/2006/relationships/hyperlink" Target="https://www.sec.gov/Archives/edgar/data/320187/000032018720000047/nke-531202010k.htm" TargetMode="External"/><Relationship Id="rId162" Type="http://schemas.openxmlformats.org/officeDocument/2006/relationships/hyperlink" Target="https://www.sec.gov/Archives/edgar/data/320187/000032018721000028/nke-20210531.htm" TargetMode="External"/><Relationship Id="rId163" Type="http://schemas.openxmlformats.org/officeDocument/2006/relationships/hyperlink" Target="https://www.sec.gov/Archives/edgar/data/320187/000032018718000213/nke-08312018x10q.htm" TargetMode="External"/><Relationship Id="rId164" Type="http://schemas.openxmlformats.org/officeDocument/2006/relationships/hyperlink" Target="https://www.sec.gov/Archives/edgar/data/320187/000032018719000007/nke-11302018x10q.htm" TargetMode="External"/><Relationship Id="rId165" Type="http://schemas.openxmlformats.org/officeDocument/2006/relationships/hyperlink" Target="https://www.sec.gov/Archives/edgar/data/320187/000032018719000030/nke-02282019x10q.htm" TargetMode="External"/><Relationship Id="rId166" Type="http://schemas.openxmlformats.org/officeDocument/2006/relationships/hyperlink" Target="https://www.sec.gov/Archives/edgar/data/320187/000032018719000051/nke-531201910k.htm" TargetMode="External"/><Relationship Id="rId167" Type="http://schemas.openxmlformats.org/officeDocument/2006/relationships/hyperlink" Target="https://www.sec.gov/Archives/edgar/data/320187/000032018719000071/nke-831201910q.htm" TargetMode="External"/><Relationship Id="rId168" Type="http://schemas.openxmlformats.org/officeDocument/2006/relationships/hyperlink" Target="https://www.sec.gov/Archives/edgar/data/320187/000032018720000004/nke-1130201910q.htm" TargetMode="External"/><Relationship Id="rId169" Type="http://schemas.openxmlformats.org/officeDocument/2006/relationships/hyperlink" Target="https://www.sec.gov/Archives/edgar/data/320187/000032018720000018/nke-229202010q.htm" TargetMode="External"/><Relationship Id="rId170" Type="http://schemas.openxmlformats.org/officeDocument/2006/relationships/hyperlink" Target="https://www.sec.gov/Archives/edgar/data/320187/000032018720000047/nke-531202010k.htm" TargetMode="External"/><Relationship Id="rId171" Type="http://schemas.openxmlformats.org/officeDocument/2006/relationships/hyperlink" Target="https://www.sec.gov/Archives/edgar/data/320187/000032018720000061/nke-20200831.htm" TargetMode="External"/><Relationship Id="rId172" Type="http://schemas.openxmlformats.org/officeDocument/2006/relationships/hyperlink" Target="https://www.sec.gov/Archives/edgar/data/320187/000032018721000003/nke-20201130.htm" TargetMode="External"/><Relationship Id="rId173" Type="http://schemas.openxmlformats.org/officeDocument/2006/relationships/hyperlink" Target="https://www.sec.gov/Archives/edgar/data/320187/000032018721000012/nke-20210228.htm" TargetMode="External"/><Relationship Id="rId174" Type="http://schemas.openxmlformats.org/officeDocument/2006/relationships/hyperlink" Target="https://www.sec.gov/Archives/edgar/data/320187/000032018721000028/nke-20210531.htm" TargetMode="External"/><Relationship Id="rId175" Type="http://schemas.openxmlformats.org/officeDocument/2006/relationships/hyperlink" Target="https://www.sec.gov/Archives/edgar/data/320187/000032018719000051/nke-531201910k.htm" TargetMode="External"/><Relationship Id="rId176" Type="http://schemas.openxmlformats.org/officeDocument/2006/relationships/hyperlink" Target="https://www.sec.gov/Archives/edgar/data/320187/000032018720000047/nke-531202010k.htm" TargetMode="External"/><Relationship Id="rId177" Type="http://schemas.openxmlformats.org/officeDocument/2006/relationships/hyperlink" Target="https://www.sec.gov/Archives/edgar/data/320187/000032018721000028/nke-20210531.htm" TargetMode="External"/><Relationship Id="rId178" Type="http://schemas.openxmlformats.org/officeDocument/2006/relationships/hyperlink" Target="https://www.sec.gov/Archives/edgar/data/320187/000032018718000213/nke-08312018x10q.htm" TargetMode="External"/><Relationship Id="rId179" Type="http://schemas.openxmlformats.org/officeDocument/2006/relationships/hyperlink" Target="https://www.sec.gov/Archives/edgar/data/320187/000032018719000007/nke-11302018x10q.htm" TargetMode="External"/><Relationship Id="rId180" Type="http://schemas.openxmlformats.org/officeDocument/2006/relationships/hyperlink" Target="https://www.sec.gov/Archives/edgar/data/320187/000032018719000030/nke-02282019x10q.htm" TargetMode="External"/><Relationship Id="rId181" Type="http://schemas.openxmlformats.org/officeDocument/2006/relationships/hyperlink" Target="https://www.sec.gov/Archives/edgar/data/320187/000032018719000051/nke-531201910k.htm" TargetMode="External"/><Relationship Id="rId182" Type="http://schemas.openxmlformats.org/officeDocument/2006/relationships/hyperlink" Target="https://www.sec.gov/Archives/edgar/data/320187/000032018719000071/nke-831201910q.htm" TargetMode="External"/><Relationship Id="rId183" Type="http://schemas.openxmlformats.org/officeDocument/2006/relationships/hyperlink" Target="https://www.sec.gov/Archives/edgar/data/320187/000032018720000004/nke-1130201910q.htm" TargetMode="External"/><Relationship Id="rId184" Type="http://schemas.openxmlformats.org/officeDocument/2006/relationships/hyperlink" Target="https://www.sec.gov/Archives/edgar/data/320187/000032018720000018/nke-229202010q.htm" TargetMode="External"/><Relationship Id="rId185" Type="http://schemas.openxmlformats.org/officeDocument/2006/relationships/hyperlink" Target="https://www.sec.gov/Archives/edgar/data/320187/000032018720000047/nke-531202010k.htm" TargetMode="External"/><Relationship Id="rId186" Type="http://schemas.openxmlformats.org/officeDocument/2006/relationships/hyperlink" Target="https://www.sec.gov/Archives/edgar/data/320187/000032018720000061/nke-20200831.htm" TargetMode="External"/><Relationship Id="rId187" Type="http://schemas.openxmlformats.org/officeDocument/2006/relationships/hyperlink" Target="https://www.sec.gov/Archives/edgar/data/320187/000032018721000003/nke-20201130.htm" TargetMode="External"/><Relationship Id="rId188" Type="http://schemas.openxmlformats.org/officeDocument/2006/relationships/hyperlink" Target="https://www.sec.gov/Archives/edgar/data/320187/000032018721000012/nke-20210228.htm" TargetMode="External"/><Relationship Id="rId189" Type="http://schemas.openxmlformats.org/officeDocument/2006/relationships/hyperlink" Target="https://www.sec.gov/Archives/edgar/data/320187/000032018721000028/nke-20210531.htm" TargetMode="External"/><Relationship Id="rId190" Type="http://schemas.openxmlformats.org/officeDocument/2006/relationships/hyperlink" Target="https://www.sec.gov/Archives/edgar/data/320187/000032018719000051/nke-531201910k.htm" TargetMode="External"/><Relationship Id="rId191" Type="http://schemas.openxmlformats.org/officeDocument/2006/relationships/hyperlink" Target="https://www.sec.gov/Archives/edgar/data/320187/000032018720000047/nke-531202010k.htm" TargetMode="External"/><Relationship Id="rId192" Type="http://schemas.openxmlformats.org/officeDocument/2006/relationships/hyperlink" Target="https://www.sec.gov/Archives/edgar/data/320187/000032018721000028/nke-20210531.htm" TargetMode="External"/></Relationships>
</file>

<file path=xl/worksheets/_rels/sheet7.xml.rels><?xml version="1.0" encoding="UTF-8" standalone="yes"?>
<Relationships xmlns="http://schemas.openxmlformats.org/package/2006/relationships"><Relationship Id="rId1" Type="http://schemas.openxmlformats.org/officeDocument/2006/relationships/hyperlink" Target="https://www.sec.gov/Archives/edgar/data/320187/000032018719000051/nke-531201910k.htm" TargetMode="External"/><Relationship Id="rId2" Type="http://schemas.openxmlformats.org/officeDocument/2006/relationships/hyperlink" Target="https://investors.nike.com/sec-filings/all-sec-filings/content/0000320187-19-000051/nke-531201910k.htm" TargetMode="External"/><Relationship Id="rId3" Type="http://schemas.openxmlformats.org/officeDocument/2006/relationships/hyperlink" Target="https://www.sec.gov/Archives/edgar/data/320187/000032018718000213/nke-08312018x10q.htm" TargetMode="External"/><Relationship Id="rId4" Type="http://schemas.openxmlformats.org/officeDocument/2006/relationships/hyperlink" Target="https://investors.nike.com/sec-filings/all-sec-filings/content/0000320187-18-000213/nke-08312018x10q.htm" TargetMode="External"/><Relationship Id="rId5" Type="http://schemas.openxmlformats.org/officeDocument/2006/relationships/hyperlink" Target="https://www.sec.gov/Archives/edgar/data/320187/000032018719000007/nke-11302018x10q.htm" TargetMode="External"/><Relationship Id="rId6" Type="http://schemas.openxmlformats.org/officeDocument/2006/relationships/hyperlink" Target="https://investors.nike.com/sec-filings/all-sec-filings/content/0000320187-19-000007/nke-11302018x10q.htm" TargetMode="External"/><Relationship Id="rId7" Type="http://schemas.openxmlformats.org/officeDocument/2006/relationships/hyperlink" Target="https://www.sec.gov/Archives/edgar/data/320187/000032018719000030/nke-02282019x10q.htm" TargetMode="External"/><Relationship Id="rId8" Type="http://schemas.openxmlformats.org/officeDocument/2006/relationships/hyperlink" Target="https://investors.nike.com/sec-filings/all-sec-filings/content/0000320187-19-000030/nke-02282019x10q.htm" TargetMode="External"/><Relationship Id="rId9" Type="http://schemas.openxmlformats.org/officeDocument/2006/relationships/hyperlink" Target="https://www.sec.gov/Archives/edgar/data/320187/000032018720000047/nke-531202010k.htm" TargetMode="External"/><Relationship Id="rId10" Type="http://schemas.openxmlformats.org/officeDocument/2006/relationships/hyperlink" Target="https://investors.nike.com/sec-filings/all-sec-filings/content/0000320187-20-000047/nke-531202010k.htm" TargetMode="External"/><Relationship Id="rId11" Type="http://schemas.openxmlformats.org/officeDocument/2006/relationships/hyperlink" Target="https://www.sec.gov/Archives/edgar/data/320187/000032018719000071/nke-831201910q.htm" TargetMode="External"/><Relationship Id="rId12" Type="http://schemas.openxmlformats.org/officeDocument/2006/relationships/hyperlink" Target="https://investors.nike.com/sec-filings/all-sec-filings/content/0000320187-19-000071/nke-831201910q.htm" TargetMode="External"/><Relationship Id="rId13" Type="http://schemas.openxmlformats.org/officeDocument/2006/relationships/hyperlink" Target="https://www.sec.gov/Archives/edgar/data/320187/000032018720000004/nke-1130201910q.htm" TargetMode="External"/><Relationship Id="rId14" Type="http://schemas.openxmlformats.org/officeDocument/2006/relationships/hyperlink" Target="https://investors.nike.com/sec-filings/all-sec-filings/content/0000320187-20-000004/nke-1130201910q.htm" TargetMode="External"/><Relationship Id="rId15" Type="http://schemas.openxmlformats.org/officeDocument/2006/relationships/hyperlink" Target="https://www.sec.gov/Archives/edgar/data/320187/000032018720000018/nke-229202010q.htm" TargetMode="External"/><Relationship Id="rId16" Type="http://schemas.openxmlformats.org/officeDocument/2006/relationships/hyperlink" Target="https://investors.nike.com/sec-filings/all-sec-filings/content/0000320187-20-000018/nke-229202010q.htm" TargetMode="External"/><Relationship Id="rId17" Type="http://schemas.openxmlformats.org/officeDocument/2006/relationships/hyperlink" Target="https://www.sec.gov/Archives/edgar/data/320187/000032018721000028/nke-20210531.htm" TargetMode="External"/><Relationship Id="rId18" Type="http://schemas.openxmlformats.org/officeDocument/2006/relationships/hyperlink" Target="https://investors.nike.com/sec-filings/all-sec-filings/content/0000320187-21-000028/nke-20210531.htm" TargetMode="External"/><Relationship Id="rId19" Type="http://schemas.openxmlformats.org/officeDocument/2006/relationships/hyperlink" Target="https://www.sec.gov/Archives/edgar/data/320187/000032018720000061/nke-20200831.htm" TargetMode="External"/><Relationship Id="rId20" Type="http://schemas.openxmlformats.org/officeDocument/2006/relationships/hyperlink" Target="https://investors.nike.com/sec-filings/all-sec-filings/content/0000320187-20-000061/nke-20200831.htm" TargetMode="External"/><Relationship Id="rId21" Type="http://schemas.openxmlformats.org/officeDocument/2006/relationships/hyperlink" Target="https://www.sec.gov/Archives/edgar/data/320187/000032018721000003/nke-20201130.htm" TargetMode="External"/><Relationship Id="rId22" Type="http://schemas.openxmlformats.org/officeDocument/2006/relationships/hyperlink" Target="https://investors.nike.com/sec-filings/all-sec-filings/content/0000320187-21-000003/nke-20201130.htm" TargetMode="External"/><Relationship Id="rId23" Type="http://schemas.openxmlformats.org/officeDocument/2006/relationships/hyperlink" Target="https://www.sec.gov/Archives/edgar/data/320187/000032018721000012/nke-20210228.htm" TargetMode="External"/><Relationship Id="rId24" Type="http://schemas.openxmlformats.org/officeDocument/2006/relationships/hyperlink" Target="https://investors.nike.com/sec-filings/all-sec-filings/content/0000320187-21-000012/nke-20210228.htm" TargetMode="External"/><Relationship Id="rId25" Type="http://schemas.openxmlformats.org/officeDocument/2006/relationships/hyperlink" Target="https://www.sec.gov/Archives/edgar/data/320187/000032018719000044/q4fy19exhibit991er.htm" TargetMode="External"/><Relationship Id="rId26" Type="http://schemas.openxmlformats.org/officeDocument/2006/relationships/hyperlink" Target="https://investors.nike.com/sec-filings/all-sec-filings/content/0000320187-19-000044/q4fy19exhibit991er.htm" TargetMode="External"/><Relationship Id="rId27" Type="http://schemas.openxmlformats.org/officeDocument/2006/relationships/hyperlink" Target="https://www.sec.gov/Archives/edgar/data/320187/000032018720000033/q4fy20exhibit991er.htm" TargetMode="External"/><Relationship Id="rId28" Type="http://schemas.openxmlformats.org/officeDocument/2006/relationships/hyperlink" Target="https://investors.nike.com/sec-filings/all-sec-filings/content/0000320187-20-000033/q4fy20exhibit991er.htm" TargetMode="External"/><Relationship Id="rId29" Type="http://schemas.openxmlformats.org/officeDocument/2006/relationships/hyperlink" Target="https://www.sec.gov/Archives/edgar/data/320187/000032018721000025/q4fy21exhibit991er.htm" TargetMode="External"/><Relationship Id="rId30" Type="http://schemas.openxmlformats.org/officeDocument/2006/relationships/hyperlink" Target="https://investors.nike.com/sec-filings/all-sec-filings/content/0000320187-21-000025/q4fy21exhibit991er.htm" TargetMode="External"/><Relationship Id="rId31" Type="http://schemas.openxmlformats.org/officeDocument/2006/relationships/hyperlink" Target="https://www.sec.gov/Archives/edgar/data/320187/000032018721000045/nke-20210831.htm" TargetMode="External"/><Relationship Id="rId32" Type="http://schemas.openxmlformats.org/officeDocument/2006/relationships/hyperlink" Target="https://investors.nike.com/sec-filings/all-sec-filings/content/0000320187-21-000045/nke-20210831.htm" TargetMode="External"/><Relationship Id="rId33" Type="http://schemas.openxmlformats.org/officeDocument/2006/relationships/hyperlink" Target="https://www.sec.gov/Archives/edgar/data/320187/000032018722000004/nke-20211130.htm" TargetMode="External"/><Relationship Id="rId34" Type="http://schemas.openxmlformats.org/officeDocument/2006/relationships/hyperlink" Target="https://investors.nike.com/sec-filings/all-sec-filings/content/0000320187-22-000004/nke-20211130.htm" TargetMode="External"/><Relationship Id="rId35" Type="http://schemas.openxmlformats.org/officeDocument/2006/relationships/hyperlink" Target="https://www.sec.gov/Archives/edgar/data/320187/000032018722000017/nke-20220228.htm" TargetMode="External"/><Relationship Id="rId36" Type="http://schemas.openxmlformats.org/officeDocument/2006/relationships/hyperlink" Target="https://investors.nike.com/sec-filings/all-sec-filings/content/0000320187-22-000017/nke-20220228.htm" TargetMode="External"/><Relationship Id="rId37" Type="http://schemas.openxmlformats.org/officeDocument/2006/relationships/hyperlink" Target="https://www.sec.gov/Archives/edgar/data/320187/000032018722000038/nke-20220531.htm" TargetMode="External"/><Relationship Id="rId38" Type="http://schemas.openxmlformats.org/officeDocument/2006/relationships/hyperlink" Target="https://investors.nike.com/sec-filings/all-sec-filings/content/0000320187-22-000038/nke-20220531.htm" TargetMode="External"/><Relationship Id="rId39" Type="http://schemas.openxmlformats.org/officeDocument/2006/relationships/hyperlink" Target="https://www.sec.gov/Archives/edgar/data/320187/000032018723000039/nke-20230531.htm" TargetMode="External"/><Relationship Id="rId40" Type="http://schemas.openxmlformats.org/officeDocument/2006/relationships/hyperlink" Target="https://investors.nike.com/sec-filings/all-sec-filings/content/0000320187-23-000039/nke-20230531.htm" TargetMode="External"/></Relationships>
</file>

<file path=xl/worksheets/sheet1.xml><?xml version="1.0" encoding="utf-8"?>
<worksheet xmlns="http://schemas.openxmlformats.org/spreadsheetml/2006/main" xmlns:r="http://schemas.openxmlformats.org/officeDocument/2006/relationships">
  <sheetPr>
    <pageSetUpPr fitToPage="1"/>
  </sheetPr>
  <dimension ref="A1:B28"/>
  <sheetViews>
    <sheetView showGridLines="0" tabSelected="1" workbookViewId="0"/>
  </sheetViews>
  <sheetFormatPr defaultRowHeight="15"/>
  <cols>
    <col min="1" max="1" width="30.7109375" customWidth="1"/>
    <col min="2" max="2" width="110.7109375" customWidth="1"/>
  </cols>
  <sheetData>
    <row r="1" spans="1:2">
      <c r="A1" s="1" t="s">
        <v>0</v>
      </c>
    </row>
    <row r="2" spans="1:2">
      <c r="A2" s="2" t="s">
        <v>1</v>
      </c>
    </row>
    <row r="4" spans="1:2" ht="20.25" customHeight="1">
      <c r="A4" s="3" t="s">
        <v>2</v>
      </c>
      <c r="B4" s="3"/>
    </row>
    <row r="5" spans="1:2">
      <c r="A5" s="4" t="s">
        <v>3</v>
      </c>
      <c r="B5" s="5" t="s">
        <v>4</v>
      </c>
    </row>
    <row r="6" spans="1:2">
      <c r="A6" s="4" t="s">
        <v>5</v>
      </c>
      <c r="B6" s="5" t="s">
        <v>6</v>
      </c>
    </row>
    <row r="7" spans="1:2">
      <c r="A7" s="4" t="s">
        <v>7</v>
      </c>
      <c r="B7" s="5" t="s">
        <v>8</v>
      </c>
    </row>
    <row r="8" spans="1:2">
      <c r="A8" s="4" t="s">
        <v>9</v>
      </c>
      <c r="B8" s="5" t="s">
        <v>10</v>
      </c>
    </row>
    <row r="9" spans="1:2">
      <c r="A9" s="4" t="s">
        <v>11</v>
      </c>
      <c r="B9" s="5" t="s">
        <v>12</v>
      </c>
    </row>
    <row r="10" spans="1:2">
      <c r="A10" s="4" t="s">
        <v>13</v>
      </c>
      <c r="B10" s="5" t="s">
        <v>14</v>
      </c>
    </row>
    <row r="11" spans="1:2">
      <c r="A11" s="4" t="s">
        <v>15</v>
      </c>
      <c r="B11" s="5" t="s">
        <v>16</v>
      </c>
    </row>
    <row r="13" spans="1:2" ht="20.25" customHeight="1">
      <c r="A13" s="3" t="s">
        <v>17</v>
      </c>
      <c r="B13" s="3"/>
    </row>
    <row r="14" spans="1:2">
      <c r="A14" s="4" t="s">
        <v>18</v>
      </c>
      <c r="B14" s="5" t="s">
        <v>19</v>
      </c>
    </row>
    <row r="15" spans="1:2">
      <c r="A15" s="4" t="s">
        <v>20</v>
      </c>
      <c r="B15" s="5" t="s">
        <v>21</v>
      </c>
    </row>
    <row r="16" spans="1:2">
      <c r="A16" s="4" t="s">
        <v>22</v>
      </c>
      <c r="B16" s="5" t="s">
        <v>23</v>
      </c>
    </row>
    <row r="17" spans="1:2">
      <c r="A17" s="4" t="s">
        <v>24</v>
      </c>
      <c r="B17" s="5" t="s">
        <v>25</v>
      </c>
    </row>
    <row r="18" spans="1:2">
      <c r="A18" s="4" t="s">
        <v>26</v>
      </c>
      <c r="B18" s="5" t="s">
        <v>27</v>
      </c>
    </row>
    <row r="20" spans="1:2" ht="20.25" customHeight="1">
      <c r="A20" s="3" t="s">
        <v>28</v>
      </c>
      <c r="B20" s="3"/>
    </row>
    <row r="21" spans="1:2">
      <c r="A21" s="4" t="s">
        <v>29</v>
      </c>
      <c r="B21" s="5" t="s">
        <v>30</v>
      </c>
    </row>
    <row r="22" spans="1:2">
      <c r="A22" s="4" t="s">
        <v>31</v>
      </c>
      <c r="B22" s="5" t="s">
        <v>32</v>
      </c>
    </row>
    <row r="23" spans="1:2">
      <c r="A23" s="4" t="s">
        <v>33</v>
      </c>
      <c r="B23" s="5" t="s">
        <v>34</v>
      </c>
    </row>
    <row r="24" spans="1:2">
      <c r="A24" s="4" t="s">
        <v>35</v>
      </c>
      <c r="B24" s="5" t="s">
        <v>36</v>
      </c>
    </row>
    <row r="25" spans="1:2">
      <c r="A25" s="4" t="s">
        <v>37</v>
      </c>
      <c r="B25" s="5" t="s">
        <v>38</v>
      </c>
    </row>
    <row r="26" spans="1:2">
      <c r="A26" s="4" t="s">
        <v>39</v>
      </c>
      <c r="B26" s="5" t="s">
        <v>40</v>
      </c>
    </row>
    <row r="28" spans="1:2">
      <c r="A28" s="4" t="s">
        <v>41</v>
      </c>
      <c r="B28" s="6" t="s">
        <v>42</v>
      </c>
    </row>
  </sheetData>
  <hyperlinks>
    <hyperlink ref="B28" r:id="rId1"/>
  </hyperlinks>
  <pageMargins left="0.7" right="0.7" top="0.75" bottom="0.75" header="0.3" footer="0.3"/>
  <pageSetup paperSize="9" fitToHeight="0" orientation="landscape"/>
  <headerFooter>
    <oddFooter>&amp;C&amp;8Trang &amp;P/&amp;N</oddFooter>
  </headerFooter>
</worksheet>
</file>

<file path=xl/worksheets/sheet2.xml><?xml version="1.0" encoding="utf-8"?>
<worksheet xmlns="http://schemas.openxmlformats.org/spreadsheetml/2006/main" xmlns:r="http://schemas.openxmlformats.org/officeDocument/2006/relationships">
  <sheetPr>
    <pageSetUpPr fitToPage="1"/>
  </sheetPr>
  <dimension ref="A1:Z91"/>
  <sheetViews>
    <sheetView showGridLines="0" workbookViewId="0">
      <pane xSplit="2" ySplit="4" topLeftCell="C5" activePane="bottomRight" state="frozen"/>
      <selection pane="topRight" activeCell="C1" sqref="C1"/>
      <selection pane="bottomLeft" activeCell="A5" sqref="A5"/>
      <selection pane="bottomRight"/>
    </sheetView>
  </sheetViews>
  <sheetFormatPr defaultRowHeight="15"/>
  <cols>
    <col min="1" max="1" width="9.28515625" customWidth="1"/>
    <col min="2" max="2" width="60.7109375" customWidth="1"/>
    <col min="3" max="3" width="12.7109375" customWidth="1"/>
    <col min="4" max="4" width="14.7109375" customWidth="1"/>
    <col min="5" max="5" width="10.7109375" customWidth="1"/>
    <col min="6" max="6" width="16.7109375" customWidth="1"/>
    <col min="7" max="7" width="10.7109375" customWidth="1"/>
    <col min="8" max="8" width="24" customWidth="1"/>
    <col min="9" max="9" width="14" customWidth="1"/>
    <col min="10" max="10" width="22.7109375" customWidth="1"/>
    <col min="11" max="11" width="44.7109375" customWidth="1"/>
    <col min="12" max="12" width="40.7109375" customWidth="1"/>
    <col min="13" max="13" width="60.7109375" customWidth="1"/>
    <col min="14" max="14" width="50.7109375" customWidth="1"/>
    <col min="15" max="15" width="54.7109375" customWidth="1"/>
    <col min="16" max="16" width="50.7109375" customWidth="1"/>
    <col min="17" max="19" width="8.7109375" hidden="1" customWidth="1"/>
    <col min="20" max="21" width="60.7109375" customWidth="1"/>
    <col min="22" max="22" width="25.7109375" customWidth="1"/>
    <col min="23" max="23" width="12.7109375" customWidth="1"/>
    <col min="24" max="24" width="22.7109375" customWidth="1"/>
    <col min="25" max="26" width="40.7109375" customWidth="1"/>
  </cols>
  <sheetData>
    <row r="1" spans="1:26">
      <c r="A1" s="7" t="s">
        <v>43</v>
      </c>
      <c r="B1" s="7"/>
      <c r="C1" s="7"/>
      <c r="D1" s="7"/>
      <c r="E1" s="7"/>
      <c r="F1" s="7"/>
      <c r="G1" s="7"/>
      <c r="H1" s="7"/>
    </row>
    <row r="2" spans="1:26" ht="30" customHeight="1">
      <c r="A2" s="8" t="s">
        <v>44</v>
      </c>
      <c r="B2" s="8"/>
      <c r="C2" s="8"/>
      <c r="D2" s="8"/>
      <c r="E2" s="8"/>
      <c r="F2" s="8"/>
      <c r="G2" s="8"/>
      <c r="H2" s="8"/>
    </row>
    <row r="4" spans="1:26" ht="44.25" customHeight="1">
      <c r="A4" s="9" t="s">
        <v>45</v>
      </c>
      <c r="B4" s="9" t="s">
        <v>46</v>
      </c>
      <c r="C4" s="9" t="s">
        <v>47</v>
      </c>
      <c r="D4" s="9" t="s">
        <v>13</v>
      </c>
      <c r="E4" s="9" t="s">
        <v>7</v>
      </c>
      <c r="F4" s="9" t="s">
        <v>48</v>
      </c>
      <c r="G4" s="9" t="s">
        <v>49</v>
      </c>
      <c r="H4" s="9" t="s">
        <v>50</v>
      </c>
      <c r="I4" s="9" t="s">
        <v>51</v>
      </c>
      <c r="J4" s="9" t="s">
        <v>52</v>
      </c>
      <c r="K4" s="9" t="s">
        <v>53</v>
      </c>
      <c r="L4" s="9" t="s">
        <v>54</v>
      </c>
      <c r="M4" s="9" t="s">
        <v>55</v>
      </c>
      <c r="N4" s="9" t="s">
        <v>56</v>
      </c>
      <c r="O4" s="9" t="s">
        <v>57</v>
      </c>
      <c r="P4" s="9" t="s">
        <v>58</v>
      </c>
      <c r="Q4" s="10" t="s">
        <v>59</v>
      </c>
      <c r="R4" s="10" t="s">
        <v>60</v>
      </c>
      <c r="S4" s="10" t="s">
        <v>61</v>
      </c>
      <c r="T4" s="9" t="s">
        <v>62</v>
      </c>
      <c r="U4" s="9" t="s">
        <v>63</v>
      </c>
      <c r="V4" s="9" t="s">
        <v>64</v>
      </c>
      <c r="W4" s="9" t="s">
        <v>65</v>
      </c>
      <c r="X4" s="9" t="s">
        <v>66</v>
      </c>
      <c r="Y4" s="9" t="s">
        <v>67</v>
      </c>
      <c r="Z4" s="9" t="s">
        <v>68</v>
      </c>
    </row>
    <row r="5" spans="1:26">
      <c r="A5" s="11" t="s">
        <v>69</v>
      </c>
      <c r="B5" s="11" t="s">
        <v>70</v>
      </c>
      <c r="C5" s="12">
        <v>39117</v>
      </c>
      <c r="D5" s="12">
        <v>36397</v>
      </c>
      <c r="E5" s="11" t="s">
        <v>71</v>
      </c>
      <c r="F5" s="13" t="s">
        <v>72</v>
      </c>
      <c r="G5" s="14">
        <v>50</v>
      </c>
      <c r="H5" s="11" t="s">
        <v>73</v>
      </c>
      <c r="I5" s="11" t="s">
        <v>74</v>
      </c>
      <c r="J5" s="11" t="s">
        <v>75</v>
      </c>
      <c r="K5" s="11" t="s">
        <v>76</v>
      </c>
      <c r="L5" s="11" t="s">
        <v>77</v>
      </c>
      <c r="M5" s="5" t="s">
        <v>78</v>
      </c>
      <c r="N5" s="5" t="s">
        <v>79</v>
      </c>
      <c r="O5" s="5" t="s">
        <v>80</v>
      </c>
      <c r="P5" s="5" t="s">
        <v>81</v>
      </c>
      <c r="Q5" s="11" t="s">
        <v>82</v>
      </c>
      <c r="R5" s="11" t="s">
        <v>82</v>
      </c>
      <c r="S5" s="11" t="s">
        <v>82</v>
      </c>
      <c r="T5" s="11" t="s">
        <v>83</v>
      </c>
      <c r="U5" s="5" t="s">
        <v>84</v>
      </c>
      <c r="V5" s="11" t="s">
        <v>85</v>
      </c>
      <c r="W5" s="11" t="s">
        <v>86</v>
      </c>
      <c r="X5" s="11" t="s">
        <v>87</v>
      </c>
      <c r="Y5" s="11" t="s">
        <v>88</v>
      </c>
      <c r="Z5" s="11" t="s">
        <v>89</v>
      </c>
    </row>
    <row r="6" spans="1:26">
      <c r="A6" s="11" t="s">
        <v>90</v>
      </c>
      <c r="B6" s="11" t="s">
        <v>70</v>
      </c>
      <c r="C6" s="12">
        <v>37403</v>
      </c>
      <c r="D6" s="12">
        <v>39117</v>
      </c>
      <c r="E6" s="11" t="s">
        <v>71</v>
      </c>
      <c r="F6" s="13" t="s">
        <v>91</v>
      </c>
      <c r="G6" s="14">
        <v>56</v>
      </c>
      <c r="H6" s="11" t="s">
        <v>73</v>
      </c>
      <c r="I6" s="11" t="s">
        <v>74</v>
      </c>
      <c r="J6" s="11" t="s">
        <v>75</v>
      </c>
      <c r="K6" s="11" t="s">
        <v>76</v>
      </c>
      <c r="L6" s="11" t="s">
        <v>77</v>
      </c>
      <c r="M6" s="5" t="s">
        <v>78</v>
      </c>
      <c r="N6" s="5" t="s">
        <v>92</v>
      </c>
      <c r="O6" s="5" t="s">
        <v>93</v>
      </c>
      <c r="P6" s="5" t="s">
        <v>94</v>
      </c>
      <c r="Q6" s="11" t="s">
        <v>82</v>
      </c>
      <c r="R6" s="11" t="s">
        <v>82</v>
      </c>
      <c r="S6" s="11" t="s">
        <v>82</v>
      </c>
      <c r="T6" s="11" t="s">
        <v>83</v>
      </c>
      <c r="U6" s="5" t="s">
        <v>84</v>
      </c>
      <c r="V6" s="11" t="s">
        <v>95</v>
      </c>
      <c r="W6" s="11" t="s">
        <v>96</v>
      </c>
      <c r="X6" s="11" t="s">
        <v>97</v>
      </c>
      <c r="Y6" s="11" t="s">
        <v>88</v>
      </c>
      <c r="Z6" s="11" t="s">
        <v>98</v>
      </c>
    </row>
    <row r="7" spans="1:26">
      <c r="A7" s="11" t="s">
        <v>99</v>
      </c>
      <c r="B7" s="11" t="s">
        <v>70</v>
      </c>
      <c r="C7" s="12">
        <v>44538</v>
      </c>
      <c r="D7" s="12">
        <v>37403</v>
      </c>
      <c r="E7" s="11" t="s">
        <v>71</v>
      </c>
      <c r="F7" s="13" t="s">
        <v>100</v>
      </c>
      <c r="G7" s="14">
        <v>57</v>
      </c>
      <c r="H7" s="11" t="s">
        <v>73</v>
      </c>
      <c r="I7" s="11" t="s">
        <v>74</v>
      </c>
      <c r="J7" s="11" t="s">
        <v>75</v>
      </c>
      <c r="K7" s="11" t="s">
        <v>76</v>
      </c>
      <c r="L7" s="11" t="s">
        <v>77</v>
      </c>
      <c r="M7" s="5" t="s">
        <v>78</v>
      </c>
      <c r="N7" s="5" t="s">
        <v>101</v>
      </c>
      <c r="O7" s="5" t="s">
        <v>102</v>
      </c>
      <c r="P7" s="5" t="s">
        <v>103</v>
      </c>
      <c r="Q7" s="11" t="s">
        <v>82</v>
      </c>
      <c r="R7" s="11" t="s">
        <v>82</v>
      </c>
      <c r="S7" s="11" t="s">
        <v>82</v>
      </c>
      <c r="T7" s="11" t="s">
        <v>83</v>
      </c>
      <c r="U7" s="5" t="s">
        <v>84</v>
      </c>
      <c r="V7" s="11" t="s">
        <v>104</v>
      </c>
      <c r="W7" s="11" t="s">
        <v>105</v>
      </c>
      <c r="X7" s="11" t="s">
        <v>106</v>
      </c>
      <c r="Y7" s="11" t="s">
        <v>88</v>
      </c>
      <c r="Z7" s="11" t="s">
        <v>107</v>
      </c>
    </row>
    <row r="8" spans="1:26">
      <c r="A8" s="11" t="s">
        <v>69</v>
      </c>
      <c r="B8" s="11" t="s">
        <v>108</v>
      </c>
      <c r="C8" s="12">
        <v>21643</v>
      </c>
      <c r="D8" s="12">
        <v>20441</v>
      </c>
      <c r="E8" s="11" t="s">
        <v>71</v>
      </c>
      <c r="F8" s="13" t="s">
        <v>72</v>
      </c>
      <c r="G8" s="14">
        <v>50</v>
      </c>
      <c r="H8" s="11" t="s">
        <v>73</v>
      </c>
      <c r="I8" s="11" t="s">
        <v>74</v>
      </c>
      <c r="J8" s="11" t="s">
        <v>75</v>
      </c>
      <c r="K8" s="11" t="s">
        <v>76</v>
      </c>
      <c r="L8" s="11" t="s">
        <v>77</v>
      </c>
      <c r="M8" s="5" t="s">
        <v>109</v>
      </c>
      <c r="N8" s="5" t="s">
        <v>110</v>
      </c>
      <c r="O8" s="5" t="s">
        <v>111</v>
      </c>
      <c r="P8" s="5" t="s">
        <v>81</v>
      </c>
      <c r="Q8" s="11" t="s">
        <v>82</v>
      </c>
      <c r="R8" s="11" t="s">
        <v>82</v>
      </c>
      <c r="S8" s="11" t="s">
        <v>82</v>
      </c>
      <c r="T8" s="11" t="s">
        <v>112</v>
      </c>
      <c r="U8" s="5" t="s">
        <v>113</v>
      </c>
      <c r="V8" s="11" t="s">
        <v>85</v>
      </c>
      <c r="W8" s="11" t="s">
        <v>86</v>
      </c>
      <c r="X8" s="11" t="s">
        <v>87</v>
      </c>
      <c r="Y8" s="11" t="s">
        <v>114</v>
      </c>
      <c r="Z8" s="11" t="s">
        <v>115</v>
      </c>
    </row>
    <row r="9" spans="1:26">
      <c r="A9" s="11" t="s">
        <v>90</v>
      </c>
      <c r="B9" s="11" t="s">
        <v>108</v>
      </c>
      <c r="C9" s="12">
        <v>21162</v>
      </c>
      <c r="D9" s="12">
        <v>21643</v>
      </c>
      <c r="E9" s="11" t="s">
        <v>71</v>
      </c>
      <c r="F9" s="13" t="s">
        <v>91</v>
      </c>
      <c r="G9" s="14">
        <v>56</v>
      </c>
      <c r="H9" s="11" t="s">
        <v>73</v>
      </c>
      <c r="I9" s="11" t="s">
        <v>74</v>
      </c>
      <c r="J9" s="11" t="s">
        <v>75</v>
      </c>
      <c r="K9" s="11" t="s">
        <v>76</v>
      </c>
      <c r="L9" s="11" t="s">
        <v>77</v>
      </c>
      <c r="M9" s="5" t="s">
        <v>109</v>
      </c>
      <c r="N9" s="5" t="s">
        <v>116</v>
      </c>
      <c r="O9" s="5" t="s">
        <v>111</v>
      </c>
      <c r="P9" s="5" t="s">
        <v>94</v>
      </c>
      <c r="Q9" s="11" t="s">
        <v>82</v>
      </c>
      <c r="R9" s="11" t="s">
        <v>82</v>
      </c>
      <c r="S9" s="11" t="s">
        <v>82</v>
      </c>
      <c r="T9" s="11" t="s">
        <v>112</v>
      </c>
      <c r="U9" s="5" t="s">
        <v>113</v>
      </c>
      <c r="V9" s="11" t="s">
        <v>95</v>
      </c>
      <c r="W9" s="11" t="s">
        <v>96</v>
      </c>
      <c r="X9" s="11" t="s">
        <v>97</v>
      </c>
      <c r="Y9" s="11" t="s">
        <v>114</v>
      </c>
      <c r="Z9" s="11" t="s">
        <v>117</v>
      </c>
    </row>
    <row r="10" spans="1:26">
      <c r="A10" s="11" t="s">
        <v>99</v>
      </c>
      <c r="B10" s="11" t="s">
        <v>108</v>
      </c>
      <c r="C10" s="12">
        <v>24576</v>
      </c>
      <c r="D10" s="12">
        <v>21162</v>
      </c>
      <c r="E10" s="11" t="s">
        <v>71</v>
      </c>
      <c r="F10" s="13" t="s">
        <v>100</v>
      </c>
      <c r="G10" s="14">
        <v>57</v>
      </c>
      <c r="H10" s="11" t="s">
        <v>73</v>
      </c>
      <c r="I10" s="11" t="s">
        <v>74</v>
      </c>
      <c r="J10" s="11" t="s">
        <v>75</v>
      </c>
      <c r="K10" s="11" t="s">
        <v>76</v>
      </c>
      <c r="L10" s="11" t="s">
        <v>77</v>
      </c>
      <c r="M10" s="5" t="s">
        <v>109</v>
      </c>
      <c r="N10" s="5" t="s">
        <v>118</v>
      </c>
      <c r="O10" s="5" t="s">
        <v>111</v>
      </c>
      <c r="P10" s="5" t="s">
        <v>103</v>
      </c>
      <c r="Q10" s="11" t="s">
        <v>82</v>
      </c>
      <c r="R10" s="11" t="s">
        <v>82</v>
      </c>
      <c r="S10" s="11" t="s">
        <v>82</v>
      </c>
      <c r="T10" s="11" t="s">
        <v>112</v>
      </c>
      <c r="U10" s="5" t="s">
        <v>113</v>
      </c>
      <c r="V10" s="11" t="s">
        <v>104</v>
      </c>
      <c r="W10" s="11" t="s">
        <v>105</v>
      </c>
      <c r="X10" s="11" t="s">
        <v>106</v>
      </c>
      <c r="Y10" s="11" t="s">
        <v>114</v>
      </c>
      <c r="Z10" s="11" t="s">
        <v>119</v>
      </c>
    </row>
    <row r="11" spans="1:26">
      <c r="A11" s="11" t="s">
        <v>69</v>
      </c>
      <c r="B11" s="11" t="s">
        <v>120</v>
      </c>
      <c r="C11" s="12">
        <v>17474</v>
      </c>
      <c r="D11" s="12">
        <v>15956</v>
      </c>
      <c r="E11" s="11" t="s">
        <v>71</v>
      </c>
      <c r="F11" s="13" t="s">
        <v>72</v>
      </c>
      <c r="G11" s="14">
        <v>50</v>
      </c>
      <c r="H11" s="11" t="s">
        <v>73</v>
      </c>
      <c r="I11" s="11" t="s">
        <v>74</v>
      </c>
      <c r="J11" s="11" t="s">
        <v>75</v>
      </c>
      <c r="K11" s="11" t="s">
        <v>76</v>
      </c>
      <c r="L11" s="11" t="s">
        <v>77</v>
      </c>
      <c r="M11" s="5" t="s">
        <v>121</v>
      </c>
      <c r="N11" s="5" t="s">
        <v>122</v>
      </c>
      <c r="O11" s="5" t="s">
        <v>111</v>
      </c>
      <c r="P11" s="5" t="s">
        <v>81</v>
      </c>
      <c r="Q11" s="11" t="s">
        <v>82</v>
      </c>
      <c r="R11" s="11" t="s">
        <v>82</v>
      </c>
      <c r="S11" s="11" t="s">
        <v>82</v>
      </c>
      <c r="T11" s="11" t="s">
        <v>123</v>
      </c>
      <c r="U11" s="5" t="s">
        <v>124</v>
      </c>
      <c r="V11" s="11" t="s">
        <v>85</v>
      </c>
      <c r="W11" s="11" t="s">
        <v>86</v>
      </c>
      <c r="X11" s="11" t="s">
        <v>87</v>
      </c>
      <c r="Y11" s="11" t="s">
        <v>125</v>
      </c>
      <c r="Z11" s="11" t="s">
        <v>126</v>
      </c>
    </row>
    <row r="12" spans="1:26">
      <c r="A12" s="11" t="s">
        <v>90</v>
      </c>
      <c r="B12" s="11" t="s">
        <v>120</v>
      </c>
      <c r="C12" s="12">
        <v>16241</v>
      </c>
      <c r="D12" s="12">
        <v>17474</v>
      </c>
      <c r="E12" s="11" t="s">
        <v>71</v>
      </c>
      <c r="F12" s="13" t="s">
        <v>91</v>
      </c>
      <c r="G12" s="14">
        <v>56</v>
      </c>
      <c r="H12" s="11" t="s">
        <v>73</v>
      </c>
      <c r="I12" s="11" t="s">
        <v>74</v>
      </c>
      <c r="J12" s="11" t="s">
        <v>75</v>
      </c>
      <c r="K12" s="11" t="s">
        <v>76</v>
      </c>
      <c r="L12" s="11" t="s">
        <v>77</v>
      </c>
      <c r="M12" s="5" t="s">
        <v>121</v>
      </c>
      <c r="N12" s="5" t="s">
        <v>127</v>
      </c>
      <c r="O12" s="5" t="s">
        <v>111</v>
      </c>
      <c r="P12" s="5" t="s">
        <v>94</v>
      </c>
      <c r="Q12" s="11" t="s">
        <v>82</v>
      </c>
      <c r="R12" s="11" t="s">
        <v>82</v>
      </c>
      <c r="S12" s="11" t="s">
        <v>82</v>
      </c>
      <c r="T12" s="11" t="s">
        <v>123</v>
      </c>
      <c r="U12" s="5" t="s">
        <v>124</v>
      </c>
      <c r="V12" s="11" t="s">
        <v>95</v>
      </c>
      <c r="W12" s="11" t="s">
        <v>96</v>
      </c>
      <c r="X12" s="11" t="s">
        <v>97</v>
      </c>
      <c r="Y12" s="11" t="s">
        <v>125</v>
      </c>
      <c r="Z12" s="11" t="s">
        <v>128</v>
      </c>
    </row>
    <row r="13" spans="1:26">
      <c r="A13" s="11" t="s">
        <v>99</v>
      </c>
      <c r="B13" s="11" t="s">
        <v>120</v>
      </c>
      <c r="C13" s="12">
        <v>19962</v>
      </c>
      <c r="D13" s="12">
        <v>16241</v>
      </c>
      <c r="E13" s="11" t="s">
        <v>71</v>
      </c>
      <c r="F13" s="13" t="s">
        <v>100</v>
      </c>
      <c r="G13" s="14">
        <v>57</v>
      </c>
      <c r="H13" s="11" t="s">
        <v>73</v>
      </c>
      <c r="I13" s="11" t="s">
        <v>74</v>
      </c>
      <c r="J13" s="11" t="s">
        <v>75</v>
      </c>
      <c r="K13" s="11" t="s">
        <v>76</v>
      </c>
      <c r="L13" s="11" t="s">
        <v>77</v>
      </c>
      <c r="M13" s="5" t="s">
        <v>121</v>
      </c>
      <c r="N13" s="5" t="s">
        <v>129</v>
      </c>
      <c r="O13" s="5" t="s">
        <v>111</v>
      </c>
      <c r="P13" s="5" t="s">
        <v>103</v>
      </c>
      <c r="Q13" s="11" t="s">
        <v>82</v>
      </c>
      <c r="R13" s="11" t="s">
        <v>82</v>
      </c>
      <c r="S13" s="11" t="s">
        <v>82</v>
      </c>
      <c r="T13" s="11" t="s">
        <v>123</v>
      </c>
      <c r="U13" s="5" t="s">
        <v>124</v>
      </c>
      <c r="V13" s="11" t="s">
        <v>104</v>
      </c>
      <c r="W13" s="11" t="s">
        <v>105</v>
      </c>
      <c r="X13" s="11" t="s">
        <v>106</v>
      </c>
      <c r="Y13" s="11" t="s">
        <v>125</v>
      </c>
      <c r="Z13" s="11" t="s">
        <v>130</v>
      </c>
    </row>
    <row r="14" spans="1:26">
      <c r="A14" s="11" t="s">
        <v>69</v>
      </c>
      <c r="B14" s="11" t="s">
        <v>131</v>
      </c>
      <c r="C14" s="12">
        <v>3753</v>
      </c>
      <c r="D14" s="12">
        <v>3577</v>
      </c>
      <c r="E14" s="11" t="s">
        <v>71</v>
      </c>
      <c r="F14" s="13" t="s">
        <v>72</v>
      </c>
      <c r="G14" s="14">
        <v>50</v>
      </c>
      <c r="H14" s="11" t="s">
        <v>73</v>
      </c>
      <c r="I14" s="11" t="s">
        <v>74</v>
      </c>
      <c r="J14" s="11" t="s">
        <v>75</v>
      </c>
      <c r="K14" s="11" t="s">
        <v>76</v>
      </c>
      <c r="L14" s="11" t="s">
        <v>77</v>
      </c>
      <c r="M14" s="5" t="s">
        <v>132</v>
      </c>
      <c r="N14" s="5" t="s">
        <v>133</v>
      </c>
      <c r="O14" s="5" t="s">
        <v>111</v>
      </c>
      <c r="P14" s="5" t="s">
        <v>81</v>
      </c>
      <c r="Q14" s="11" t="s">
        <v>82</v>
      </c>
      <c r="R14" s="11" t="s">
        <v>82</v>
      </c>
      <c r="S14" s="11" t="s">
        <v>82</v>
      </c>
      <c r="T14" s="11" t="s">
        <v>134</v>
      </c>
      <c r="U14" s="5" t="s">
        <v>135</v>
      </c>
      <c r="V14" s="11" t="s">
        <v>85</v>
      </c>
      <c r="W14" s="11" t="s">
        <v>86</v>
      </c>
      <c r="X14" s="11" t="s">
        <v>87</v>
      </c>
      <c r="Y14" s="11" t="s">
        <v>136</v>
      </c>
      <c r="Z14" s="11" t="s">
        <v>137</v>
      </c>
    </row>
    <row r="15" spans="1:26">
      <c r="A15" s="11" t="s">
        <v>90</v>
      </c>
      <c r="B15" s="11" t="s">
        <v>131</v>
      </c>
      <c r="C15" s="12">
        <v>3592</v>
      </c>
      <c r="D15" s="12">
        <v>3753</v>
      </c>
      <c r="E15" s="11" t="s">
        <v>71</v>
      </c>
      <c r="F15" s="13" t="s">
        <v>91</v>
      </c>
      <c r="G15" s="14">
        <v>56</v>
      </c>
      <c r="H15" s="11" t="s">
        <v>73</v>
      </c>
      <c r="I15" s="11" t="s">
        <v>74</v>
      </c>
      <c r="J15" s="11" t="s">
        <v>75</v>
      </c>
      <c r="K15" s="11" t="s">
        <v>76</v>
      </c>
      <c r="L15" s="11" t="s">
        <v>77</v>
      </c>
      <c r="M15" s="5" t="s">
        <v>132</v>
      </c>
      <c r="N15" s="5" t="s">
        <v>138</v>
      </c>
      <c r="O15" s="5" t="s">
        <v>111</v>
      </c>
      <c r="P15" s="5" t="s">
        <v>94</v>
      </c>
      <c r="Q15" s="11" t="s">
        <v>82</v>
      </c>
      <c r="R15" s="11" t="s">
        <v>82</v>
      </c>
      <c r="S15" s="11" t="s">
        <v>82</v>
      </c>
      <c r="T15" s="11" t="s">
        <v>134</v>
      </c>
      <c r="U15" s="5" t="s">
        <v>135</v>
      </c>
      <c r="V15" s="11" t="s">
        <v>95</v>
      </c>
      <c r="W15" s="11" t="s">
        <v>96</v>
      </c>
      <c r="X15" s="11" t="s">
        <v>97</v>
      </c>
      <c r="Y15" s="11" t="s">
        <v>136</v>
      </c>
      <c r="Z15" s="11" t="s">
        <v>139</v>
      </c>
    </row>
    <row r="16" spans="1:26">
      <c r="A16" s="11" t="s">
        <v>99</v>
      </c>
      <c r="B16" s="11" t="s">
        <v>131</v>
      </c>
      <c r="C16" s="12">
        <v>3114</v>
      </c>
      <c r="D16" s="12">
        <v>3592</v>
      </c>
      <c r="E16" s="11" t="s">
        <v>71</v>
      </c>
      <c r="F16" s="13" t="s">
        <v>100</v>
      </c>
      <c r="G16" s="14">
        <v>57</v>
      </c>
      <c r="H16" s="11" t="s">
        <v>73</v>
      </c>
      <c r="I16" s="11" t="s">
        <v>74</v>
      </c>
      <c r="J16" s="11" t="s">
        <v>75</v>
      </c>
      <c r="K16" s="11" t="s">
        <v>76</v>
      </c>
      <c r="L16" s="11" t="s">
        <v>77</v>
      </c>
      <c r="M16" s="5" t="s">
        <v>132</v>
      </c>
      <c r="N16" s="5" t="s">
        <v>140</v>
      </c>
      <c r="O16" s="5" t="s">
        <v>111</v>
      </c>
      <c r="P16" s="5" t="s">
        <v>103</v>
      </c>
      <c r="Q16" s="11" t="s">
        <v>82</v>
      </c>
      <c r="R16" s="11" t="s">
        <v>82</v>
      </c>
      <c r="S16" s="11" t="s">
        <v>82</v>
      </c>
      <c r="T16" s="11" t="s">
        <v>134</v>
      </c>
      <c r="U16" s="5" t="s">
        <v>135</v>
      </c>
      <c r="V16" s="11" t="s">
        <v>104</v>
      </c>
      <c r="W16" s="11" t="s">
        <v>105</v>
      </c>
      <c r="X16" s="11" t="s">
        <v>106</v>
      </c>
      <c r="Y16" s="11" t="s">
        <v>136</v>
      </c>
      <c r="Z16" s="11" t="s">
        <v>141</v>
      </c>
    </row>
    <row r="17" spans="1:26">
      <c r="A17" s="11" t="s">
        <v>69</v>
      </c>
      <c r="B17" s="11" t="s">
        <v>142</v>
      </c>
      <c r="C17" s="12">
        <v>8949</v>
      </c>
      <c r="D17" s="12">
        <v>7934</v>
      </c>
      <c r="E17" s="11" t="s">
        <v>71</v>
      </c>
      <c r="F17" s="13" t="s">
        <v>72</v>
      </c>
      <c r="G17" s="14">
        <v>50</v>
      </c>
      <c r="H17" s="11" t="s">
        <v>73</v>
      </c>
      <c r="I17" s="11" t="s">
        <v>74</v>
      </c>
      <c r="J17" s="11" t="s">
        <v>75</v>
      </c>
      <c r="K17" s="11" t="s">
        <v>76</v>
      </c>
      <c r="L17" s="11" t="s">
        <v>77</v>
      </c>
      <c r="M17" s="5" t="s">
        <v>143</v>
      </c>
      <c r="N17" s="5" t="s">
        <v>144</v>
      </c>
      <c r="O17" s="5" t="s">
        <v>111</v>
      </c>
      <c r="P17" s="5" t="s">
        <v>81</v>
      </c>
      <c r="Q17" s="11" t="s">
        <v>82</v>
      </c>
      <c r="R17" s="11" t="s">
        <v>82</v>
      </c>
      <c r="S17" s="11" t="s">
        <v>82</v>
      </c>
      <c r="T17" s="11" t="s">
        <v>145</v>
      </c>
      <c r="U17" s="5" t="s">
        <v>146</v>
      </c>
      <c r="V17" s="11" t="s">
        <v>85</v>
      </c>
      <c r="W17" s="11" t="s">
        <v>86</v>
      </c>
      <c r="X17" s="11" t="s">
        <v>87</v>
      </c>
      <c r="Y17" s="11" t="s">
        <v>147</v>
      </c>
      <c r="Z17" s="11" t="s">
        <v>148</v>
      </c>
    </row>
    <row r="18" spans="1:26">
      <c r="A18" s="11" t="s">
        <v>90</v>
      </c>
      <c r="B18" s="11" t="s">
        <v>142</v>
      </c>
      <c r="C18" s="12">
        <v>9534</v>
      </c>
      <c r="D18" s="12">
        <v>8949</v>
      </c>
      <c r="E18" s="11" t="s">
        <v>71</v>
      </c>
      <c r="F18" s="13" t="s">
        <v>91</v>
      </c>
      <c r="G18" s="14">
        <v>56</v>
      </c>
      <c r="H18" s="11" t="s">
        <v>73</v>
      </c>
      <c r="I18" s="11" t="s">
        <v>74</v>
      </c>
      <c r="J18" s="11" t="s">
        <v>75</v>
      </c>
      <c r="K18" s="11" t="s">
        <v>76</v>
      </c>
      <c r="L18" s="11" t="s">
        <v>77</v>
      </c>
      <c r="M18" s="5" t="s">
        <v>143</v>
      </c>
      <c r="N18" s="5" t="s">
        <v>149</v>
      </c>
      <c r="O18" s="5" t="s">
        <v>111</v>
      </c>
      <c r="P18" s="5" t="s">
        <v>94</v>
      </c>
      <c r="Q18" s="11" t="s">
        <v>82</v>
      </c>
      <c r="R18" s="11" t="s">
        <v>82</v>
      </c>
      <c r="S18" s="11" t="s">
        <v>82</v>
      </c>
      <c r="T18" s="11" t="s">
        <v>145</v>
      </c>
      <c r="U18" s="5" t="s">
        <v>146</v>
      </c>
      <c r="V18" s="11" t="s">
        <v>95</v>
      </c>
      <c r="W18" s="11" t="s">
        <v>96</v>
      </c>
      <c r="X18" s="11" t="s">
        <v>97</v>
      </c>
      <c r="Y18" s="11" t="s">
        <v>147</v>
      </c>
      <c r="Z18" s="11" t="s">
        <v>150</v>
      </c>
    </row>
    <row r="19" spans="1:26">
      <c r="A19" s="11" t="s">
        <v>99</v>
      </c>
      <c r="B19" s="11" t="s">
        <v>142</v>
      </c>
      <c r="C19" s="12">
        <v>9911</v>
      </c>
      <c r="D19" s="12">
        <v>9534</v>
      </c>
      <c r="E19" s="11" t="s">
        <v>71</v>
      </c>
      <c r="F19" s="13" t="s">
        <v>100</v>
      </c>
      <c r="G19" s="14">
        <v>57</v>
      </c>
      <c r="H19" s="11" t="s">
        <v>73</v>
      </c>
      <c r="I19" s="11" t="s">
        <v>74</v>
      </c>
      <c r="J19" s="11" t="s">
        <v>75</v>
      </c>
      <c r="K19" s="11" t="s">
        <v>76</v>
      </c>
      <c r="L19" s="11" t="s">
        <v>77</v>
      </c>
      <c r="M19" s="5" t="s">
        <v>143</v>
      </c>
      <c r="N19" s="5" t="s">
        <v>151</v>
      </c>
      <c r="O19" s="5" t="s">
        <v>111</v>
      </c>
      <c r="P19" s="5" t="s">
        <v>103</v>
      </c>
      <c r="Q19" s="11" t="s">
        <v>82</v>
      </c>
      <c r="R19" s="11" t="s">
        <v>82</v>
      </c>
      <c r="S19" s="11" t="s">
        <v>82</v>
      </c>
      <c r="T19" s="11" t="s">
        <v>145</v>
      </c>
      <c r="U19" s="5" t="s">
        <v>146</v>
      </c>
      <c r="V19" s="11" t="s">
        <v>104</v>
      </c>
      <c r="W19" s="11" t="s">
        <v>105</v>
      </c>
      <c r="X19" s="11" t="s">
        <v>106</v>
      </c>
      <c r="Y19" s="11" t="s">
        <v>147</v>
      </c>
      <c r="Z19" s="11" t="s">
        <v>152</v>
      </c>
    </row>
    <row r="20" spans="1:26">
      <c r="A20" s="11" t="s">
        <v>69</v>
      </c>
      <c r="B20" s="11" t="s">
        <v>153</v>
      </c>
      <c r="C20" s="12">
        <v>12702</v>
      </c>
      <c r="D20" s="12">
        <v>11511</v>
      </c>
      <c r="E20" s="11" t="s">
        <v>71</v>
      </c>
      <c r="F20" s="13" t="s">
        <v>72</v>
      </c>
      <c r="G20" s="14">
        <v>50</v>
      </c>
      <c r="H20" s="11" t="s">
        <v>73</v>
      </c>
      <c r="I20" s="11" t="s">
        <v>74</v>
      </c>
      <c r="J20" s="11" t="s">
        <v>75</v>
      </c>
      <c r="K20" s="11" t="s">
        <v>76</v>
      </c>
      <c r="L20" s="11" t="s">
        <v>77</v>
      </c>
      <c r="M20" s="5" t="s">
        <v>154</v>
      </c>
      <c r="N20" s="5" t="s">
        <v>155</v>
      </c>
      <c r="O20" s="5" t="s">
        <v>111</v>
      </c>
      <c r="P20" s="5" t="s">
        <v>81</v>
      </c>
      <c r="Q20" s="11" t="s">
        <v>82</v>
      </c>
      <c r="R20" s="11" t="s">
        <v>82</v>
      </c>
      <c r="S20" s="11" t="s">
        <v>82</v>
      </c>
      <c r="T20" s="11" t="s">
        <v>156</v>
      </c>
      <c r="U20" s="5" t="s">
        <v>157</v>
      </c>
      <c r="V20" s="11" t="s">
        <v>85</v>
      </c>
      <c r="W20" s="11" t="s">
        <v>86</v>
      </c>
      <c r="X20" s="11" t="s">
        <v>87</v>
      </c>
      <c r="Y20" s="11" t="s">
        <v>158</v>
      </c>
      <c r="Z20" s="11" t="s">
        <v>159</v>
      </c>
    </row>
    <row r="21" spans="1:26">
      <c r="A21" s="11" t="s">
        <v>90</v>
      </c>
      <c r="B21" s="11" t="s">
        <v>153</v>
      </c>
      <c r="C21" s="12">
        <v>13126</v>
      </c>
      <c r="D21" s="12">
        <v>12702</v>
      </c>
      <c r="E21" s="11" t="s">
        <v>71</v>
      </c>
      <c r="F21" s="13" t="s">
        <v>91</v>
      </c>
      <c r="G21" s="14">
        <v>56</v>
      </c>
      <c r="H21" s="11" t="s">
        <v>73</v>
      </c>
      <c r="I21" s="11" t="s">
        <v>74</v>
      </c>
      <c r="J21" s="11" t="s">
        <v>75</v>
      </c>
      <c r="K21" s="11" t="s">
        <v>76</v>
      </c>
      <c r="L21" s="11" t="s">
        <v>77</v>
      </c>
      <c r="M21" s="5" t="s">
        <v>154</v>
      </c>
      <c r="N21" s="5" t="s">
        <v>160</v>
      </c>
      <c r="O21" s="5" t="s">
        <v>111</v>
      </c>
      <c r="P21" s="5" t="s">
        <v>94</v>
      </c>
      <c r="Q21" s="11" t="s">
        <v>82</v>
      </c>
      <c r="R21" s="11" t="s">
        <v>82</v>
      </c>
      <c r="S21" s="11" t="s">
        <v>82</v>
      </c>
      <c r="T21" s="11" t="s">
        <v>156</v>
      </c>
      <c r="U21" s="5" t="s">
        <v>157</v>
      </c>
      <c r="V21" s="11" t="s">
        <v>95</v>
      </c>
      <c r="W21" s="11" t="s">
        <v>96</v>
      </c>
      <c r="X21" s="11" t="s">
        <v>97</v>
      </c>
      <c r="Y21" s="11" t="s">
        <v>158</v>
      </c>
      <c r="Z21" s="11" t="s">
        <v>161</v>
      </c>
    </row>
    <row r="22" spans="1:26">
      <c r="A22" s="11" t="s">
        <v>99</v>
      </c>
      <c r="B22" s="11" t="s">
        <v>153</v>
      </c>
      <c r="C22" s="12">
        <v>13025</v>
      </c>
      <c r="D22" s="12">
        <v>13126</v>
      </c>
      <c r="E22" s="11" t="s">
        <v>71</v>
      </c>
      <c r="F22" s="13" t="s">
        <v>100</v>
      </c>
      <c r="G22" s="14">
        <v>57</v>
      </c>
      <c r="H22" s="11" t="s">
        <v>73</v>
      </c>
      <c r="I22" s="11" t="s">
        <v>74</v>
      </c>
      <c r="J22" s="11" t="s">
        <v>75</v>
      </c>
      <c r="K22" s="11" t="s">
        <v>76</v>
      </c>
      <c r="L22" s="11" t="s">
        <v>77</v>
      </c>
      <c r="M22" s="5" t="s">
        <v>154</v>
      </c>
      <c r="N22" s="5" t="s">
        <v>162</v>
      </c>
      <c r="O22" s="5" t="s">
        <v>111</v>
      </c>
      <c r="P22" s="5" t="s">
        <v>103</v>
      </c>
      <c r="Q22" s="11" t="s">
        <v>82</v>
      </c>
      <c r="R22" s="11" t="s">
        <v>82</v>
      </c>
      <c r="S22" s="11" t="s">
        <v>82</v>
      </c>
      <c r="T22" s="11" t="s">
        <v>156</v>
      </c>
      <c r="U22" s="5" t="s">
        <v>157</v>
      </c>
      <c r="V22" s="11" t="s">
        <v>104</v>
      </c>
      <c r="W22" s="11" t="s">
        <v>105</v>
      </c>
      <c r="X22" s="11" t="s">
        <v>106</v>
      </c>
      <c r="Y22" s="11" t="s">
        <v>158</v>
      </c>
      <c r="Z22" s="11" t="s">
        <v>163</v>
      </c>
    </row>
    <row r="23" spans="1:26">
      <c r="A23" s="11" t="s">
        <v>69</v>
      </c>
      <c r="B23" s="11" t="s">
        <v>164</v>
      </c>
      <c r="C23" s="12">
        <v>49</v>
      </c>
      <c r="D23" s="12">
        <v>54</v>
      </c>
      <c r="E23" s="11" t="s">
        <v>71</v>
      </c>
      <c r="F23" s="13" t="s">
        <v>72</v>
      </c>
      <c r="G23" s="14">
        <v>50</v>
      </c>
      <c r="H23" s="11" t="s">
        <v>73</v>
      </c>
      <c r="I23" s="11" t="s">
        <v>74</v>
      </c>
      <c r="J23" s="11" t="s">
        <v>75</v>
      </c>
      <c r="K23" s="11" t="s">
        <v>76</v>
      </c>
      <c r="L23" s="11" t="s">
        <v>77</v>
      </c>
      <c r="M23" s="5" t="s">
        <v>165</v>
      </c>
      <c r="N23" s="5" t="s">
        <v>166</v>
      </c>
      <c r="O23" s="5" t="s">
        <v>111</v>
      </c>
      <c r="P23" s="5" t="s">
        <v>81</v>
      </c>
      <c r="Q23" s="11" t="s">
        <v>82</v>
      </c>
      <c r="R23" s="11" t="s">
        <v>82</v>
      </c>
      <c r="S23" s="11" t="s">
        <v>82</v>
      </c>
      <c r="T23" s="11" t="s">
        <v>167</v>
      </c>
      <c r="U23" s="5" t="s">
        <v>168</v>
      </c>
      <c r="V23" s="11" t="s">
        <v>85</v>
      </c>
      <c r="W23" s="11" t="s">
        <v>86</v>
      </c>
      <c r="X23" s="11" t="s">
        <v>87</v>
      </c>
      <c r="Y23" s="11" t="s">
        <v>169</v>
      </c>
      <c r="Z23" s="11" t="s">
        <v>170</v>
      </c>
    </row>
    <row r="24" spans="1:26">
      <c r="A24" s="11" t="s">
        <v>90</v>
      </c>
      <c r="B24" s="11" t="s">
        <v>164</v>
      </c>
      <c r="C24" s="12">
        <v>89</v>
      </c>
      <c r="D24" s="12">
        <v>49</v>
      </c>
      <c r="E24" s="11" t="s">
        <v>71</v>
      </c>
      <c r="F24" s="13" t="s">
        <v>91</v>
      </c>
      <c r="G24" s="14">
        <v>56</v>
      </c>
      <c r="H24" s="11" t="s">
        <v>73</v>
      </c>
      <c r="I24" s="11" t="s">
        <v>74</v>
      </c>
      <c r="J24" s="11" t="s">
        <v>75</v>
      </c>
      <c r="K24" s="11" t="s">
        <v>76</v>
      </c>
      <c r="L24" s="11" t="s">
        <v>77</v>
      </c>
      <c r="M24" s="5" t="s">
        <v>165</v>
      </c>
      <c r="N24" s="5" t="s">
        <v>171</v>
      </c>
      <c r="O24" s="5" t="s">
        <v>111</v>
      </c>
      <c r="P24" s="5" t="s">
        <v>94</v>
      </c>
      <c r="Q24" s="11" t="s">
        <v>82</v>
      </c>
      <c r="R24" s="11" t="s">
        <v>82</v>
      </c>
      <c r="S24" s="11" t="s">
        <v>82</v>
      </c>
      <c r="T24" s="11" t="s">
        <v>167</v>
      </c>
      <c r="U24" s="5" t="s">
        <v>168</v>
      </c>
      <c r="V24" s="11" t="s">
        <v>95</v>
      </c>
      <c r="W24" s="11" t="s">
        <v>96</v>
      </c>
      <c r="X24" s="11" t="s">
        <v>97</v>
      </c>
      <c r="Y24" s="11" t="s">
        <v>169</v>
      </c>
      <c r="Z24" s="11" t="s">
        <v>172</v>
      </c>
    </row>
    <row r="25" spans="1:26">
      <c r="A25" s="11" t="s">
        <v>99</v>
      </c>
      <c r="B25" s="11" t="s">
        <v>164</v>
      </c>
      <c r="C25" s="12">
        <v>262</v>
      </c>
      <c r="D25" s="12">
        <v>89</v>
      </c>
      <c r="E25" s="11" t="s">
        <v>71</v>
      </c>
      <c r="F25" s="13" t="s">
        <v>100</v>
      </c>
      <c r="G25" s="14">
        <v>57</v>
      </c>
      <c r="H25" s="11" t="s">
        <v>73</v>
      </c>
      <c r="I25" s="11" t="s">
        <v>74</v>
      </c>
      <c r="J25" s="11" t="s">
        <v>75</v>
      </c>
      <c r="K25" s="11" t="s">
        <v>76</v>
      </c>
      <c r="L25" s="11" t="s">
        <v>77</v>
      </c>
      <c r="M25" s="5" t="s">
        <v>165</v>
      </c>
      <c r="N25" s="5" t="s">
        <v>173</v>
      </c>
      <c r="O25" s="5" t="s">
        <v>111</v>
      </c>
      <c r="P25" s="5" t="s">
        <v>103</v>
      </c>
      <c r="Q25" s="11" t="s">
        <v>82</v>
      </c>
      <c r="R25" s="11" t="s">
        <v>82</v>
      </c>
      <c r="S25" s="11" t="s">
        <v>82</v>
      </c>
      <c r="T25" s="11" t="s">
        <v>167</v>
      </c>
      <c r="U25" s="5" t="s">
        <v>168</v>
      </c>
      <c r="V25" s="11" t="s">
        <v>104</v>
      </c>
      <c r="W25" s="11" t="s">
        <v>105</v>
      </c>
      <c r="X25" s="11" t="s">
        <v>106</v>
      </c>
      <c r="Y25" s="11" t="s">
        <v>169</v>
      </c>
      <c r="Z25" s="11" t="s">
        <v>174</v>
      </c>
    </row>
    <row r="26" spans="1:26">
      <c r="A26" s="11" t="s">
        <v>69</v>
      </c>
      <c r="B26" s="11" t="s">
        <v>175</v>
      </c>
      <c r="C26" s="12">
        <v>-78</v>
      </c>
      <c r="D26" s="12">
        <v>66</v>
      </c>
      <c r="E26" s="11" t="s">
        <v>71</v>
      </c>
      <c r="F26" s="13" t="s">
        <v>72</v>
      </c>
      <c r="G26" s="14">
        <v>50</v>
      </c>
      <c r="H26" s="11" t="s">
        <v>73</v>
      </c>
      <c r="I26" s="11" t="s">
        <v>74</v>
      </c>
      <c r="J26" s="11" t="s">
        <v>75</v>
      </c>
      <c r="K26" s="11" t="s">
        <v>76</v>
      </c>
      <c r="L26" s="11" t="s">
        <v>77</v>
      </c>
      <c r="M26" s="5" t="s">
        <v>176</v>
      </c>
      <c r="N26" s="5" t="s">
        <v>177</v>
      </c>
      <c r="O26" s="5" t="s">
        <v>111</v>
      </c>
      <c r="P26" s="5" t="s">
        <v>81</v>
      </c>
      <c r="Q26" s="11" t="s">
        <v>82</v>
      </c>
      <c r="R26" s="11" t="s">
        <v>82</v>
      </c>
      <c r="S26" s="11" t="s">
        <v>82</v>
      </c>
      <c r="T26" s="11" t="s">
        <v>178</v>
      </c>
      <c r="U26" s="5" t="s">
        <v>179</v>
      </c>
      <c r="V26" s="11" t="s">
        <v>85</v>
      </c>
      <c r="W26" s="11" t="s">
        <v>86</v>
      </c>
      <c r="X26" s="11" t="s">
        <v>87</v>
      </c>
      <c r="Y26" s="11" t="s">
        <v>180</v>
      </c>
      <c r="Z26" s="11" t="s">
        <v>181</v>
      </c>
    </row>
    <row r="27" spans="1:26">
      <c r="A27" s="11" t="s">
        <v>90</v>
      </c>
      <c r="B27" s="11" t="s">
        <v>175</v>
      </c>
      <c r="C27" s="12">
        <v>139</v>
      </c>
      <c r="D27" s="12">
        <v>-78</v>
      </c>
      <c r="E27" s="11" t="s">
        <v>71</v>
      </c>
      <c r="F27" s="13" t="s">
        <v>91</v>
      </c>
      <c r="G27" s="14">
        <v>56</v>
      </c>
      <c r="H27" s="11" t="s">
        <v>73</v>
      </c>
      <c r="I27" s="11" t="s">
        <v>74</v>
      </c>
      <c r="J27" s="11" t="s">
        <v>75</v>
      </c>
      <c r="K27" s="11" t="s">
        <v>76</v>
      </c>
      <c r="L27" s="11" t="s">
        <v>77</v>
      </c>
      <c r="M27" s="5" t="s">
        <v>176</v>
      </c>
      <c r="N27" s="5" t="s">
        <v>182</v>
      </c>
      <c r="O27" s="5" t="s">
        <v>111</v>
      </c>
      <c r="P27" s="5" t="s">
        <v>94</v>
      </c>
      <c r="Q27" s="11" t="s">
        <v>82</v>
      </c>
      <c r="R27" s="11" t="s">
        <v>82</v>
      </c>
      <c r="S27" s="11" t="s">
        <v>82</v>
      </c>
      <c r="T27" s="11" t="s">
        <v>178</v>
      </c>
      <c r="U27" s="5" t="s">
        <v>179</v>
      </c>
      <c r="V27" s="11" t="s">
        <v>95</v>
      </c>
      <c r="W27" s="11" t="s">
        <v>96</v>
      </c>
      <c r="X27" s="11" t="s">
        <v>97</v>
      </c>
      <c r="Y27" s="11" t="s">
        <v>180</v>
      </c>
      <c r="Z27" s="11" t="s">
        <v>183</v>
      </c>
    </row>
    <row r="28" spans="1:26">
      <c r="A28" s="11" t="s">
        <v>99</v>
      </c>
      <c r="B28" s="11" t="s">
        <v>175</v>
      </c>
      <c r="C28" s="12">
        <v>14</v>
      </c>
      <c r="D28" s="12">
        <v>139</v>
      </c>
      <c r="E28" s="11" t="s">
        <v>71</v>
      </c>
      <c r="F28" s="13" t="s">
        <v>100</v>
      </c>
      <c r="G28" s="14">
        <v>57</v>
      </c>
      <c r="H28" s="11" t="s">
        <v>73</v>
      </c>
      <c r="I28" s="11" t="s">
        <v>74</v>
      </c>
      <c r="J28" s="11" t="s">
        <v>75</v>
      </c>
      <c r="K28" s="11" t="s">
        <v>76</v>
      </c>
      <c r="L28" s="11" t="s">
        <v>77</v>
      </c>
      <c r="M28" s="5" t="s">
        <v>176</v>
      </c>
      <c r="N28" s="5" t="s">
        <v>184</v>
      </c>
      <c r="O28" s="5" t="s">
        <v>111</v>
      </c>
      <c r="P28" s="5" t="s">
        <v>103</v>
      </c>
      <c r="Q28" s="11" t="s">
        <v>82</v>
      </c>
      <c r="R28" s="11" t="s">
        <v>82</v>
      </c>
      <c r="S28" s="11" t="s">
        <v>82</v>
      </c>
      <c r="T28" s="11" t="s">
        <v>178</v>
      </c>
      <c r="U28" s="5" t="s">
        <v>179</v>
      </c>
      <c r="V28" s="11" t="s">
        <v>104</v>
      </c>
      <c r="W28" s="11" t="s">
        <v>105</v>
      </c>
      <c r="X28" s="11" t="s">
        <v>106</v>
      </c>
      <c r="Y28" s="11" t="s">
        <v>180</v>
      </c>
      <c r="Z28" s="11" t="s">
        <v>185</v>
      </c>
    </row>
    <row r="29" spans="1:26">
      <c r="A29" s="11" t="s">
        <v>69</v>
      </c>
      <c r="B29" s="11" t="s">
        <v>186</v>
      </c>
      <c r="C29" s="12">
        <v>4801</v>
      </c>
      <c r="D29" s="12">
        <v>4325</v>
      </c>
      <c r="E29" s="11" t="s">
        <v>71</v>
      </c>
      <c r="F29" s="13" t="s">
        <v>72</v>
      </c>
      <c r="G29" s="14">
        <v>50</v>
      </c>
      <c r="H29" s="11" t="s">
        <v>73</v>
      </c>
      <c r="I29" s="11" t="s">
        <v>74</v>
      </c>
      <c r="J29" s="11" t="s">
        <v>75</v>
      </c>
      <c r="K29" s="11" t="s">
        <v>76</v>
      </c>
      <c r="L29" s="11" t="s">
        <v>77</v>
      </c>
      <c r="M29" s="5" t="s">
        <v>187</v>
      </c>
      <c r="N29" s="5" t="s">
        <v>188</v>
      </c>
      <c r="O29" s="5" t="s">
        <v>111</v>
      </c>
      <c r="P29" s="5" t="s">
        <v>81</v>
      </c>
      <c r="Q29" s="11" t="s">
        <v>82</v>
      </c>
      <c r="R29" s="11" t="s">
        <v>82</v>
      </c>
      <c r="S29" s="11" t="s">
        <v>82</v>
      </c>
      <c r="T29" s="11" t="s">
        <v>189</v>
      </c>
      <c r="U29" s="5" t="s">
        <v>190</v>
      </c>
      <c r="V29" s="11" t="s">
        <v>85</v>
      </c>
      <c r="W29" s="11" t="s">
        <v>86</v>
      </c>
      <c r="X29" s="11" t="s">
        <v>87</v>
      </c>
      <c r="Y29" s="11" t="s">
        <v>191</v>
      </c>
      <c r="Z29" s="11" t="s">
        <v>192</v>
      </c>
    </row>
    <row r="30" spans="1:26">
      <c r="A30" s="11" t="s">
        <v>90</v>
      </c>
      <c r="B30" s="11" t="s">
        <v>186</v>
      </c>
      <c r="C30" s="12">
        <v>2887</v>
      </c>
      <c r="D30" s="12">
        <v>4801</v>
      </c>
      <c r="E30" s="11" t="s">
        <v>71</v>
      </c>
      <c r="F30" s="13" t="s">
        <v>91</v>
      </c>
      <c r="G30" s="14">
        <v>56</v>
      </c>
      <c r="H30" s="11" t="s">
        <v>73</v>
      </c>
      <c r="I30" s="11" t="s">
        <v>74</v>
      </c>
      <c r="J30" s="11" t="s">
        <v>75</v>
      </c>
      <c r="K30" s="11" t="s">
        <v>76</v>
      </c>
      <c r="L30" s="11" t="s">
        <v>77</v>
      </c>
      <c r="M30" s="5" t="s">
        <v>187</v>
      </c>
      <c r="N30" s="5" t="s">
        <v>193</v>
      </c>
      <c r="O30" s="5" t="s">
        <v>111</v>
      </c>
      <c r="P30" s="5" t="s">
        <v>94</v>
      </c>
      <c r="Q30" s="11" t="s">
        <v>82</v>
      </c>
      <c r="R30" s="11" t="s">
        <v>82</v>
      </c>
      <c r="S30" s="11" t="s">
        <v>82</v>
      </c>
      <c r="T30" s="11" t="s">
        <v>189</v>
      </c>
      <c r="U30" s="5" t="s">
        <v>190</v>
      </c>
      <c r="V30" s="11" t="s">
        <v>95</v>
      </c>
      <c r="W30" s="11" t="s">
        <v>96</v>
      </c>
      <c r="X30" s="11" t="s">
        <v>97</v>
      </c>
      <c r="Y30" s="11" t="s">
        <v>191</v>
      </c>
      <c r="Z30" s="11" t="s">
        <v>194</v>
      </c>
    </row>
    <row r="31" spans="1:26">
      <c r="A31" s="11" t="s">
        <v>99</v>
      </c>
      <c r="B31" s="11" t="s">
        <v>186</v>
      </c>
      <c r="C31" s="12">
        <v>6661</v>
      </c>
      <c r="D31" s="12">
        <v>2887</v>
      </c>
      <c r="E31" s="11" t="s">
        <v>71</v>
      </c>
      <c r="F31" s="13" t="s">
        <v>100</v>
      </c>
      <c r="G31" s="14">
        <v>57</v>
      </c>
      <c r="H31" s="11" t="s">
        <v>73</v>
      </c>
      <c r="I31" s="11" t="s">
        <v>74</v>
      </c>
      <c r="J31" s="11" t="s">
        <v>75</v>
      </c>
      <c r="K31" s="11" t="s">
        <v>76</v>
      </c>
      <c r="L31" s="11" t="s">
        <v>77</v>
      </c>
      <c r="M31" s="5" t="s">
        <v>187</v>
      </c>
      <c r="N31" s="5" t="s">
        <v>195</v>
      </c>
      <c r="O31" s="5" t="s">
        <v>111</v>
      </c>
      <c r="P31" s="5" t="s">
        <v>103</v>
      </c>
      <c r="Q31" s="11" t="s">
        <v>82</v>
      </c>
      <c r="R31" s="11" t="s">
        <v>82</v>
      </c>
      <c r="S31" s="11" t="s">
        <v>82</v>
      </c>
      <c r="T31" s="11" t="s">
        <v>189</v>
      </c>
      <c r="U31" s="5" t="s">
        <v>190</v>
      </c>
      <c r="V31" s="11" t="s">
        <v>104</v>
      </c>
      <c r="W31" s="11" t="s">
        <v>105</v>
      </c>
      <c r="X31" s="11" t="s">
        <v>106</v>
      </c>
      <c r="Y31" s="11" t="s">
        <v>191</v>
      </c>
      <c r="Z31" s="11" t="s">
        <v>196</v>
      </c>
    </row>
    <row r="32" spans="1:26">
      <c r="A32" s="11" t="s">
        <v>69</v>
      </c>
      <c r="B32" s="11" t="s">
        <v>197</v>
      </c>
      <c r="C32" s="12">
        <v>772</v>
      </c>
      <c r="D32" s="12">
        <v>2392</v>
      </c>
      <c r="E32" s="11" t="s">
        <v>71</v>
      </c>
      <c r="F32" s="13" t="s">
        <v>72</v>
      </c>
      <c r="G32" s="14">
        <v>50</v>
      </c>
      <c r="H32" s="11" t="s">
        <v>73</v>
      </c>
      <c r="I32" s="11" t="s">
        <v>74</v>
      </c>
      <c r="J32" s="11" t="s">
        <v>75</v>
      </c>
      <c r="K32" s="11" t="s">
        <v>76</v>
      </c>
      <c r="L32" s="11" t="s">
        <v>77</v>
      </c>
      <c r="M32" s="5" t="s">
        <v>198</v>
      </c>
      <c r="N32" s="5" t="s">
        <v>199</v>
      </c>
      <c r="O32" s="5" t="s">
        <v>111</v>
      </c>
      <c r="P32" s="5" t="s">
        <v>81</v>
      </c>
      <c r="Q32" s="11" t="s">
        <v>82</v>
      </c>
      <c r="R32" s="11" t="s">
        <v>82</v>
      </c>
      <c r="S32" s="11" t="s">
        <v>82</v>
      </c>
      <c r="T32" s="11" t="s">
        <v>200</v>
      </c>
      <c r="U32" s="5" t="s">
        <v>201</v>
      </c>
      <c r="V32" s="11" t="s">
        <v>85</v>
      </c>
      <c r="W32" s="11" t="s">
        <v>86</v>
      </c>
      <c r="X32" s="11" t="s">
        <v>87</v>
      </c>
      <c r="Y32" s="11" t="s">
        <v>202</v>
      </c>
      <c r="Z32" s="11" t="s">
        <v>203</v>
      </c>
    </row>
    <row r="33" spans="1:26">
      <c r="A33" s="11" t="s">
        <v>90</v>
      </c>
      <c r="B33" s="11" t="s">
        <v>197</v>
      </c>
      <c r="C33" s="12">
        <v>348</v>
      </c>
      <c r="D33" s="12">
        <v>772</v>
      </c>
      <c r="E33" s="11" t="s">
        <v>71</v>
      </c>
      <c r="F33" s="13" t="s">
        <v>91</v>
      </c>
      <c r="G33" s="14">
        <v>56</v>
      </c>
      <c r="H33" s="11" t="s">
        <v>73</v>
      </c>
      <c r="I33" s="11" t="s">
        <v>74</v>
      </c>
      <c r="J33" s="11" t="s">
        <v>75</v>
      </c>
      <c r="K33" s="11" t="s">
        <v>76</v>
      </c>
      <c r="L33" s="11" t="s">
        <v>77</v>
      </c>
      <c r="M33" s="5" t="s">
        <v>198</v>
      </c>
      <c r="N33" s="5" t="s">
        <v>204</v>
      </c>
      <c r="O33" s="5" t="s">
        <v>111</v>
      </c>
      <c r="P33" s="5" t="s">
        <v>94</v>
      </c>
      <c r="Q33" s="11" t="s">
        <v>82</v>
      </c>
      <c r="R33" s="11" t="s">
        <v>82</v>
      </c>
      <c r="S33" s="11" t="s">
        <v>82</v>
      </c>
      <c r="T33" s="11" t="s">
        <v>200</v>
      </c>
      <c r="U33" s="5" t="s">
        <v>201</v>
      </c>
      <c r="V33" s="11" t="s">
        <v>95</v>
      </c>
      <c r="W33" s="11" t="s">
        <v>96</v>
      </c>
      <c r="X33" s="11" t="s">
        <v>97</v>
      </c>
      <c r="Y33" s="11" t="s">
        <v>202</v>
      </c>
      <c r="Z33" s="11" t="s">
        <v>205</v>
      </c>
    </row>
    <row r="34" spans="1:26">
      <c r="A34" s="11" t="s">
        <v>99</v>
      </c>
      <c r="B34" s="11" t="s">
        <v>197</v>
      </c>
      <c r="C34" s="12">
        <v>934</v>
      </c>
      <c r="D34" s="12">
        <v>348</v>
      </c>
      <c r="E34" s="11" t="s">
        <v>71</v>
      </c>
      <c r="F34" s="13" t="s">
        <v>100</v>
      </c>
      <c r="G34" s="14">
        <v>57</v>
      </c>
      <c r="H34" s="11" t="s">
        <v>73</v>
      </c>
      <c r="I34" s="11" t="s">
        <v>74</v>
      </c>
      <c r="J34" s="11" t="s">
        <v>75</v>
      </c>
      <c r="K34" s="11" t="s">
        <v>76</v>
      </c>
      <c r="L34" s="11" t="s">
        <v>77</v>
      </c>
      <c r="M34" s="5" t="s">
        <v>198</v>
      </c>
      <c r="N34" s="5" t="s">
        <v>206</v>
      </c>
      <c r="O34" s="5" t="s">
        <v>111</v>
      </c>
      <c r="P34" s="5" t="s">
        <v>103</v>
      </c>
      <c r="Q34" s="11" t="s">
        <v>82</v>
      </c>
      <c r="R34" s="11" t="s">
        <v>82</v>
      </c>
      <c r="S34" s="11" t="s">
        <v>82</v>
      </c>
      <c r="T34" s="11" t="s">
        <v>200</v>
      </c>
      <c r="U34" s="5" t="s">
        <v>201</v>
      </c>
      <c r="V34" s="11" t="s">
        <v>104</v>
      </c>
      <c r="W34" s="11" t="s">
        <v>105</v>
      </c>
      <c r="X34" s="11" t="s">
        <v>106</v>
      </c>
      <c r="Y34" s="11" t="s">
        <v>202</v>
      </c>
      <c r="Z34" s="11" t="s">
        <v>207</v>
      </c>
    </row>
    <row r="35" spans="1:26">
      <c r="A35" s="11" t="s">
        <v>69</v>
      </c>
      <c r="B35" s="11" t="s">
        <v>208</v>
      </c>
      <c r="C35" s="12">
        <v>4029</v>
      </c>
      <c r="D35" s="12">
        <v>1933</v>
      </c>
      <c r="E35" s="11" t="s">
        <v>71</v>
      </c>
      <c r="F35" s="13" t="s">
        <v>72</v>
      </c>
      <c r="G35" s="14">
        <v>50</v>
      </c>
      <c r="H35" s="11" t="s">
        <v>73</v>
      </c>
      <c r="I35" s="11" t="s">
        <v>74</v>
      </c>
      <c r="J35" s="11" t="s">
        <v>75</v>
      </c>
      <c r="K35" s="11" t="s">
        <v>76</v>
      </c>
      <c r="L35" s="11" t="s">
        <v>77</v>
      </c>
      <c r="M35" s="5" t="s">
        <v>209</v>
      </c>
      <c r="N35" s="5" t="s">
        <v>210</v>
      </c>
      <c r="O35" s="5" t="s">
        <v>111</v>
      </c>
      <c r="P35" s="5" t="s">
        <v>81</v>
      </c>
      <c r="Q35" s="11" t="s">
        <v>82</v>
      </c>
      <c r="R35" s="11" t="s">
        <v>82</v>
      </c>
      <c r="S35" s="11" t="s">
        <v>82</v>
      </c>
      <c r="T35" s="11" t="s">
        <v>211</v>
      </c>
      <c r="U35" s="5" t="s">
        <v>212</v>
      </c>
      <c r="V35" s="11" t="s">
        <v>85</v>
      </c>
      <c r="W35" s="11" t="s">
        <v>86</v>
      </c>
      <c r="X35" s="11" t="s">
        <v>87</v>
      </c>
      <c r="Y35" s="11" t="s">
        <v>213</v>
      </c>
      <c r="Z35" s="11" t="s">
        <v>214</v>
      </c>
    </row>
    <row r="36" spans="1:26">
      <c r="A36" s="11" t="s">
        <v>90</v>
      </c>
      <c r="B36" s="11" t="s">
        <v>208</v>
      </c>
      <c r="C36" s="12">
        <v>2539</v>
      </c>
      <c r="D36" s="12">
        <v>4029</v>
      </c>
      <c r="E36" s="11" t="s">
        <v>71</v>
      </c>
      <c r="F36" s="13" t="s">
        <v>91</v>
      </c>
      <c r="G36" s="14">
        <v>56</v>
      </c>
      <c r="H36" s="11" t="s">
        <v>73</v>
      </c>
      <c r="I36" s="11" t="s">
        <v>74</v>
      </c>
      <c r="J36" s="11" t="s">
        <v>75</v>
      </c>
      <c r="K36" s="11" t="s">
        <v>76</v>
      </c>
      <c r="L36" s="11" t="s">
        <v>77</v>
      </c>
      <c r="M36" s="5" t="s">
        <v>209</v>
      </c>
      <c r="N36" s="5" t="s">
        <v>215</v>
      </c>
      <c r="O36" s="5" t="s">
        <v>111</v>
      </c>
      <c r="P36" s="5" t="s">
        <v>94</v>
      </c>
      <c r="Q36" s="11" t="s">
        <v>82</v>
      </c>
      <c r="R36" s="11" t="s">
        <v>82</v>
      </c>
      <c r="S36" s="11" t="s">
        <v>82</v>
      </c>
      <c r="T36" s="11" t="s">
        <v>211</v>
      </c>
      <c r="U36" s="5" t="s">
        <v>212</v>
      </c>
      <c r="V36" s="11" t="s">
        <v>95</v>
      </c>
      <c r="W36" s="11" t="s">
        <v>96</v>
      </c>
      <c r="X36" s="11" t="s">
        <v>97</v>
      </c>
      <c r="Y36" s="11" t="s">
        <v>213</v>
      </c>
      <c r="Z36" s="11" t="s">
        <v>216</v>
      </c>
    </row>
    <row r="37" spans="1:26">
      <c r="A37" s="11" t="s">
        <v>99</v>
      </c>
      <c r="B37" s="11" t="s">
        <v>208</v>
      </c>
      <c r="C37" s="12">
        <v>5727</v>
      </c>
      <c r="D37" s="12">
        <v>2539</v>
      </c>
      <c r="E37" s="11" t="s">
        <v>71</v>
      </c>
      <c r="F37" s="13" t="s">
        <v>100</v>
      </c>
      <c r="G37" s="14">
        <v>57</v>
      </c>
      <c r="H37" s="11" t="s">
        <v>73</v>
      </c>
      <c r="I37" s="11" t="s">
        <v>74</v>
      </c>
      <c r="J37" s="11" t="s">
        <v>75</v>
      </c>
      <c r="K37" s="11" t="s">
        <v>76</v>
      </c>
      <c r="L37" s="11" t="s">
        <v>77</v>
      </c>
      <c r="M37" s="5" t="s">
        <v>209</v>
      </c>
      <c r="N37" s="5" t="s">
        <v>217</v>
      </c>
      <c r="O37" s="5" t="s">
        <v>111</v>
      </c>
      <c r="P37" s="5" t="s">
        <v>103</v>
      </c>
      <c r="Q37" s="11" t="s">
        <v>82</v>
      </c>
      <c r="R37" s="11" t="s">
        <v>82</v>
      </c>
      <c r="S37" s="11" t="s">
        <v>82</v>
      </c>
      <c r="T37" s="11" t="s">
        <v>211</v>
      </c>
      <c r="U37" s="5" t="s">
        <v>212</v>
      </c>
      <c r="V37" s="11" t="s">
        <v>104</v>
      </c>
      <c r="W37" s="11" t="s">
        <v>105</v>
      </c>
      <c r="X37" s="11" t="s">
        <v>106</v>
      </c>
      <c r="Y37" s="11" t="s">
        <v>213</v>
      </c>
      <c r="Z37" s="11" t="s">
        <v>218</v>
      </c>
    </row>
    <row r="38" spans="1:26">
      <c r="A38" s="11" t="s">
        <v>69</v>
      </c>
      <c r="B38" s="11" t="s">
        <v>219</v>
      </c>
      <c r="C38" s="12">
        <v>5622</v>
      </c>
      <c r="D38" s="12">
        <v>5261</v>
      </c>
      <c r="E38" s="11" t="s">
        <v>71</v>
      </c>
      <c r="F38" s="13" t="s">
        <v>72</v>
      </c>
      <c r="G38" s="14">
        <v>52</v>
      </c>
      <c r="H38" s="11" t="s">
        <v>73</v>
      </c>
      <c r="I38" s="11" t="s">
        <v>74</v>
      </c>
      <c r="J38" s="11" t="s">
        <v>75</v>
      </c>
      <c r="K38" s="11" t="s">
        <v>76</v>
      </c>
      <c r="L38" s="11" t="s">
        <v>220</v>
      </c>
      <c r="M38" s="5" t="s">
        <v>221</v>
      </c>
      <c r="N38" s="5" t="s">
        <v>222</v>
      </c>
      <c r="O38" s="5" t="s">
        <v>223</v>
      </c>
      <c r="P38" s="5" t="s">
        <v>224</v>
      </c>
      <c r="Q38" s="11" t="s">
        <v>82</v>
      </c>
      <c r="R38" s="11" t="s">
        <v>82</v>
      </c>
      <c r="S38" s="11" t="s">
        <v>82</v>
      </c>
      <c r="T38" s="11" t="s">
        <v>225</v>
      </c>
      <c r="U38" s="5" t="s">
        <v>226</v>
      </c>
      <c r="V38" s="11" t="s">
        <v>227</v>
      </c>
      <c r="W38" s="11" t="s">
        <v>86</v>
      </c>
      <c r="X38" s="11" t="s">
        <v>87</v>
      </c>
      <c r="Y38" s="11" t="s">
        <v>228</v>
      </c>
      <c r="Z38" s="11" t="s">
        <v>229</v>
      </c>
    </row>
    <row r="39" spans="1:26">
      <c r="A39" s="11" t="s">
        <v>90</v>
      </c>
      <c r="B39" s="11" t="s">
        <v>219</v>
      </c>
      <c r="C39" s="12">
        <v>7367</v>
      </c>
      <c r="D39" s="12">
        <v>5622</v>
      </c>
      <c r="E39" s="11" t="s">
        <v>71</v>
      </c>
      <c r="F39" s="13" t="s">
        <v>91</v>
      </c>
      <c r="G39" s="14">
        <v>58</v>
      </c>
      <c r="H39" s="11" t="s">
        <v>73</v>
      </c>
      <c r="I39" s="11" t="s">
        <v>74</v>
      </c>
      <c r="J39" s="11" t="s">
        <v>75</v>
      </c>
      <c r="K39" s="11" t="s">
        <v>76</v>
      </c>
      <c r="L39" s="11" t="s">
        <v>220</v>
      </c>
      <c r="M39" s="5" t="s">
        <v>221</v>
      </c>
      <c r="N39" s="5" t="s">
        <v>230</v>
      </c>
      <c r="O39" s="5" t="s">
        <v>231</v>
      </c>
      <c r="P39" s="5" t="s">
        <v>232</v>
      </c>
      <c r="Q39" s="11" t="s">
        <v>82</v>
      </c>
      <c r="R39" s="11" t="s">
        <v>82</v>
      </c>
      <c r="S39" s="11" t="s">
        <v>82</v>
      </c>
      <c r="T39" s="11" t="s">
        <v>225</v>
      </c>
      <c r="U39" s="5" t="s">
        <v>226</v>
      </c>
      <c r="V39" s="11" t="s">
        <v>233</v>
      </c>
      <c r="W39" s="11" t="s">
        <v>96</v>
      </c>
      <c r="X39" s="11" t="s">
        <v>97</v>
      </c>
      <c r="Y39" s="11" t="s">
        <v>228</v>
      </c>
      <c r="Z39" s="11" t="s">
        <v>234</v>
      </c>
    </row>
    <row r="40" spans="1:26">
      <c r="A40" s="11" t="s">
        <v>99</v>
      </c>
      <c r="B40" s="11" t="s">
        <v>219</v>
      </c>
      <c r="C40" s="12">
        <v>6854</v>
      </c>
      <c r="D40" s="12">
        <v>7367</v>
      </c>
      <c r="E40" s="11" t="s">
        <v>71</v>
      </c>
      <c r="F40" s="13" t="s">
        <v>100</v>
      </c>
      <c r="G40" s="14">
        <v>59</v>
      </c>
      <c r="H40" s="11" t="s">
        <v>73</v>
      </c>
      <c r="I40" s="11" t="s">
        <v>74</v>
      </c>
      <c r="J40" s="11" t="s">
        <v>75</v>
      </c>
      <c r="K40" s="11" t="s">
        <v>76</v>
      </c>
      <c r="L40" s="11" t="s">
        <v>220</v>
      </c>
      <c r="M40" s="5" t="s">
        <v>221</v>
      </c>
      <c r="N40" s="5" t="s">
        <v>235</v>
      </c>
      <c r="O40" s="5" t="s">
        <v>231</v>
      </c>
      <c r="P40" s="5" t="s">
        <v>236</v>
      </c>
      <c r="Q40" s="11" t="s">
        <v>82</v>
      </c>
      <c r="R40" s="11" t="s">
        <v>82</v>
      </c>
      <c r="S40" s="11" t="s">
        <v>82</v>
      </c>
      <c r="T40" s="11" t="s">
        <v>225</v>
      </c>
      <c r="U40" s="5" t="s">
        <v>226</v>
      </c>
      <c r="V40" s="11" t="s">
        <v>237</v>
      </c>
      <c r="W40" s="11" t="s">
        <v>105</v>
      </c>
      <c r="X40" s="11" t="s">
        <v>106</v>
      </c>
      <c r="Y40" s="11" t="s">
        <v>228</v>
      </c>
      <c r="Z40" s="11" t="s">
        <v>238</v>
      </c>
    </row>
    <row r="41" spans="1:26">
      <c r="A41" s="11" t="s">
        <v>69</v>
      </c>
      <c r="B41" s="11" t="s">
        <v>239</v>
      </c>
      <c r="C41" s="12">
        <v>4850</v>
      </c>
      <c r="D41" s="12">
        <v>4379</v>
      </c>
      <c r="E41" s="11" t="s">
        <v>71</v>
      </c>
      <c r="F41" s="13" t="s">
        <v>72</v>
      </c>
      <c r="G41" s="14">
        <v>31</v>
      </c>
      <c r="H41" s="11" t="s">
        <v>73</v>
      </c>
      <c r="I41" s="11" t="s">
        <v>74</v>
      </c>
      <c r="J41" s="11" t="s">
        <v>75</v>
      </c>
      <c r="K41" s="11" t="s">
        <v>240</v>
      </c>
      <c r="L41" s="11" t="s">
        <v>241</v>
      </c>
      <c r="M41" s="5" t="s">
        <v>242</v>
      </c>
      <c r="N41" s="5" t="s">
        <v>243</v>
      </c>
      <c r="O41" s="5" t="s">
        <v>244</v>
      </c>
      <c r="P41" s="5" t="s">
        <v>81</v>
      </c>
      <c r="Q41" s="11" t="s">
        <v>82</v>
      </c>
      <c r="R41" s="11" t="s">
        <v>82</v>
      </c>
      <c r="S41" s="11" t="s">
        <v>82</v>
      </c>
      <c r="T41" s="11" t="s">
        <v>245</v>
      </c>
      <c r="U41" s="5" t="s">
        <v>246</v>
      </c>
      <c r="V41" s="11" t="s">
        <v>85</v>
      </c>
      <c r="W41" s="11" t="s">
        <v>86</v>
      </c>
      <c r="X41" s="11" t="s">
        <v>87</v>
      </c>
      <c r="Y41" s="11" t="s">
        <v>247</v>
      </c>
      <c r="Z41" s="11" t="s">
        <v>248</v>
      </c>
    </row>
    <row r="42" spans="1:26">
      <c r="A42" s="11" t="s">
        <v>90</v>
      </c>
      <c r="B42" s="11" t="s">
        <v>239</v>
      </c>
      <c r="C42" s="12">
        <v>2976</v>
      </c>
      <c r="D42" s="12">
        <v>4850</v>
      </c>
      <c r="E42" s="11" t="s">
        <v>71</v>
      </c>
      <c r="F42" s="13" t="s">
        <v>91</v>
      </c>
      <c r="G42" s="14">
        <v>35</v>
      </c>
      <c r="H42" s="11" t="s">
        <v>73</v>
      </c>
      <c r="I42" s="11" t="s">
        <v>74</v>
      </c>
      <c r="J42" s="11" t="s">
        <v>75</v>
      </c>
      <c r="K42" s="11" t="s">
        <v>240</v>
      </c>
      <c r="L42" s="11" t="s">
        <v>241</v>
      </c>
      <c r="M42" s="5" t="s">
        <v>242</v>
      </c>
      <c r="N42" s="5" t="s">
        <v>249</v>
      </c>
      <c r="O42" s="5" t="s">
        <v>244</v>
      </c>
      <c r="P42" s="5" t="s">
        <v>94</v>
      </c>
      <c r="Q42" s="11" t="s">
        <v>82</v>
      </c>
      <c r="R42" s="11" t="s">
        <v>82</v>
      </c>
      <c r="S42" s="11" t="s">
        <v>82</v>
      </c>
      <c r="T42" s="11" t="s">
        <v>245</v>
      </c>
      <c r="U42" s="5" t="s">
        <v>246</v>
      </c>
      <c r="V42" s="11" t="s">
        <v>95</v>
      </c>
      <c r="W42" s="11" t="s">
        <v>96</v>
      </c>
      <c r="X42" s="11" t="s">
        <v>97</v>
      </c>
      <c r="Y42" s="11" t="s">
        <v>247</v>
      </c>
      <c r="Z42" s="11" t="s">
        <v>250</v>
      </c>
    </row>
    <row r="43" spans="1:26">
      <c r="A43" s="11" t="s">
        <v>99</v>
      </c>
      <c r="B43" s="11" t="s">
        <v>239</v>
      </c>
      <c r="C43" s="12">
        <v>6923</v>
      </c>
      <c r="D43" s="12">
        <v>2976</v>
      </c>
      <c r="E43" s="11" t="s">
        <v>71</v>
      </c>
      <c r="F43" s="13" t="s">
        <v>100</v>
      </c>
      <c r="G43" s="14">
        <v>36</v>
      </c>
      <c r="H43" s="11" t="s">
        <v>73</v>
      </c>
      <c r="I43" s="11" t="s">
        <v>74</v>
      </c>
      <c r="J43" s="11" t="s">
        <v>75</v>
      </c>
      <c r="K43" s="11" t="s">
        <v>240</v>
      </c>
      <c r="L43" s="11" t="s">
        <v>241</v>
      </c>
      <c r="M43" s="5" t="s">
        <v>242</v>
      </c>
      <c r="N43" s="5" t="s">
        <v>251</v>
      </c>
      <c r="O43" s="5" t="s">
        <v>244</v>
      </c>
      <c r="P43" s="5" t="s">
        <v>103</v>
      </c>
      <c r="Q43" s="11" t="s">
        <v>82</v>
      </c>
      <c r="R43" s="11" t="s">
        <v>82</v>
      </c>
      <c r="S43" s="11" t="s">
        <v>82</v>
      </c>
      <c r="T43" s="11" t="s">
        <v>245</v>
      </c>
      <c r="U43" s="5" t="s">
        <v>246</v>
      </c>
      <c r="V43" s="11" t="s">
        <v>104</v>
      </c>
      <c r="W43" s="11" t="s">
        <v>105</v>
      </c>
      <c r="X43" s="11" t="s">
        <v>106</v>
      </c>
      <c r="Y43" s="11" t="s">
        <v>247</v>
      </c>
      <c r="Z43" s="11" t="s">
        <v>252</v>
      </c>
    </row>
    <row r="44" spans="1:26">
      <c r="A44" s="11" t="s">
        <v>69</v>
      </c>
      <c r="B44" s="11" t="s">
        <v>253</v>
      </c>
      <c r="C44" s="15">
        <v>0.07000000000000001</v>
      </c>
      <c r="D44" s="15"/>
      <c r="E44" s="11" t="s">
        <v>254</v>
      </c>
      <c r="F44" s="13" t="s">
        <v>72</v>
      </c>
      <c r="G44" s="14">
        <v>27</v>
      </c>
      <c r="H44" s="11" t="s">
        <v>73</v>
      </c>
      <c r="I44" s="11" t="s">
        <v>74</v>
      </c>
      <c r="J44" s="11" t="s">
        <v>75</v>
      </c>
      <c r="K44" s="11" t="s">
        <v>255</v>
      </c>
      <c r="L44" s="11" t="s">
        <v>241</v>
      </c>
      <c r="M44" s="5" t="s">
        <v>256</v>
      </c>
      <c r="N44" s="5" t="s">
        <v>257</v>
      </c>
      <c r="O44" s="5" t="s">
        <v>258</v>
      </c>
      <c r="P44" s="5" t="s">
        <v>259</v>
      </c>
      <c r="Q44" s="11" t="s">
        <v>82</v>
      </c>
      <c r="R44" s="11" t="s">
        <v>82</v>
      </c>
      <c r="S44" s="11" t="s">
        <v>82</v>
      </c>
      <c r="T44" s="11" t="s">
        <v>260</v>
      </c>
      <c r="U44" s="5" t="s">
        <v>246</v>
      </c>
      <c r="V44" s="11" t="s">
        <v>85</v>
      </c>
      <c r="W44" s="11" t="s">
        <v>86</v>
      </c>
      <c r="X44" s="11" t="s">
        <v>87</v>
      </c>
      <c r="Y44" s="11" t="s">
        <v>261</v>
      </c>
      <c r="Z44" s="11" t="s">
        <v>262</v>
      </c>
    </row>
    <row r="45" spans="1:26">
      <c r="A45" s="11" t="s">
        <v>90</v>
      </c>
      <c r="B45" s="11" t="s">
        <v>253</v>
      </c>
      <c r="C45" s="15">
        <v>-0.04</v>
      </c>
      <c r="D45" s="15"/>
      <c r="E45" s="11" t="s">
        <v>254</v>
      </c>
      <c r="F45" s="13" t="s">
        <v>91</v>
      </c>
      <c r="G45" s="14">
        <v>31</v>
      </c>
      <c r="H45" s="11" t="s">
        <v>73</v>
      </c>
      <c r="I45" s="11" t="s">
        <v>74</v>
      </c>
      <c r="J45" s="11" t="s">
        <v>75</v>
      </c>
      <c r="K45" s="11" t="s">
        <v>255</v>
      </c>
      <c r="L45" s="11" t="s">
        <v>241</v>
      </c>
      <c r="M45" s="5" t="s">
        <v>256</v>
      </c>
      <c r="N45" s="5" t="s">
        <v>263</v>
      </c>
      <c r="O45" s="5" t="s">
        <v>264</v>
      </c>
      <c r="P45" s="5" t="s">
        <v>265</v>
      </c>
      <c r="Q45" s="11" t="s">
        <v>82</v>
      </c>
      <c r="R45" s="11" t="s">
        <v>82</v>
      </c>
      <c r="S45" s="11" t="s">
        <v>82</v>
      </c>
      <c r="T45" s="11" t="s">
        <v>260</v>
      </c>
      <c r="U45" s="5" t="s">
        <v>246</v>
      </c>
      <c r="V45" s="11" t="s">
        <v>95</v>
      </c>
      <c r="W45" s="11" t="s">
        <v>96</v>
      </c>
      <c r="X45" s="11" t="s">
        <v>97</v>
      </c>
      <c r="Y45" s="11" t="s">
        <v>261</v>
      </c>
      <c r="Z45" s="11" t="s">
        <v>266</v>
      </c>
    </row>
    <row r="46" spans="1:26">
      <c r="A46" s="11" t="s">
        <v>99</v>
      </c>
      <c r="B46" s="11" t="s">
        <v>253</v>
      </c>
      <c r="C46" s="15">
        <v>0.19</v>
      </c>
      <c r="D46" s="15"/>
      <c r="E46" s="11" t="s">
        <v>254</v>
      </c>
      <c r="F46" s="13" t="s">
        <v>100</v>
      </c>
      <c r="G46" s="14">
        <v>32</v>
      </c>
      <c r="H46" s="11" t="s">
        <v>73</v>
      </c>
      <c r="I46" s="11" t="s">
        <v>74</v>
      </c>
      <c r="J46" s="11" t="s">
        <v>75</v>
      </c>
      <c r="K46" s="11" t="s">
        <v>255</v>
      </c>
      <c r="L46" s="11" t="s">
        <v>241</v>
      </c>
      <c r="M46" s="5" t="s">
        <v>256</v>
      </c>
      <c r="N46" s="5" t="s">
        <v>267</v>
      </c>
      <c r="O46" s="5" t="s">
        <v>268</v>
      </c>
      <c r="P46" s="5" t="s">
        <v>269</v>
      </c>
      <c r="Q46" s="11" t="s">
        <v>82</v>
      </c>
      <c r="R46" s="11" t="s">
        <v>82</v>
      </c>
      <c r="S46" s="11" t="s">
        <v>82</v>
      </c>
      <c r="T46" s="11" t="s">
        <v>260</v>
      </c>
      <c r="U46" s="5" t="s">
        <v>246</v>
      </c>
      <c r="V46" s="11" t="s">
        <v>104</v>
      </c>
      <c r="W46" s="11" t="s">
        <v>105</v>
      </c>
      <c r="X46" s="11" t="s">
        <v>106</v>
      </c>
      <c r="Y46" s="11" t="s">
        <v>261</v>
      </c>
      <c r="Z46" s="11" t="s">
        <v>270</v>
      </c>
    </row>
    <row r="47" spans="1:26">
      <c r="A47" s="11" t="s">
        <v>69</v>
      </c>
      <c r="B47" s="11" t="s">
        <v>271</v>
      </c>
      <c r="C47" s="15">
        <v>0.11</v>
      </c>
      <c r="D47" s="15"/>
      <c r="E47" s="11" t="s">
        <v>254</v>
      </c>
      <c r="F47" s="13" t="s">
        <v>72</v>
      </c>
      <c r="G47" s="14">
        <v>27</v>
      </c>
      <c r="H47" s="11" t="s">
        <v>73</v>
      </c>
      <c r="I47" s="11" t="s">
        <v>74</v>
      </c>
      <c r="J47" s="11" t="s">
        <v>75</v>
      </c>
      <c r="K47" s="11" t="s">
        <v>240</v>
      </c>
      <c r="L47" s="11" t="s">
        <v>241</v>
      </c>
      <c r="M47" s="5" t="s">
        <v>272</v>
      </c>
      <c r="N47" s="5" t="s">
        <v>257</v>
      </c>
      <c r="O47" s="5" t="s">
        <v>273</v>
      </c>
      <c r="P47" s="5" t="s">
        <v>259</v>
      </c>
      <c r="Q47" s="11" t="s">
        <v>82</v>
      </c>
      <c r="R47" s="11" t="s">
        <v>82</v>
      </c>
      <c r="S47" s="11" t="s">
        <v>82</v>
      </c>
      <c r="T47" s="11" t="s">
        <v>274</v>
      </c>
      <c r="U47" s="5" t="s">
        <v>246</v>
      </c>
      <c r="V47" s="11" t="s">
        <v>85</v>
      </c>
      <c r="W47" s="11" t="s">
        <v>86</v>
      </c>
      <c r="X47" s="11" t="s">
        <v>87</v>
      </c>
      <c r="Y47" s="11" t="s">
        <v>275</v>
      </c>
      <c r="Z47" s="11" t="s">
        <v>276</v>
      </c>
    </row>
    <row r="48" spans="1:26">
      <c r="A48" s="11" t="s">
        <v>90</v>
      </c>
      <c r="B48" s="11" t="s">
        <v>271</v>
      </c>
      <c r="C48" s="15">
        <v>-0.02</v>
      </c>
      <c r="D48" s="15"/>
      <c r="E48" s="11" t="s">
        <v>254</v>
      </c>
      <c r="F48" s="13" t="s">
        <v>91</v>
      </c>
      <c r="G48" s="14">
        <v>31</v>
      </c>
      <c r="H48" s="11" t="s">
        <v>73</v>
      </c>
      <c r="I48" s="11" t="s">
        <v>74</v>
      </c>
      <c r="J48" s="11" t="s">
        <v>75</v>
      </c>
      <c r="K48" s="11" t="s">
        <v>240</v>
      </c>
      <c r="L48" s="11" t="s">
        <v>241</v>
      </c>
      <c r="M48" s="5" t="s">
        <v>272</v>
      </c>
      <c r="N48" s="5" t="s">
        <v>263</v>
      </c>
      <c r="O48" s="5" t="s">
        <v>277</v>
      </c>
      <c r="P48" s="5" t="s">
        <v>265</v>
      </c>
      <c r="Q48" s="11" t="s">
        <v>82</v>
      </c>
      <c r="R48" s="11" t="s">
        <v>82</v>
      </c>
      <c r="S48" s="11" t="s">
        <v>82</v>
      </c>
      <c r="T48" s="11" t="s">
        <v>274</v>
      </c>
      <c r="U48" s="5" t="s">
        <v>246</v>
      </c>
      <c r="V48" s="11" t="s">
        <v>95</v>
      </c>
      <c r="W48" s="11" t="s">
        <v>96</v>
      </c>
      <c r="X48" s="11" t="s">
        <v>97</v>
      </c>
      <c r="Y48" s="11" t="s">
        <v>275</v>
      </c>
      <c r="Z48" s="11" t="s">
        <v>278</v>
      </c>
    </row>
    <row r="49" spans="1:26">
      <c r="A49" s="11" t="s">
        <v>99</v>
      </c>
      <c r="B49" s="11" t="s">
        <v>271</v>
      </c>
      <c r="C49" s="15">
        <v>0.17</v>
      </c>
      <c r="D49" s="15"/>
      <c r="E49" s="11" t="s">
        <v>254</v>
      </c>
      <c r="F49" s="13" t="s">
        <v>100</v>
      </c>
      <c r="G49" s="14">
        <v>32</v>
      </c>
      <c r="H49" s="11" t="s">
        <v>73</v>
      </c>
      <c r="I49" s="11" t="s">
        <v>74</v>
      </c>
      <c r="J49" s="11" t="s">
        <v>75</v>
      </c>
      <c r="K49" s="11" t="s">
        <v>240</v>
      </c>
      <c r="L49" s="11" t="s">
        <v>241</v>
      </c>
      <c r="M49" s="5" t="s">
        <v>272</v>
      </c>
      <c r="N49" s="5" t="s">
        <v>267</v>
      </c>
      <c r="O49" s="5" t="s">
        <v>279</v>
      </c>
      <c r="P49" s="5" t="s">
        <v>269</v>
      </c>
      <c r="Q49" s="11" t="s">
        <v>82</v>
      </c>
      <c r="R49" s="11" t="s">
        <v>82</v>
      </c>
      <c r="S49" s="11" t="s">
        <v>82</v>
      </c>
      <c r="T49" s="11" t="s">
        <v>274</v>
      </c>
      <c r="U49" s="5" t="s">
        <v>246</v>
      </c>
      <c r="V49" s="11" t="s">
        <v>104</v>
      </c>
      <c r="W49" s="11" t="s">
        <v>105</v>
      </c>
      <c r="X49" s="11" t="s">
        <v>106</v>
      </c>
      <c r="Y49" s="11" t="s">
        <v>275</v>
      </c>
      <c r="Z49" s="11" t="s">
        <v>280</v>
      </c>
    </row>
    <row r="50" spans="1:26">
      <c r="A50" s="11" t="s">
        <v>69</v>
      </c>
      <c r="B50" s="11" t="s">
        <v>281</v>
      </c>
      <c r="C50" s="12">
        <v>11753</v>
      </c>
      <c r="D50" s="12">
        <v>10428</v>
      </c>
      <c r="E50" s="11" t="s">
        <v>71</v>
      </c>
      <c r="F50" s="13" t="s">
        <v>72</v>
      </c>
      <c r="G50" s="14">
        <v>80</v>
      </c>
      <c r="H50" s="11" t="s">
        <v>73</v>
      </c>
      <c r="I50" s="11" t="s">
        <v>282</v>
      </c>
      <c r="J50" s="11" t="s">
        <v>283</v>
      </c>
      <c r="K50" s="11" t="s">
        <v>76</v>
      </c>
      <c r="L50" s="11" t="s">
        <v>284</v>
      </c>
      <c r="M50" s="5" t="s">
        <v>285</v>
      </c>
      <c r="N50" s="5" t="s">
        <v>286</v>
      </c>
      <c r="O50" s="5" t="s">
        <v>80</v>
      </c>
      <c r="P50" s="5" t="s">
        <v>81</v>
      </c>
      <c r="Q50" s="11" t="s">
        <v>82</v>
      </c>
      <c r="R50" s="11" t="s">
        <v>82</v>
      </c>
      <c r="S50" s="11" t="s">
        <v>82</v>
      </c>
      <c r="T50" s="11" t="s">
        <v>287</v>
      </c>
      <c r="U50" s="5" t="s">
        <v>288</v>
      </c>
      <c r="V50" s="11" t="s">
        <v>85</v>
      </c>
      <c r="W50" s="11" t="s">
        <v>86</v>
      </c>
      <c r="X50" s="11" t="s">
        <v>87</v>
      </c>
      <c r="Y50" s="11" t="s">
        <v>289</v>
      </c>
      <c r="Z50" s="11" t="s">
        <v>290</v>
      </c>
    </row>
    <row r="51" spans="1:26">
      <c r="A51" s="11" t="s">
        <v>90</v>
      </c>
      <c r="B51" s="11" t="s">
        <v>281</v>
      </c>
      <c r="C51" s="12">
        <v>12382</v>
      </c>
      <c r="D51" s="12">
        <v>11753</v>
      </c>
      <c r="E51" s="11" t="s">
        <v>71</v>
      </c>
      <c r="F51" s="13" t="s">
        <v>91</v>
      </c>
      <c r="G51" s="14">
        <v>88</v>
      </c>
      <c r="H51" s="11" t="s">
        <v>73</v>
      </c>
      <c r="I51" s="11" t="s">
        <v>282</v>
      </c>
      <c r="J51" s="11" t="s">
        <v>283</v>
      </c>
      <c r="K51" s="11" t="s">
        <v>76</v>
      </c>
      <c r="L51" s="11" t="s">
        <v>284</v>
      </c>
      <c r="M51" s="5" t="s">
        <v>285</v>
      </c>
      <c r="N51" s="5" t="s">
        <v>291</v>
      </c>
      <c r="O51" s="5" t="s">
        <v>93</v>
      </c>
      <c r="P51" s="5" t="s">
        <v>94</v>
      </c>
      <c r="Q51" s="11" t="s">
        <v>82</v>
      </c>
      <c r="R51" s="11" t="s">
        <v>82</v>
      </c>
      <c r="S51" s="11" t="s">
        <v>82</v>
      </c>
      <c r="T51" s="11" t="s">
        <v>287</v>
      </c>
      <c r="U51" s="5" t="s">
        <v>288</v>
      </c>
      <c r="V51" s="11" t="s">
        <v>95</v>
      </c>
      <c r="W51" s="11" t="s">
        <v>96</v>
      </c>
      <c r="X51" s="11" t="s">
        <v>97</v>
      </c>
      <c r="Y51" s="11" t="s">
        <v>289</v>
      </c>
      <c r="Z51" s="11" t="s">
        <v>292</v>
      </c>
    </row>
    <row r="52" spans="1:26">
      <c r="A52" s="11" t="s">
        <v>99</v>
      </c>
      <c r="B52" s="11" t="s">
        <v>281</v>
      </c>
      <c r="C52" s="12">
        <v>16370</v>
      </c>
      <c r="D52" s="12">
        <v>12382</v>
      </c>
      <c r="E52" s="11" t="s">
        <v>71</v>
      </c>
      <c r="F52" s="13" t="s">
        <v>100</v>
      </c>
      <c r="G52" s="14">
        <v>86</v>
      </c>
      <c r="H52" s="11" t="s">
        <v>73</v>
      </c>
      <c r="I52" s="11" t="s">
        <v>282</v>
      </c>
      <c r="J52" s="11" t="s">
        <v>283</v>
      </c>
      <c r="K52" s="11" t="s">
        <v>76</v>
      </c>
      <c r="L52" s="11" t="s">
        <v>284</v>
      </c>
      <c r="M52" s="5" t="s">
        <v>285</v>
      </c>
      <c r="N52" s="5" t="s">
        <v>293</v>
      </c>
      <c r="O52" s="5" t="s">
        <v>102</v>
      </c>
      <c r="P52" s="5" t="s">
        <v>103</v>
      </c>
      <c r="Q52" s="11" t="s">
        <v>82</v>
      </c>
      <c r="R52" s="11" t="s">
        <v>82</v>
      </c>
      <c r="S52" s="11" t="s">
        <v>82</v>
      </c>
      <c r="T52" s="11" t="s">
        <v>287</v>
      </c>
      <c r="U52" s="5" t="s">
        <v>288</v>
      </c>
      <c r="V52" s="11" t="s">
        <v>104</v>
      </c>
      <c r="W52" s="11" t="s">
        <v>105</v>
      </c>
      <c r="X52" s="11" t="s">
        <v>106</v>
      </c>
      <c r="Y52" s="11" t="s">
        <v>289</v>
      </c>
      <c r="Z52" s="11" t="s">
        <v>294</v>
      </c>
    </row>
    <row r="53" spans="1:26">
      <c r="A53" s="11" t="s">
        <v>69</v>
      </c>
      <c r="B53" s="11" t="s">
        <v>295</v>
      </c>
      <c r="C53" s="12">
        <v>25423</v>
      </c>
      <c r="D53" s="12">
        <v>23969</v>
      </c>
      <c r="E53" s="11" t="s">
        <v>71</v>
      </c>
      <c r="F53" s="13" t="s">
        <v>72</v>
      </c>
      <c r="G53" s="14">
        <v>80</v>
      </c>
      <c r="H53" s="11" t="s">
        <v>73</v>
      </c>
      <c r="I53" s="11" t="s">
        <v>282</v>
      </c>
      <c r="J53" s="11" t="s">
        <v>296</v>
      </c>
      <c r="K53" s="11" t="s">
        <v>76</v>
      </c>
      <c r="L53" s="11" t="s">
        <v>284</v>
      </c>
      <c r="M53" s="5" t="s">
        <v>297</v>
      </c>
      <c r="N53" s="5" t="s">
        <v>298</v>
      </c>
      <c r="O53" s="5" t="s">
        <v>80</v>
      </c>
      <c r="P53" s="5" t="s">
        <v>81</v>
      </c>
      <c r="Q53" s="11" t="s">
        <v>82</v>
      </c>
      <c r="R53" s="11" t="s">
        <v>82</v>
      </c>
      <c r="S53" s="11" t="s">
        <v>82</v>
      </c>
      <c r="T53" s="11" t="s">
        <v>299</v>
      </c>
      <c r="U53" s="5" t="s">
        <v>300</v>
      </c>
      <c r="V53" s="11" t="s">
        <v>85</v>
      </c>
      <c r="W53" s="11" t="s">
        <v>86</v>
      </c>
      <c r="X53" s="11" t="s">
        <v>87</v>
      </c>
      <c r="Y53" s="11" t="s">
        <v>301</v>
      </c>
      <c r="Z53" s="11" t="s">
        <v>302</v>
      </c>
    </row>
    <row r="54" spans="1:26">
      <c r="A54" s="11" t="s">
        <v>90</v>
      </c>
      <c r="B54" s="11" t="s">
        <v>295</v>
      </c>
      <c r="C54" s="12">
        <v>23156</v>
      </c>
      <c r="D54" s="12">
        <v>25423</v>
      </c>
      <c r="E54" s="11" t="s">
        <v>71</v>
      </c>
      <c r="F54" s="13" t="s">
        <v>91</v>
      </c>
      <c r="G54" s="14">
        <v>88</v>
      </c>
      <c r="H54" s="11" t="s">
        <v>73</v>
      </c>
      <c r="I54" s="11" t="s">
        <v>282</v>
      </c>
      <c r="J54" s="11" t="s">
        <v>296</v>
      </c>
      <c r="K54" s="11" t="s">
        <v>76</v>
      </c>
      <c r="L54" s="11" t="s">
        <v>284</v>
      </c>
      <c r="M54" s="5" t="s">
        <v>297</v>
      </c>
      <c r="N54" s="5" t="s">
        <v>303</v>
      </c>
      <c r="O54" s="5" t="s">
        <v>93</v>
      </c>
      <c r="P54" s="5" t="s">
        <v>94</v>
      </c>
      <c r="Q54" s="11" t="s">
        <v>82</v>
      </c>
      <c r="R54" s="11" t="s">
        <v>82</v>
      </c>
      <c r="S54" s="11" t="s">
        <v>82</v>
      </c>
      <c r="T54" s="11" t="s">
        <v>299</v>
      </c>
      <c r="U54" s="5" t="s">
        <v>300</v>
      </c>
      <c r="V54" s="11" t="s">
        <v>95</v>
      </c>
      <c r="W54" s="11" t="s">
        <v>96</v>
      </c>
      <c r="X54" s="11" t="s">
        <v>97</v>
      </c>
      <c r="Y54" s="11" t="s">
        <v>301</v>
      </c>
      <c r="Z54" s="11" t="s">
        <v>304</v>
      </c>
    </row>
    <row r="55" spans="1:26">
      <c r="A55" s="11" t="s">
        <v>99</v>
      </c>
      <c r="B55" s="11" t="s">
        <v>295</v>
      </c>
      <c r="C55" s="12">
        <v>25898</v>
      </c>
      <c r="D55" s="12">
        <v>23156</v>
      </c>
      <c r="E55" s="11" t="s">
        <v>71</v>
      </c>
      <c r="F55" s="13" t="s">
        <v>100</v>
      </c>
      <c r="G55" s="14">
        <v>86</v>
      </c>
      <c r="H55" s="11" t="s">
        <v>73</v>
      </c>
      <c r="I55" s="11" t="s">
        <v>282</v>
      </c>
      <c r="J55" s="11" t="s">
        <v>296</v>
      </c>
      <c r="K55" s="11" t="s">
        <v>76</v>
      </c>
      <c r="L55" s="11" t="s">
        <v>284</v>
      </c>
      <c r="M55" s="5" t="s">
        <v>297</v>
      </c>
      <c r="N55" s="5" t="s">
        <v>305</v>
      </c>
      <c r="O55" s="5" t="s">
        <v>102</v>
      </c>
      <c r="P55" s="5" t="s">
        <v>103</v>
      </c>
      <c r="Q55" s="11" t="s">
        <v>82</v>
      </c>
      <c r="R55" s="11" t="s">
        <v>82</v>
      </c>
      <c r="S55" s="11" t="s">
        <v>82</v>
      </c>
      <c r="T55" s="11" t="s">
        <v>299</v>
      </c>
      <c r="U55" s="5" t="s">
        <v>300</v>
      </c>
      <c r="V55" s="11" t="s">
        <v>104</v>
      </c>
      <c r="W55" s="11" t="s">
        <v>105</v>
      </c>
      <c r="X55" s="11" t="s">
        <v>106</v>
      </c>
      <c r="Y55" s="11" t="s">
        <v>301</v>
      </c>
      <c r="Z55" s="11" t="s">
        <v>306</v>
      </c>
    </row>
    <row r="56" spans="1:26">
      <c r="A56" s="11" t="s">
        <v>69</v>
      </c>
      <c r="B56" s="11" t="s">
        <v>307</v>
      </c>
      <c r="C56" s="12">
        <v>42</v>
      </c>
      <c r="D56" s="12">
        <v>88</v>
      </c>
      <c r="E56" s="11" t="s">
        <v>71</v>
      </c>
      <c r="F56" s="13" t="s">
        <v>72</v>
      </c>
      <c r="G56" s="14">
        <v>80</v>
      </c>
      <c r="H56" s="11" t="s">
        <v>73</v>
      </c>
      <c r="I56" s="11" t="s">
        <v>282</v>
      </c>
      <c r="J56" s="11" t="s">
        <v>308</v>
      </c>
      <c r="K56" s="11" t="s">
        <v>76</v>
      </c>
      <c r="L56" s="11" t="s">
        <v>284</v>
      </c>
      <c r="M56" s="5" t="s">
        <v>309</v>
      </c>
      <c r="N56" s="5" t="s">
        <v>310</v>
      </c>
      <c r="O56" s="5" t="s">
        <v>80</v>
      </c>
      <c r="P56" s="5" t="s">
        <v>81</v>
      </c>
      <c r="Q56" s="11" t="s">
        <v>82</v>
      </c>
      <c r="R56" s="11" t="s">
        <v>82</v>
      </c>
      <c r="S56" s="11" t="s">
        <v>82</v>
      </c>
      <c r="T56" s="11" t="s">
        <v>311</v>
      </c>
      <c r="U56" s="5" t="s">
        <v>312</v>
      </c>
      <c r="V56" s="11" t="s">
        <v>85</v>
      </c>
      <c r="W56" s="11" t="s">
        <v>86</v>
      </c>
      <c r="X56" s="11" t="s">
        <v>87</v>
      </c>
      <c r="Y56" s="11" t="s">
        <v>313</v>
      </c>
      <c r="Z56" s="11" t="s">
        <v>314</v>
      </c>
    </row>
    <row r="57" spans="1:26">
      <c r="A57" s="11" t="s">
        <v>90</v>
      </c>
      <c r="B57" s="11" t="s">
        <v>307</v>
      </c>
      <c r="C57" s="12">
        <v>30</v>
      </c>
      <c r="D57" s="12">
        <v>42</v>
      </c>
      <c r="E57" s="11" t="s">
        <v>71</v>
      </c>
      <c r="F57" s="13" t="s">
        <v>91</v>
      </c>
      <c r="G57" s="14">
        <v>88</v>
      </c>
      <c r="H57" s="11" t="s">
        <v>73</v>
      </c>
      <c r="I57" s="11" t="s">
        <v>282</v>
      </c>
      <c r="J57" s="11" t="s">
        <v>308</v>
      </c>
      <c r="K57" s="11" t="s">
        <v>76</v>
      </c>
      <c r="L57" s="11" t="s">
        <v>284</v>
      </c>
      <c r="M57" s="5" t="s">
        <v>309</v>
      </c>
      <c r="N57" s="5" t="s">
        <v>315</v>
      </c>
      <c r="O57" s="5" t="s">
        <v>93</v>
      </c>
      <c r="P57" s="5" t="s">
        <v>94</v>
      </c>
      <c r="Q57" s="11" t="s">
        <v>82</v>
      </c>
      <c r="R57" s="11" t="s">
        <v>82</v>
      </c>
      <c r="S57" s="11" t="s">
        <v>82</v>
      </c>
      <c r="T57" s="11" t="s">
        <v>311</v>
      </c>
      <c r="U57" s="5" t="s">
        <v>312</v>
      </c>
      <c r="V57" s="11" t="s">
        <v>95</v>
      </c>
      <c r="W57" s="11" t="s">
        <v>96</v>
      </c>
      <c r="X57" s="11" t="s">
        <v>97</v>
      </c>
      <c r="Y57" s="11" t="s">
        <v>313</v>
      </c>
      <c r="Z57" s="11" t="s">
        <v>316</v>
      </c>
    </row>
    <row r="58" spans="1:26">
      <c r="A58" s="11" t="s">
        <v>99</v>
      </c>
      <c r="B58" s="11" t="s">
        <v>307</v>
      </c>
      <c r="C58" s="12">
        <v>25</v>
      </c>
      <c r="D58" s="12">
        <v>30</v>
      </c>
      <c r="E58" s="11" t="s">
        <v>71</v>
      </c>
      <c r="F58" s="13" t="s">
        <v>100</v>
      </c>
      <c r="G58" s="14">
        <v>86</v>
      </c>
      <c r="H58" s="11" t="s">
        <v>73</v>
      </c>
      <c r="I58" s="11" t="s">
        <v>282</v>
      </c>
      <c r="J58" s="11" t="s">
        <v>308</v>
      </c>
      <c r="K58" s="11" t="s">
        <v>76</v>
      </c>
      <c r="L58" s="11" t="s">
        <v>284</v>
      </c>
      <c r="M58" s="5" t="s">
        <v>309</v>
      </c>
      <c r="N58" s="5" t="s">
        <v>317</v>
      </c>
      <c r="O58" s="5" t="s">
        <v>102</v>
      </c>
      <c r="P58" s="5" t="s">
        <v>103</v>
      </c>
      <c r="Q58" s="11" t="s">
        <v>82</v>
      </c>
      <c r="R58" s="11" t="s">
        <v>82</v>
      </c>
      <c r="S58" s="11" t="s">
        <v>82</v>
      </c>
      <c r="T58" s="11" t="s">
        <v>311</v>
      </c>
      <c r="U58" s="5" t="s">
        <v>312</v>
      </c>
      <c r="V58" s="11" t="s">
        <v>104</v>
      </c>
      <c r="W58" s="11" t="s">
        <v>105</v>
      </c>
      <c r="X58" s="11" t="s">
        <v>106</v>
      </c>
      <c r="Y58" s="11" t="s">
        <v>313</v>
      </c>
      <c r="Z58" s="11" t="s">
        <v>318</v>
      </c>
    </row>
    <row r="59" spans="1:26">
      <c r="A59" s="11" t="s">
        <v>69</v>
      </c>
      <c r="B59" s="11" t="s">
        <v>319</v>
      </c>
      <c r="C59" s="12">
        <v>37218</v>
      </c>
      <c r="D59" s="12">
        <v>34485</v>
      </c>
      <c r="E59" s="11" t="s">
        <v>71</v>
      </c>
      <c r="F59" s="13" t="s">
        <v>72</v>
      </c>
      <c r="G59" s="14">
        <v>80</v>
      </c>
      <c r="H59" s="11" t="s">
        <v>73</v>
      </c>
      <c r="I59" s="11" t="s">
        <v>282</v>
      </c>
      <c r="J59" s="11" t="s">
        <v>320</v>
      </c>
      <c r="K59" s="11" t="s">
        <v>76</v>
      </c>
      <c r="L59" s="11" t="s">
        <v>284</v>
      </c>
      <c r="M59" s="5" t="s">
        <v>321</v>
      </c>
      <c r="N59" s="5" t="s">
        <v>322</v>
      </c>
      <c r="O59" s="5" t="s">
        <v>80</v>
      </c>
      <c r="P59" s="5" t="s">
        <v>81</v>
      </c>
      <c r="Q59" s="11" t="s">
        <v>82</v>
      </c>
      <c r="R59" s="11" t="s">
        <v>82</v>
      </c>
      <c r="S59" s="11" t="s">
        <v>82</v>
      </c>
      <c r="T59" s="11" t="s">
        <v>323</v>
      </c>
      <c r="U59" s="5" t="s">
        <v>324</v>
      </c>
      <c r="V59" s="11" t="s">
        <v>85</v>
      </c>
      <c r="W59" s="11" t="s">
        <v>86</v>
      </c>
      <c r="X59" s="11" t="s">
        <v>87</v>
      </c>
      <c r="Y59" s="11" t="s">
        <v>325</v>
      </c>
      <c r="Z59" s="11" t="s">
        <v>326</v>
      </c>
    </row>
    <row r="60" spans="1:26">
      <c r="A60" s="11" t="s">
        <v>90</v>
      </c>
      <c r="B60" s="11" t="s">
        <v>319</v>
      </c>
      <c r="C60" s="12">
        <v>35568</v>
      </c>
      <c r="D60" s="12">
        <v>37218</v>
      </c>
      <c r="E60" s="11" t="s">
        <v>71</v>
      </c>
      <c r="F60" s="13" t="s">
        <v>91</v>
      </c>
      <c r="G60" s="14">
        <v>88</v>
      </c>
      <c r="H60" s="11" t="s">
        <v>73</v>
      </c>
      <c r="I60" s="11" t="s">
        <v>282</v>
      </c>
      <c r="J60" s="11" t="s">
        <v>320</v>
      </c>
      <c r="K60" s="11" t="s">
        <v>76</v>
      </c>
      <c r="L60" s="11" t="s">
        <v>284</v>
      </c>
      <c r="M60" s="5" t="s">
        <v>321</v>
      </c>
      <c r="N60" s="5" t="s">
        <v>327</v>
      </c>
      <c r="O60" s="5" t="s">
        <v>93</v>
      </c>
      <c r="P60" s="5" t="s">
        <v>94</v>
      </c>
      <c r="Q60" s="11" t="s">
        <v>82</v>
      </c>
      <c r="R60" s="11" t="s">
        <v>82</v>
      </c>
      <c r="S60" s="11" t="s">
        <v>82</v>
      </c>
      <c r="T60" s="11" t="s">
        <v>323</v>
      </c>
      <c r="U60" s="5" t="s">
        <v>324</v>
      </c>
      <c r="V60" s="11" t="s">
        <v>95</v>
      </c>
      <c r="W60" s="11" t="s">
        <v>96</v>
      </c>
      <c r="X60" s="11" t="s">
        <v>97</v>
      </c>
      <c r="Y60" s="11" t="s">
        <v>325</v>
      </c>
      <c r="Z60" s="11" t="s">
        <v>328</v>
      </c>
    </row>
    <row r="61" spans="1:26">
      <c r="A61" s="11" t="s">
        <v>99</v>
      </c>
      <c r="B61" s="11" t="s">
        <v>319</v>
      </c>
      <c r="C61" s="12">
        <v>42293</v>
      </c>
      <c r="D61" s="12">
        <v>35568</v>
      </c>
      <c r="E61" s="11" t="s">
        <v>71</v>
      </c>
      <c r="F61" s="13" t="s">
        <v>100</v>
      </c>
      <c r="G61" s="14">
        <v>86</v>
      </c>
      <c r="H61" s="11" t="s">
        <v>73</v>
      </c>
      <c r="I61" s="11" t="s">
        <v>282</v>
      </c>
      <c r="J61" s="11" t="s">
        <v>320</v>
      </c>
      <c r="K61" s="11" t="s">
        <v>76</v>
      </c>
      <c r="L61" s="11" t="s">
        <v>284</v>
      </c>
      <c r="M61" s="5" t="s">
        <v>321</v>
      </c>
      <c r="N61" s="5" t="s">
        <v>329</v>
      </c>
      <c r="O61" s="5" t="s">
        <v>102</v>
      </c>
      <c r="P61" s="5" t="s">
        <v>103</v>
      </c>
      <c r="Q61" s="11" t="s">
        <v>82</v>
      </c>
      <c r="R61" s="11" t="s">
        <v>82</v>
      </c>
      <c r="S61" s="11" t="s">
        <v>82</v>
      </c>
      <c r="T61" s="11" t="s">
        <v>323</v>
      </c>
      <c r="U61" s="5" t="s">
        <v>324</v>
      </c>
      <c r="V61" s="11" t="s">
        <v>104</v>
      </c>
      <c r="W61" s="11" t="s">
        <v>105</v>
      </c>
      <c r="X61" s="11" t="s">
        <v>106</v>
      </c>
      <c r="Y61" s="11" t="s">
        <v>325</v>
      </c>
      <c r="Z61" s="11" t="s">
        <v>330</v>
      </c>
    </row>
    <row r="62" spans="1:26">
      <c r="A62" s="11" t="s">
        <v>69</v>
      </c>
      <c r="B62" s="11" t="s">
        <v>331</v>
      </c>
      <c r="C62" s="12">
        <v>1906</v>
      </c>
      <c r="D62" s="12">
        <v>1886</v>
      </c>
      <c r="E62" s="11" t="s">
        <v>71</v>
      </c>
      <c r="F62" s="13" t="s">
        <v>72</v>
      </c>
      <c r="G62" s="14">
        <v>80</v>
      </c>
      <c r="H62" s="11" t="s">
        <v>73</v>
      </c>
      <c r="I62" s="11" t="s">
        <v>332</v>
      </c>
      <c r="J62" s="11" t="s">
        <v>75</v>
      </c>
      <c r="K62" s="11" t="s">
        <v>76</v>
      </c>
      <c r="L62" s="11" t="s">
        <v>284</v>
      </c>
      <c r="M62" s="5" t="s">
        <v>333</v>
      </c>
      <c r="N62" s="5" t="s">
        <v>334</v>
      </c>
      <c r="O62" s="5" t="s">
        <v>80</v>
      </c>
      <c r="P62" s="5" t="s">
        <v>81</v>
      </c>
      <c r="Q62" s="11" t="s">
        <v>82</v>
      </c>
      <c r="R62" s="11" t="s">
        <v>82</v>
      </c>
      <c r="S62" s="11" t="s">
        <v>82</v>
      </c>
      <c r="T62" s="11" t="s">
        <v>335</v>
      </c>
      <c r="U62" s="5" t="s">
        <v>336</v>
      </c>
      <c r="V62" s="11" t="s">
        <v>85</v>
      </c>
      <c r="W62" s="11" t="s">
        <v>86</v>
      </c>
      <c r="X62" s="11" t="s">
        <v>87</v>
      </c>
      <c r="Y62" s="11" t="s">
        <v>337</v>
      </c>
      <c r="Z62" s="11" t="s">
        <v>338</v>
      </c>
    </row>
    <row r="63" spans="1:26">
      <c r="A63" s="11" t="s">
        <v>90</v>
      </c>
      <c r="B63" s="11" t="s">
        <v>331</v>
      </c>
      <c r="C63" s="12">
        <v>1846</v>
      </c>
      <c r="D63" s="12">
        <v>1906</v>
      </c>
      <c r="E63" s="11" t="s">
        <v>71</v>
      </c>
      <c r="F63" s="13" t="s">
        <v>91</v>
      </c>
      <c r="G63" s="14">
        <v>88</v>
      </c>
      <c r="H63" s="11" t="s">
        <v>73</v>
      </c>
      <c r="I63" s="11" t="s">
        <v>332</v>
      </c>
      <c r="J63" s="11" t="s">
        <v>75</v>
      </c>
      <c r="K63" s="11" t="s">
        <v>76</v>
      </c>
      <c r="L63" s="11" t="s">
        <v>284</v>
      </c>
      <c r="M63" s="5" t="s">
        <v>333</v>
      </c>
      <c r="N63" s="5" t="s">
        <v>339</v>
      </c>
      <c r="O63" s="5" t="s">
        <v>93</v>
      </c>
      <c r="P63" s="5" t="s">
        <v>94</v>
      </c>
      <c r="Q63" s="11" t="s">
        <v>82</v>
      </c>
      <c r="R63" s="11" t="s">
        <v>82</v>
      </c>
      <c r="S63" s="11" t="s">
        <v>82</v>
      </c>
      <c r="T63" s="11" t="s">
        <v>335</v>
      </c>
      <c r="U63" s="5" t="s">
        <v>336</v>
      </c>
      <c r="V63" s="11" t="s">
        <v>95</v>
      </c>
      <c r="W63" s="11" t="s">
        <v>96</v>
      </c>
      <c r="X63" s="11" t="s">
        <v>97</v>
      </c>
      <c r="Y63" s="11" t="s">
        <v>337</v>
      </c>
      <c r="Z63" s="11" t="s">
        <v>340</v>
      </c>
    </row>
    <row r="64" spans="1:26">
      <c r="A64" s="11" t="s">
        <v>99</v>
      </c>
      <c r="B64" s="11" t="s">
        <v>331</v>
      </c>
      <c r="C64" s="12">
        <v>2205</v>
      </c>
      <c r="D64" s="12">
        <v>1846</v>
      </c>
      <c r="E64" s="11" t="s">
        <v>71</v>
      </c>
      <c r="F64" s="13" t="s">
        <v>100</v>
      </c>
      <c r="G64" s="14">
        <v>86</v>
      </c>
      <c r="H64" s="11" t="s">
        <v>73</v>
      </c>
      <c r="I64" s="11" t="s">
        <v>332</v>
      </c>
      <c r="J64" s="11" t="s">
        <v>75</v>
      </c>
      <c r="K64" s="11" t="s">
        <v>76</v>
      </c>
      <c r="L64" s="11" t="s">
        <v>284</v>
      </c>
      <c r="M64" s="5" t="s">
        <v>333</v>
      </c>
      <c r="N64" s="5" t="s">
        <v>341</v>
      </c>
      <c r="O64" s="5" t="s">
        <v>102</v>
      </c>
      <c r="P64" s="5" t="s">
        <v>103</v>
      </c>
      <c r="Q64" s="11" t="s">
        <v>82</v>
      </c>
      <c r="R64" s="11" t="s">
        <v>82</v>
      </c>
      <c r="S64" s="11" t="s">
        <v>82</v>
      </c>
      <c r="T64" s="11" t="s">
        <v>335</v>
      </c>
      <c r="U64" s="5" t="s">
        <v>336</v>
      </c>
      <c r="V64" s="11" t="s">
        <v>104</v>
      </c>
      <c r="W64" s="11" t="s">
        <v>105</v>
      </c>
      <c r="X64" s="11" t="s">
        <v>106</v>
      </c>
      <c r="Y64" s="11" t="s">
        <v>337</v>
      </c>
      <c r="Z64" s="11" t="s">
        <v>342</v>
      </c>
    </row>
    <row r="65" spans="1:26">
      <c r="A65" s="11" t="s">
        <v>69</v>
      </c>
      <c r="B65" s="11" t="s">
        <v>343</v>
      </c>
      <c r="C65" s="12">
        <v>-7</v>
      </c>
      <c r="D65" s="12">
        <v>26</v>
      </c>
      <c r="E65" s="11" t="s">
        <v>71</v>
      </c>
      <c r="F65" s="13" t="s">
        <v>72</v>
      </c>
      <c r="G65" s="14">
        <v>80</v>
      </c>
      <c r="H65" s="11" t="s">
        <v>73</v>
      </c>
      <c r="I65" s="11" t="s">
        <v>344</v>
      </c>
      <c r="J65" s="11" t="s">
        <v>75</v>
      </c>
      <c r="K65" s="11" t="s">
        <v>76</v>
      </c>
      <c r="L65" s="11" t="s">
        <v>284</v>
      </c>
      <c r="M65" s="5" t="s">
        <v>345</v>
      </c>
      <c r="N65" s="5" t="s">
        <v>346</v>
      </c>
      <c r="O65" s="5" t="s">
        <v>80</v>
      </c>
      <c r="P65" s="5" t="s">
        <v>81</v>
      </c>
      <c r="Q65" s="11" t="s">
        <v>82</v>
      </c>
      <c r="R65" s="11" t="s">
        <v>82</v>
      </c>
      <c r="S65" s="11" t="s">
        <v>82</v>
      </c>
      <c r="T65" s="11" t="s">
        <v>347</v>
      </c>
      <c r="U65" s="5" t="s">
        <v>348</v>
      </c>
      <c r="V65" s="11" t="s">
        <v>85</v>
      </c>
      <c r="W65" s="11" t="s">
        <v>86</v>
      </c>
      <c r="X65" s="11" t="s">
        <v>87</v>
      </c>
      <c r="Y65" s="11" t="s">
        <v>349</v>
      </c>
      <c r="Z65" s="11" t="s">
        <v>350</v>
      </c>
    </row>
    <row r="66" spans="1:26">
      <c r="A66" s="11" t="s">
        <v>90</v>
      </c>
      <c r="B66" s="11" t="s">
        <v>343</v>
      </c>
      <c r="C66" s="12">
        <v>-11</v>
      </c>
      <c r="D66" s="12">
        <v>-7</v>
      </c>
      <c r="E66" s="11" t="s">
        <v>71</v>
      </c>
      <c r="F66" s="13" t="s">
        <v>91</v>
      </c>
      <c r="G66" s="14">
        <v>88</v>
      </c>
      <c r="H66" s="11" t="s">
        <v>73</v>
      </c>
      <c r="I66" s="11" t="s">
        <v>344</v>
      </c>
      <c r="J66" s="11" t="s">
        <v>75</v>
      </c>
      <c r="K66" s="11" t="s">
        <v>76</v>
      </c>
      <c r="L66" s="11" t="s">
        <v>284</v>
      </c>
      <c r="M66" s="5" t="s">
        <v>345</v>
      </c>
      <c r="N66" s="5" t="s">
        <v>351</v>
      </c>
      <c r="O66" s="5" t="s">
        <v>93</v>
      </c>
      <c r="P66" s="5" t="s">
        <v>94</v>
      </c>
      <c r="Q66" s="11" t="s">
        <v>82</v>
      </c>
      <c r="R66" s="11" t="s">
        <v>82</v>
      </c>
      <c r="S66" s="11" t="s">
        <v>82</v>
      </c>
      <c r="T66" s="11" t="s">
        <v>347</v>
      </c>
      <c r="U66" s="5" t="s">
        <v>348</v>
      </c>
      <c r="V66" s="11" t="s">
        <v>95</v>
      </c>
      <c r="W66" s="11" t="s">
        <v>96</v>
      </c>
      <c r="X66" s="11" t="s">
        <v>97</v>
      </c>
      <c r="Y66" s="11" t="s">
        <v>349</v>
      </c>
      <c r="Z66" s="11" t="s">
        <v>352</v>
      </c>
    </row>
    <row r="67" spans="1:26">
      <c r="A67" s="11" t="s">
        <v>99</v>
      </c>
      <c r="B67" s="11" t="s">
        <v>343</v>
      </c>
      <c r="C67" s="12">
        <v>40</v>
      </c>
      <c r="D67" s="12">
        <v>-11</v>
      </c>
      <c r="E67" s="11" t="s">
        <v>71</v>
      </c>
      <c r="F67" s="13" t="s">
        <v>100</v>
      </c>
      <c r="G67" s="14">
        <v>86</v>
      </c>
      <c r="H67" s="11" t="s">
        <v>73</v>
      </c>
      <c r="I67" s="11" t="s">
        <v>344</v>
      </c>
      <c r="J67" s="11" t="s">
        <v>75</v>
      </c>
      <c r="K67" s="11" t="s">
        <v>76</v>
      </c>
      <c r="L67" s="11" t="s">
        <v>284</v>
      </c>
      <c r="M67" s="5" t="s">
        <v>345</v>
      </c>
      <c r="N67" s="5" t="s">
        <v>353</v>
      </c>
      <c r="O67" s="5" t="s">
        <v>102</v>
      </c>
      <c r="P67" s="5" t="s">
        <v>103</v>
      </c>
      <c r="Q67" s="11" t="s">
        <v>82</v>
      </c>
      <c r="R67" s="11" t="s">
        <v>82</v>
      </c>
      <c r="S67" s="11" t="s">
        <v>82</v>
      </c>
      <c r="T67" s="11" t="s">
        <v>347</v>
      </c>
      <c r="U67" s="5" t="s">
        <v>348</v>
      </c>
      <c r="V67" s="11" t="s">
        <v>104</v>
      </c>
      <c r="W67" s="11" t="s">
        <v>105</v>
      </c>
      <c r="X67" s="11" t="s">
        <v>106</v>
      </c>
      <c r="Y67" s="11" t="s">
        <v>349</v>
      </c>
      <c r="Z67" s="11" t="s">
        <v>354</v>
      </c>
    </row>
    <row r="68" spans="1:26">
      <c r="A68" s="11" t="s">
        <v>69</v>
      </c>
      <c r="B68" s="11" t="s">
        <v>355</v>
      </c>
      <c r="C68" s="16">
        <v>3.8</v>
      </c>
      <c r="D68" s="16">
        <v>2.8</v>
      </c>
      <c r="E68" s="11" t="s">
        <v>356</v>
      </c>
      <c r="F68" s="13" t="s">
        <v>72</v>
      </c>
      <c r="G68" s="14">
        <v>28</v>
      </c>
      <c r="H68" s="11" t="s">
        <v>73</v>
      </c>
      <c r="I68" s="11" t="s">
        <v>282</v>
      </c>
      <c r="J68" s="11" t="s">
        <v>357</v>
      </c>
      <c r="K68" s="11" t="s">
        <v>358</v>
      </c>
      <c r="L68" s="11" t="s">
        <v>241</v>
      </c>
      <c r="M68" s="5" t="s">
        <v>359</v>
      </c>
      <c r="N68" s="5" t="s">
        <v>360</v>
      </c>
      <c r="O68" s="5" t="s">
        <v>111</v>
      </c>
      <c r="P68" s="5" t="s">
        <v>259</v>
      </c>
      <c r="Q68" s="11" t="s">
        <v>82</v>
      </c>
      <c r="R68" s="11" t="s">
        <v>82</v>
      </c>
      <c r="S68" s="11" t="s">
        <v>82</v>
      </c>
      <c r="T68" s="11" t="s">
        <v>361</v>
      </c>
      <c r="U68" s="5" t="s">
        <v>246</v>
      </c>
      <c r="V68" s="11" t="s">
        <v>85</v>
      </c>
      <c r="W68" s="11" t="s">
        <v>86</v>
      </c>
      <c r="X68" s="11" t="s">
        <v>87</v>
      </c>
      <c r="Y68" s="11" t="s">
        <v>362</v>
      </c>
      <c r="Z68" s="11" t="s">
        <v>363</v>
      </c>
    </row>
    <row r="69" spans="1:26">
      <c r="A69" s="11" t="s">
        <v>90</v>
      </c>
      <c r="B69" s="11" t="s">
        <v>355</v>
      </c>
      <c r="C69" s="16">
        <v>5.5</v>
      </c>
      <c r="D69" s="16">
        <v>3.8</v>
      </c>
      <c r="E69" s="11" t="s">
        <v>356</v>
      </c>
      <c r="F69" s="13" t="s">
        <v>91</v>
      </c>
      <c r="G69" s="14">
        <v>32</v>
      </c>
      <c r="H69" s="11" t="s">
        <v>73</v>
      </c>
      <c r="I69" s="11" t="s">
        <v>282</v>
      </c>
      <c r="J69" s="11" t="s">
        <v>357</v>
      </c>
      <c r="K69" s="11" t="s">
        <v>358</v>
      </c>
      <c r="L69" s="11" t="s">
        <v>241</v>
      </c>
      <c r="M69" s="5" t="s">
        <v>359</v>
      </c>
      <c r="N69" s="5" t="s">
        <v>364</v>
      </c>
      <c r="O69" s="5" t="s">
        <v>111</v>
      </c>
      <c r="P69" s="5" t="s">
        <v>265</v>
      </c>
      <c r="Q69" s="11" t="s">
        <v>82</v>
      </c>
      <c r="R69" s="11" t="s">
        <v>82</v>
      </c>
      <c r="S69" s="11" t="s">
        <v>82</v>
      </c>
      <c r="T69" s="11" t="s">
        <v>361</v>
      </c>
      <c r="U69" s="5" t="s">
        <v>246</v>
      </c>
      <c r="V69" s="11" t="s">
        <v>95</v>
      </c>
      <c r="W69" s="11" t="s">
        <v>96</v>
      </c>
      <c r="X69" s="11" t="s">
        <v>97</v>
      </c>
      <c r="Y69" s="11" t="s">
        <v>362</v>
      </c>
      <c r="Z69" s="11" t="s">
        <v>365</v>
      </c>
    </row>
    <row r="70" spans="1:26">
      <c r="A70" s="11" t="s">
        <v>99</v>
      </c>
      <c r="B70" s="11" t="s">
        <v>355</v>
      </c>
      <c r="C70" s="16">
        <v>9.1</v>
      </c>
      <c r="D70" s="16">
        <v>5.5</v>
      </c>
      <c r="E70" s="11" t="s">
        <v>356</v>
      </c>
      <c r="F70" s="13" t="s">
        <v>100</v>
      </c>
      <c r="G70" s="14">
        <v>33</v>
      </c>
      <c r="H70" s="11" t="s">
        <v>73</v>
      </c>
      <c r="I70" s="11" t="s">
        <v>282</v>
      </c>
      <c r="J70" s="11" t="s">
        <v>357</v>
      </c>
      <c r="K70" s="11" t="s">
        <v>358</v>
      </c>
      <c r="L70" s="11" t="s">
        <v>241</v>
      </c>
      <c r="M70" s="5" t="s">
        <v>359</v>
      </c>
      <c r="N70" s="5" t="s">
        <v>366</v>
      </c>
      <c r="O70" s="5" t="s">
        <v>111</v>
      </c>
      <c r="P70" s="5" t="s">
        <v>269</v>
      </c>
      <c r="Q70" s="11" t="s">
        <v>82</v>
      </c>
      <c r="R70" s="11" t="s">
        <v>82</v>
      </c>
      <c r="S70" s="11" t="s">
        <v>82</v>
      </c>
      <c r="T70" s="11" t="s">
        <v>361</v>
      </c>
      <c r="U70" s="5" t="s">
        <v>246</v>
      </c>
      <c r="V70" s="11" t="s">
        <v>104</v>
      </c>
      <c r="W70" s="11" t="s">
        <v>105</v>
      </c>
      <c r="X70" s="11" t="s">
        <v>106</v>
      </c>
      <c r="Y70" s="11" t="s">
        <v>362</v>
      </c>
      <c r="Z70" s="11" t="s">
        <v>367</v>
      </c>
    </row>
    <row r="71" spans="1:26">
      <c r="A71" s="11" t="s">
        <v>69</v>
      </c>
      <c r="B71" s="11" t="s">
        <v>368</v>
      </c>
      <c r="C71" s="15">
        <v>0.32</v>
      </c>
      <c r="D71" s="15"/>
      <c r="E71" s="11" t="s">
        <v>254</v>
      </c>
      <c r="F71" s="13" t="s">
        <v>72</v>
      </c>
      <c r="G71" s="14">
        <v>28</v>
      </c>
      <c r="H71" s="11" t="s">
        <v>73</v>
      </c>
      <c r="I71" s="11" t="s">
        <v>282</v>
      </c>
      <c r="J71" s="11" t="s">
        <v>283</v>
      </c>
      <c r="K71" s="11" t="s">
        <v>358</v>
      </c>
      <c r="L71" s="11" t="s">
        <v>241</v>
      </c>
      <c r="M71" s="5" t="s">
        <v>369</v>
      </c>
      <c r="N71" s="5" t="s">
        <v>370</v>
      </c>
      <c r="O71" s="5" t="s">
        <v>371</v>
      </c>
      <c r="P71" s="5" t="s">
        <v>259</v>
      </c>
      <c r="Q71" s="11" t="s">
        <v>82</v>
      </c>
      <c r="R71" s="11" t="s">
        <v>82</v>
      </c>
      <c r="S71" s="11" t="s">
        <v>82</v>
      </c>
      <c r="T71" s="11" t="s">
        <v>372</v>
      </c>
      <c r="U71" s="5" t="s">
        <v>246</v>
      </c>
      <c r="V71" s="11" t="s">
        <v>85</v>
      </c>
      <c r="W71" s="11" t="s">
        <v>86</v>
      </c>
      <c r="X71" s="11" t="s">
        <v>87</v>
      </c>
      <c r="Y71" s="11" t="s">
        <v>373</v>
      </c>
      <c r="Z71" s="11" t="s">
        <v>374</v>
      </c>
    </row>
    <row r="72" spans="1:26">
      <c r="A72" s="11" t="s">
        <v>90</v>
      </c>
      <c r="B72" s="11" t="s">
        <v>368</v>
      </c>
      <c r="C72" s="15">
        <v>0.35</v>
      </c>
      <c r="D72" s="15"/>
      <c r="E72" s="11" t="s">
        <v>254</v>
      </c>
      <c r="F72" s="13" t="s">
        <v>91</v>
      </c>
      <c r="G72" s="14">
        <v>32</v>
      </c>
      <c r="H72" s="11" t="s">
        <v>73</v>
      </c>
      <c r="I72" s="11" t="s">
        <v>282</v>
      </c>
      <c r="J72" s="11" t="s">
        <v>283</v>
      </c>
      <c r="K72" s="11" t="s">
        <v>358</v>
      </c>
      <c r="L72" s="11" t="s">
        <v>241</v>
      </c>
      <c r="M72" s="5" t="s">
        <v>369</v>
      </c>
      <c r="N72" s="5" t="s">
        <v>375</v>
      </c>
      <c r="O72" s="5" t="s">
        <v>376</v>
      </c>
      <c r="P72" s="5" t="s">
        <v>265</v>
      </c>
      <c r="Q72" s="11" t="s">
        <v>82</v>
      </c>
      <c r="R72" s="11" t="s">
        <v>82</v>
      </c>
      <c r="S72" s="11" t="s">
        <v>82</v>
      </c>
      <c r="T72" s="11" t="s">
        <v>372</v>
      </c>
      <c r="U72" s="5" t="s">
        <v>246</v>
      </c>
      <c r="V72" s="11" t="s">
        <v>95</v>
      </c>
      <c r="W72" s="11" t="s">
        <v>96</v>
      </c>
      <c r="X72" s="11" t="s">
        <v>97</v>
      </c>
      <c r="Y72" s="11" t="s">
        <v>373</v>
      </c>
      <c r="Z72" s="11" t="s">
        <v>377</v>
      </c>
    </row>
    <row r="73" spans="1:26">
      <c r="A73" s="11" t="s">
        <v>99</v>
      </c>
      <c r="B73" s="11" t="s">
        <v>368</v>
      </c>
      <c r="C73" s="15">
        <v>0.39</v>
      </c>
      <c r="D73" s="15"/>
      <c r="E73" s="11" t="s">
        <v>254</v>
      </c>
      <c r="F73" s="13" t="s">
        <v>100</v>
      </c>
      <c r="G73" s="14">
        <v>33</v>
      </c>
      <c r="H73" s="11" t="s">
        <v>73</v>
      </c>
      <c r="I73" s="11" t="s">
        <v>282</v>
      </c>
      <c r="J73" s="11" t="s">
        <v>283</v>
      </c>
      <c r="K73" s="11" t="s">
        <v>358</v>
      </c>
      <c r="L73" s="11" t="s">
        <v>241</v>
      </c>
      <c r="M73" s="5" t="s">
        <v>369</v>
      </c>
      <c r="N73" s="5" t="s">
        <v>378</v>
      </c>
      <c r="O73" s="5" t="s">
        <v>379</v>
      </c>
      <c r="P73" s="5" t="s">
        <v>269</v>
      </c>
      <c r="Q73" s="11" t="s">
        <v>82</v>
      </c>
      <c r="R73" s="11" t="s">
        <v>82</v>
      </c>
      <c r="S73" s="11" t="s">
        <v>82</v>
      </c>
      <c r="T73" s="11" t="s">
        <v>372</v>
      </c>
      <c r="U73" s="5" t="s">
        <v>246</v>
      </c>
      <c r="V73" s="11" t="s">
        <v>104</v>
      </c>
      <c r="W73" s="11" t="s">
        <v>105</v>
      </c>
      <c r="X73" s="11" t="s">
        <v>106</v>
      </c>
      <c r="Y73" s="11" t="s">
        <v>373</v>
      </c>
      <c r="Z73" s="11" t="s">
        <v>380</v>
      </c>
    </row>
    <row r="74" spans="1:26">
      <c r="A74" s="11" t="s">
        <v>69</v>
      </c>
      <c r="B74" s="11" t="s">
        <v>381</v>
      </c>
      <c r="C74" s="15">
        <v>0.13</v>
      </c>
      <c r="D74" s="15"/>
      <c r="E74" s="11" t="s">
        <v>254</v>
      </c>
      <c r="F74" s="13" t="s">
        <v>72</v>
      </c>
      <c r="G74" s="14">
        <v>27</v>
      </c>
      <c r="H74" s="11" t="s">
        <v>73</v>
      </c>
      <c r="I74" s="11" t="s">
        <v>282</v>
      </c>
      <c r="J74" s="11" t="s">
        <v>283</v>
      </c>
      <c r="K74" s="11" t="s">
        <v>255</v>
      </c>
      <c r="L74" s="11" t="s">
        <v>241</v>
      </c>
      <c r="M74" s="5" t="s">
        <v>382</v>
      </c>
      <c r="N74" s="5" t="s">
        <v>383</v>
      </c>
      <c r="O74" s="5" t="s">
        <v>379</v>
      </c>
      <c r="P74" s="5" t="s">
        <v>259</v>
      </c>
      <c r="Q74" s="11" t="s">
        <v>82</v>
      </c>
      <c r="R74" s="11" t="s">
        <v>82</v>
      </c>
      <c r="S74" s="11" t="s">
        <v>82</v>
      </c>
      <c r="T74" s="11" t="s">
        <v>384</v>
      </c>
      <c r="U74" s="5" t="s">
        <v>246</v>
      </c>
      <c r="V74" s="11" t="s">
        <v>85</v>
      </c>
      <c r="W74" s="11" t="s">
        <v>86</v>
      </c>
      <c r="X74" s="11" t="s">
        <v>87</v>
      </c>
      <c r="Y74" s="11" t="s">
        <v>385</v>
      </c>
      <c r="Z74" s="11" t="s">
        <v>386</v>
      </c>
    </row>
    <row r="75" spans="1:26">
      <c r="A75" s="11" t="s">
        <v>90</v>
      </c>
      <c r="B75" s="11" t="s">
        <v>381</v>
      </c>
      <c r="C75" s="15">
        <v>0.05</v>
      </c>
      <c r="D75" s="15"/>
      <c r="E75" s="11" t="s">
        <v>254</v>
      </c>
      <c r="F75" s="13" t="s">
        <v>91</v>
      </c>
      <c r="G75" s="14">
        <v>31</v>
      </c>
      <c r="H75" s="11" t="s">
        <v>73</v>
      </c>
      <c r="I75" s="11" t="s">
        <v>282</v>
      </c>
      <c r="J75" s="11" t="s">
        <v>283</v>
      </c>
      <c r="K75" s="11" t="s">
        <v>255</v>
      </c>
      <c r="L75" s="11" t="s">
        <v>241</v>
      </c>
      <c r="M75" s="5" t="s">
        <v>382</v>
      </c>
      <c r="N75" s="5" t="s">
        <v>387</v>
      </c>
      <c r="O75" s="5" t="s">
        <v>388</v>
      </c>
      <c r="P75" s="5" t="s">
        <v>265</v>
      </c>
      <c r="Q75" s="11" t="s">
        <v>82</v>
      </c>
      <c r="R75" s="11" t="s">
        <v>82</v>
      </c>
      <c r="S75" s="11" t="s">
        <v>82</v>
      </c>
      <c r="T75" s="11" t="s">
        <v>384</v>
      </c>
      <c r="U75" s="5" t="s">
        <v>246</v>
      </c>
      <c r="V75" s="11" t="s">
        <v>95</v>
      </c>
      <c r="W75" s="11" t="s">
        <v>96</v>
      </c>
      <c r="X75" s="11" t="s">
        <v>97</v>
      </c>
      <c r="Y75" s="11" t="s">
        <v>385</v>
      </c>
      <c r="Z75" s="11" t="s">
        <v>389</v>
      </c>
    </row>
    <row r="76" spans="1:26">
      <c r="A76" s="11" t="s">
        <v>99</v>
      </c>
      <c r="B76" s="11" t="s">
        <v>381</v>
      </c>
      <c r="C76" s="15">
        <v>0.32</v>
      </c>
      <c r="D76" s="15"/>
      <c r="E76" s="11" t="s">
        <v>254</v>
      </c>
      <c r="F76" s="13" t="s">
        <v>100</v>
      </c>
      <c r="G76" s="14">
        <v>32</v>
      </c>
      <c r="H76" s="11" t="s">
        <v>73</v>
      </c>
      <c r="I76" s="11" t="s">
        <v>282</v>
      </c>
      <c r="J76" s="11" t="s">
        <v>283</v>
      </c>
      <c r="K76" s="11" t="s">
        <v>255</v>
      </c>
      <c r="L76" s="11" t="s">
        <v>241</v>
      </c>
      <c r="M76" s="5" t="s">
        <v>382</v>
      </c>
      <c r="N76" s="5" t="s">
        <v>390</v>
      </c>
      <c r="O76" s="5" t="s">
        <v>391</v>
      </c>
      <c r="P76" s="5" t="s">
        <v>269</v>
      </c>
      <c r="Q76" s="11" t="s">
        <v>82</v>
      </c>
      <c r="R76" s="11" t="s">
        <v>82</v>
      </c>
      <c r="S76" s="11" t="s">
        <v>82</v>
      </c>
      <c r="T76" s="11" t="s">
        <v>384</v>
      </c>
      <c r="U76" s="5" t="s">
        <v>246</v>
      </c>
      <c r="V76" s="11" t="s">
        <v>104</v>
      </c>
      <c r="W76" s="11" t="s">
        <v>105</v>
      </c>
      <c r="X76" s="11" t="s">
        <v>106</v>
      </c>
      <c r="Y76" s="11" t="s">
        <v>385</v>
      </c>
      <c r="Z76" s="11" t="s">
        <v>392</v>
      </c>
    </row>
    <row r="77" spans="1:26">
      <c r="A77" s="11" t="s">
        <v>69</v>
      </c>
      <c r="B77" s="11" t="s">
        <v>393</v>
      </c>
      <c r="C77" s="15">
        <v>0.16</v>
      </c>
      <c r="D77" s="15"/>
      <c r="E77" s="11" t="s">
        <v>254</v>
      </c>
      <c r="F77" s="13" t="s">
        <v>72</v>
      </c>
      <c r="G77" s="14">
        <v>27</v>
      </c>
      <c r="H77" s="11" t="s">
        <v>73</v>
      </c>
      <c r="I77" s="11" t="s">
        <v>282</v>
      </c>
      <c r="J77" s="11" t="s">
        <v>283</v>
      </c>
      <c r="K77" s="11" t="s">
        <v>240</v>
      </c>
      <c r="L77" s="11" t="s">
        <v>241</v>
      </c>
      <c r="M77" s="5" t="s">
        <v>394</v>
      </c>
      <c r="N77" s="5" t="s">
        <v>383</v>
      </c>
      <c r="O77" s="5" t="s">
        <v>395</v>
      </c>
      <c r="P77" s="5" t="s">
        <v>259</v>
      </c>
      <c r="Q77" s="11" t="s">
        <v>82</v>
      </c>
      <c r="R77" s="11" t="s">
        <v>82</v>
      </c>
      <c r="S77" s="11" t="s">
        <v>82</v>
      </c>
      <c r="T77" s="11" t="s">
        <v>396</v>
      </c>
      <c r="U77" s="5" t="s">
        <v>246</v>
      </c>
      <c r="V77" s="11" t="s">
        <v>85</v>
      </c>
      <c r="W77" s="11" t="s">
        <v>86</v>
      </c>
      <c r="X77" s="11" t="s">
        <v>87</v>
      </c>
      <c r="Y77" s="11" t="s">
        <v>397</v>
      </c>
      <c r="Z77" s="11" t="s">
        <v>398</v>
      </c>
    </row>
    <row r="78" spans="1:26">
      <c r="A78" s="11" t="s">
        <v>90</v>
      </c>
      <c r="B78" s="11" t="s">
        <v>393</v>
      </c>
      <c r="C78" s="15">
        <v>0.08</v>
      </c>
      <c r="D78" s="15"/>
      <c r="E78" s="11" t="s">
        <v>254</v>
      </c>
      <c r="F78" s="13" t="s">
        <v>91</v>
      </c>
      <c r="G78" s="14">
        <v>31</v>
      </c>
      <c r="H78" s="11" t="s">
        <v>73</v>
      </c>
      <c r="I78" s="11" t="s">
        <v>282</v>
      </c>
      <c r="J78" s="11" t="s">
        <v>283</v>
      </c>
      <c r="K78" s="11" t="s">
        <v>240</v>
      </c>
      <c r="L78" s="11" t="s">
        <v>241</v>
      </c>
      <c r="M78" s="5" t="s">
        <v>394</v>
      </c>
      <c r="N78" s="5" t="s">
        <v>387</v>
      </c>
      <c r="O78" s="5" t="s">
        <v>399</v>
      </c>
      <c r="P78" s="5" t="s">
        <v>265</v>
      </c>
      <c r="Q78" s="11" t="s">
        <v>82</v>
      </c>
      <c r="R78" s="11" t="s">
        <v>82</v>
      </c>
      <c r="S78" s="11" t="s">
        <v>82</v>
      </c>
      <c r="T78" s="11" t="s">
        <v>396</v>
      </c>
      <c r="U78" s="5" t="s">
        <v>246</v>
      </c>
      <c r="V78" s="11" t="s">
        <v>95</v>
      </c>
      <c r="W78" s="11" t="s">
        <v>96</v>
      </c>
      <c r="X78" s="11" t="s">
        <v>97</v>
      </c>
      <c r="Y78" s="11" t="s">
        <v>397</v>
      </c>
      <c r="Z78" s="11" t="s">
        <v>400</v>
      </c>
    </row>
    <row r="79" spans="1:26">
      <c r="A79" s="11" t="s">
        <v>99</v>
      </c>
      <c r="B79" s="11" t="s">
        <v>393</v>
      </c>
      <c r="C79" s="15">
        <v>0.3</v>
      </c>
      <c r="D79" s="15"/>
      <c r="E79" s="11" t="s">
        <v>254</v>
      </c>
      <c r="F79" s="13" t="s">
        <v>100</v>
      </c>
      <c r="G79" s="14">
        <v>32</v>
      </c>
      <c r="H79" s="11" t="s">
        <v>73</v>
      </c>
      <c r="I79" s="11" t="s">
        <v>282</v>
      </c>
      <c r="J79" s="11" t="s">
        <v>283</v>
      </c>
      <c r="K79" s="11" t="s">
        <v>240</v>
      </c>
      <c r="L79" s="11" t="s">
        <v>241</v>
      </c>
      <c r="M79" s="5" t="s">
        <v>394</v>
      </c>
      <c r="N79" s="5" t="s">
        <v>390</v>
      </c>
      <c r="O79" s="5" t="s">
        <v>401</v>
      </c>
      <c r="P79" s="5" t="s">
        <v>269</v>
      </c>
      <c r="Q79" s="11" t="s">
        <v>82</v>
      </c>
      <c r="R79" s="11" t="s">
        <v>82</v>
      </c>
      <c r="S79" s="11" t="s">
        <v>82</v>
      </c>
      <c r="T79" s="11" t="s">
        <v>396</v>
      </c>
      <c r="U79" s="5" t="s">
        <v>246</v>
      </c>
      <c r="V79" s="11" t="s">
        <v>104</v>
      </c>
      <c r="W79" s="11" t="s">
        <v>105</v>
      </c>
      <c r="X79" s="11" t="s">
        <v>106</v>
      </c>
      <c r="Y79" s="11" t="s">
        <v>397</v>
      </c>
      <c r="Z79" s="11" t="s">
        <v>402</v>
      </c>
    </row>
    <row r="80" spans="1:26">
      <c r="A80" s="11" t="s">
        <v>69</v>
      </c>
      <c r="B80" s="11" t="s">
        <v>403</v>
      </c>
      <c r="C80" s="15">
        <v>0.06</v>
      </c>
      <c r="D80" s="15"/>
      <c r="E80" s="11" t="s">
        <v>254</v>
      </c>
      <c r="F80" s="13" t="s">
        <v>72</v>
      </c>
      <c r="G80" s="14">
        <v>27</v>
      </c>
      <c r="H80" s="11" t="s">
        <v>73</v>
      </c>
      <c r="I80" s="11" t="s">
        <v>282</v>
      </c>
      <c r="J80" s="11" t="s">
        <v>296</v>
      </c>
      <c r="K80" s="11" t="s">
        <v>255</v>
      </c>
      <c r="L80" s="11" t="s">
        <v>241</v>
      </c>
      <c r="M80" s="5" t="s">
        <v>404</v>
      </c>
      <c r="N80" s="5" t="s">
        <v>405</v>
      </c>
      <c r="O80" s="5" t="s">
        <v>406</v>
      </c>
      <c r="P80" s="5" t="s">
        <v>259</v>
      </c>
      <c r="Q80" s="11" t="s">
        <v>82</v>
      </c>
      <c r="R80" s="11" t="s">
        <v>82</v>
      </c>
      <c r="S80" s="11" t="s">
        <v>82</v>
      </c>
      <c r="T80" s="11" t="s">
        <v>407</v>
      </c>
      <c r="U80" s="5" t="s">
        <v>246</v>
      </c>
      <c r="V80" s="11" t="s">
        <v>85</v>
      </c>
      <c r="W80" s="11" t="s">
        <v>86</v>
      </c>
      <c r="X80" s="11" t="s">
        <v>87</v>
      </c>
      <c r="Y80" s="11" t="s">
        <v>408</v>
      </c>
      <c r="Z80" s="11" t="s">
        <v>409</v>
      </c>
    </row>
    <row r="81" spans="1:26">
      <c r="A81" s="11" t="s">
        <v>90</v>
      </c>
      <c r="B81" s="11" t="s">
        <v>403</v>
      </c>
      <c r="C81" s="15">
        <v>-0.09</v>
      </c>
      <c r="D81" s="15"/>
      <c r="E81" s="11" t="s">
        <v>254</v>
      </c>
      <c r="F81" s="13" t="s">
        <v>91</v>
      </c>
      <c r="G81" s="14">
        <v>31</v>
      </c>
      <c r="H81" s="11" t="s">
        <v>73</v>
      </c>
      <c r="I81" s="11" t="s">
        <v>282</v>
      </c>
      <c r="J81" s="11" t="s">
        <v>296</v>
      </c>
      <c r="K81" s="11" t="s">
        <v>255</v>
      </c>
      <c r="L81" s="11" t="s">
        <v>241</v>
      </c>
      <c r="M81" s="5" t="s">
        <v>404</v>
      </c>
      <c r="N81" s="5" t="s">
        <v>410</v>
      </c>
      <c r="O81" s="5" t="s">
        <v>411</v>
      </c>
      <c r="P81" s="5" t="s">
        <v>265</v>
      </c>
      <c r="Q81" s="11" t="s">
        <v>82</v>
      </c>
      <c r="R81" s="11" t="s">
        <v>82</v>
      </c>
      <c r="S81" s="11" t="s">
        <v>82</v>
      </c>
      <c r="T81" s="11" t="s">
        <v>407</v>
      </c>
      <c r="U81" s="5" t="s">
        <v>246</v>
      </c>
      <c r="V81" s="11" t="s">
        <v>95</v>
      </c>
      <c r="W81" s="11" t="s">
        <v>96</v>
      </c>
      <c r="X81" s="11" t="s">
        <v>97</v>
      </c>
      <c r="Y81" s="11" t="s">
        <v>408</v>
      </c>
      <c r="Z81" s="11" t="s">
        <v>412</v>
      </c>
    </row>
    <row r="82" spans="1:26">
      <c r="A82" s="11" t="s">
        <v>99</v>
      </c>
      <c r="B82" s="11" t="s">
        <v>403</v>
      </c>
      <c r="C82" s="15">
        <v>0.12</v>
      </c>
      <c r="D82" s="15"/>
      <c r="E82" s="11" t="s">
        <v>254</v>
      </c>
      <c r="F82" s="13" t="s">
        <v>100</v>
      </c>
      <c r="G82" s="14">
        <v>32</v>
      </c>
      <c r="H82" s="11" t="s">
        <v>73</v>
      </c>
      <c r="I82" s="11" t="s">
        <v>282</v>
      </c>
      <c r="J82" s="11" t="s">
        <v>296</v>
      </c>
      <c r="K82" s="11" t="s">
        <v>255</v>
      </c>
      <c r="L82" s="11" t="s">
        <v>241</v>
      </c>
      <c r="M82" s="5" t="s">
        <v>404</v>
      </c>
      <c r="N82" s="5" t="s">
        <v>413</v>
      </c>
      <c r="O82" s="5" t="s">
        <v>414</v>
      </c>
      <c r="P82" s="5" t="s">
        <v>269</v>
      </c>
      <c r="Q82" s="11" t="s">
        <v>82</v>
      </c>
      <c r="R82" s="11" t="s">
        <v>82</v>
      </c>
      <c r="S82" s="11" t="s">
        <v>82</v>
      </c>
      <c r="T82" s="11" t="s">
        <v>407</v>
      </c>
      <c r="U82" s="5" t="s">
        <v>246</v>
      </c>
      <c r="V82" s="11" t="s">
        <v>104</v>
      </c>
      <c r="W82" s="11" t="s">
        <v>105</v>
      </c>
      <c r="X82" s="11" t="s">
        <v>106</v>
      </c>
      <c r="Y82" s="11" t="s">
        <v>408</v>
      </c>
      <c r="Z82" s="11" t="s">
        <v>415</v>
      </c>
    </row>
    <row r="83" spans="1:26">
      <c r="A83" s="11" t="s">
        <v>69</v>
      </c>
      <c r="B83" s="11" t="s">
        <v>416</v>
      </c>
      <c r="C83" s="15">
        <v>0.1</v>
      </c>
      <c r="D83" s="15"/>
      <c r="E83" s="11" t="s">
        <v>254</v>
      </c>
      <c r="F83" s="13" t="s">
        <v>72</v>
      </c>
      <c r="G83" s="14">
        <v>27</v>
      </c>
      <c r="H83" s="11" t="s">
        <v>73</v>
      </c>
      <c r="I83" s="11" t="s">
        <v>282</v>
      </c>
      <c r="J83" s="11" t="s">
        <v>296</v>
      </c>
      <c r="K83" s="11" t="s">
        <v>240</v>
      </c>
      <c r="L83" s="11" t="s">
        <v>241</v>
      </c>
      <c r="M83" s="5" t="s">
        <v>417</v>
      </c>
      <c r="N83" s="5" t="s">
        <v>405</v>
      </c>
      <c r="O83" s="5" t="s">
        <v>111</v>
      </c>
      <c r="P83" s="5" t="s">
        <v>259</v>
      </c>
      <c r="Q83" s="11" t="s">
        <v>82</v>
      </c>
      <c r="R83" s="11" t="s">
        <v>82</v>
      </c>
      <c r="S83" s="11" t="s">
        <v>82</v>
      </c>
      <c r="T83" s="11" t="s">
        <v>418</v>
      </c>
      <c r="U83" s="5" t="s">
        <v>246</v>
      </c>
      <c r="V83" s="11" t="s">
        <v>85</v>
      </c>
      <c r="W83" s="11" t="s">
        <v>86</v>
      </c>
      <c r="X83" s="11" t="s">
        <v>87</v>
      </c>
      <c r="Y83" s="11" t="s">
        <v>419</v>
      </c>
      <c r="Z83" s="11" t="s">
        <v>420</v>
      </c>
    </row>
    <row r="84" spans="1:26">
      <c r="A84" s="11" t="s">
        <v>90</v>
      </c>
      <c r="B84" s="11" t="s">
        <v>416</v>
      </c>
      <c r="C84" s="15">
        <v>-0.07000000000000001</v>
      </c>
      <c r="D84" s="15"/>
      <c r="E84" s="11" t="s">
        <v>254</v>
      </c>
      <c r="F84" s="13" t="s">
        <v>91</v>
      </c>
      <c r="G84" s="14">
        <v>31</v>
      </c>
      <c r="H84" s="11" t="s">
        <v>73</v>
      </c>
      <c r="I84" s="11" t="s">
        <v>282</v>
      </c>
      <c r="J84" s="11" t="s">
        <v>296</v>
      </c>
      <c r="K84" s="11" t="s">
        <v>240</v>
      </c>
      <c r="L84" s="11" t="s">
        <v>241</v>
      </c>
      <c r="M84" s="5" t="s">
        <v>417</v>
      </c>
      <c r="N84" s="5" t="s">
        <v>410</v>
      </c>
      <c r="O84" s="5" t="s">
        <v>111</v>
      </c>
      <c r="P84" s="5" t="s">
        <v>265</v>
      </c>
      <c r="Q84" s="11" t="s">
        <v>82</v>
      </c>
      <c r="R84" s="11" t="s">
        <v>82</v>
      </c>
      <c r="S84" s="11" t="s">
        <v>82</v>
      </c>
      <c r="T84" s="11" t="s">
        <v>418</v>
      </c>
      <c r="U84" s="5" t="s">
        <v>246</v>
      </c>
      <c r="V84" s="11" t="s">
        <v>95</v>
      </c>
      <c r="W84" s="11" t="s">
        <v>96</v>
      </c>
      <c r="X84" s="11" t="s">
        <v>97</v>
      </c>
      <c r="Y84" s="11" t="s">
        <v>419</v>
      </c>
      <c r="Z84" s="11" t="s">
        <v>421</v>
      </c>
    </row>
    <row r="85" spans="1:26">
      <c r="A85" s="11" t="s">
        <v>99</v>
      </c>
      <c r="B85" s="11" t="s">
        <v>416</v>
      </c>
      <c r="C85" s="15">
        <v>0.1</v>
      </c>
      <c r="D85" s="15"/>
      <c r="E85" s="11" t="s">
        <v>254</v>
      </c>
      <c r="F85" s="13" t="s">
        <v>100</v>
      </c>
      <c r="G85" s="14">
        <v>32</v>
      </c>
      <c r="H85" s="11" t="s">
        <v>73</v>
      </c>
      <c r="I85" s="11" t="s">
        <v>282</v>
      </c>
      <c r="J85" s="11" t="s">
        <v>296</v>
      </c>
      <c r="K85" s="11" t="s">
        <v>240</v>
      </c>
      <c r="L85" s="11" t="s">
        <v>241</v>
      </c>
      <c r="M85" s="5" t="s">
        <v>417</v>
      </c>
      <c r="N85" s="5" t="s">
        <v>413</v>
      </c>
      <c r="O85" s="5" t="s">
        <v>111</v>
      </c>
      <c r="P85" s="5" t="s">
        <v>269</v>
      </c>
      <c r="Q85" s="11" t="s">
        <v>82</v>
      </c>
      <c r="R85" s="11" t="s">
        <v>82</v>
      </c>
      <c r="S85" s="11" t="s">
        <v>82</v>
      </c>
      <c r="T85" s="11" t="s">
        <v>418</v>
      </c>
      <c r="U85" s="5" t="s">
        <v>246</v>
      </c>
      <c r="V85" s="11" t="s">
        <v>104</v>
      </c>
      <c r="W85" s="11" t="s">
        <v>105</v>
      </c>
      <c r="X85" s="11" t="s">
        <v>106</v>
      </c>
      <c r="Y85" s="11" t="s">
        <v>419</v>
      </c>
      <c r="Z85" s="11" t="s">
        <v>422</v>
      </c>
    </row>
    <row r="86" spans="1:26">
      <c r="A86" s="11" t="s">
        <v>69</v>
      </c>
      <c r="B86" s="11" t="s">
        <v>423</v>
      </c>
      <c r="C86" s="15">
        <v>0.08</v>
      </c>
      <c r="D86" s="15"/>
      <c r="E86" s="11" t="s">
        <v>254</v>
      </c>
      <c r="F86" s="13" t="s">
        <v>72</v>
      </c>
      <c r="G86" s="14">
        <v>27</v>
      </c>
      <c r="H86" s="11" t="s">
        <v>73</v>
      </c>
      <c r="I86" s="11" t="s">
        <v>282</v>
      </c>
      <c r="J86" s="11" t="s">
        <v>320</v>
      </c>
      <c r="K86" s="11" t="s">
        <v>255</v>
      </c>
      <c r="L86" s="11" t="s">
        <v>241</v>
      </c>
      <c r="M86" s="5" t="s">
        <v>424</v>
      </c>
      <c r="N86" s="5" t="s">
        <v>425</v>
      </c>
      <c r="O86" s="5" t="s">
        <v>426</v>
      </c>
      <c r="P86" s="5" t="s">
        <v>259</v>
      </c>
      <c r="Q86" s="11" t="s">
        <v>82</v>
      </c>
      <c r="R86" s="11" t="s">
        <v>82</v>
      </c>
      <c r="S86" s="11" t="s">
        <v>82</v>
      </c>
      <c r="T86" s="11" t="s">
        <v>427</v>
      </c>
      <c r="U86" s="5" t="s">
        <v>246</v>
      </c>
      <c r="V86" s="11" t="s">
        <v>85</v>
      </c>
      <c r="W86" s="11" t="s">
        <v>86</v>
      </c>
      <c r="X86" s="11" t="s">
        <v>87</v>
      </c>
      <c r="Y86" s="11" t="s">
        <v>428</v>
      </c>
      <c r="Z86" s="11" t="s">
        <v>429</v>
      </c>
    </row>
    <row r="87" spans="1:26">
      <c r="A87" s="11" t="s">
        <v>90</v>
      </c>
      <c r="B87" s="11" t="s">
        <v>423</v>
      </c>
      <c r="C87" s="15">
        <v>-0.04</v>
      </c>
      <c r="D87" s="15"/>
      <c r="E87" s="11" t="s">
        <v>254</v>
      </c>
      <c r="F87" s="13" t="s">
        <v>91</v>
      </c>
      <c r="G87" s="14">
        <v>31</v>
      </c>
      <c r="H87" s="11" t="s">
        <v>73</v>
      </c>
      <c r="I87" s="11" t="s">
        <v>282</v>
      </c>
      <c r="J87" s="11" t="s">
        <v>320</v>
      </c>
      <c r="K87" s="11" t="s">
        <v>255</v>
      </c>
      <c r="L87" s="11" t="s">
        <v>241</v>
      </c>
      <c r="M87" s="5" t="s">
        <v>424</v>
      </c>
      <c r="N87" s="5" t="s">
        <v>430</v>
      </c>
      <c r="O87" s="5" t="s">
        <v>431</v>
      </c>
      <c r="P87" s="5" t="s">
        <v>265</v>
      </c>
      <c r="Q87" s="11" t="s">
        <v>82</v>
      </c>
      <c r="R87" s="11" t="s">
        <v>82</v>
      </c>
      <c r="S87" s="11" t="s">
        <v>82</v>
      </c>
      <c r="T87" s="11" t="s">
        <v>427</v>
      </c>
      <c r="U87" s="5" t="s">
        <v>246</v>
      </c>
      <c r="V87" s="11" t="s">
        <v>95</v>
      </c>
      <c r="W87" s="11" t="s">
        <v>96</v>
      </c>
      <c r="X87" s="11" t="s">
        <v>97</v>
      </c>
      <c r="Y87" s="11" t="s">
        <v>428</v>
      </c>
      <c r="Z87" s="11" t="s">
        <v>432</v>
      </c>
    </row>
    <row r="88" spans="1:26">
      <c r="A88" s="11" t="s">
        <v>99</v>
      </c>
      <c r="B88" s="11" t="s">
        <v>423</v>
      </c>
      <c r="C88" s="15">
        <v>0.19</v>
      </c>
      <c r="D88" s="15"/>
      <c r="E88" s="11" t="s">
        <v>254</v>
      </c>
      <c r="F88" s="13" t="s">
        <v>100</v>
      </c>
      <c r="G88" s="14">
        <v>32</v>
      </c>
      <c r="H88" s="11" t="s">
        <v>73</v>
      </c>
      <c r="I88" s="11" t="s">
        <v>282</v>
      </c>
      <c r="J88" s="11" t="s">
        <v>320</v>
      </c>
      <c r="K88" s="11" t="s">
        <v>255</v>
      </c>
      <c r="L88" s="11" t="s">
        <v>241</v>
      </c>
      <c r="M88" s="5" t="s">
        <v>424</v>
      </c>
      <c r="N88" s="5" t="s">
        <v>433</v>
      </c>
      <c r="O88" s="5" t="s">
        <v>434</v>
      </c>
      <c r="P88" s="5" t="s">
        <v>269</v>
      </c>
      <c r="Q88" s="11" t="s">
        <v>82</v>
      </c>
      <c r="R88" s="11" t="s">
        <v>82</v>
      </c>
      <c r="S88" s="11" t="s">
        <v>82</v>
      </c>
      <c r="T88" s="11" t="s">
        <v>427</v>
      </c>
      <c r="U88" s="5" t="s">
        <v>246</v>
      </c>
      <c r="V88" s="11" t="s">
        <v>104</v>
      </c>
      <c r="W88" s="11" t="s">
        <v>105</v>
      </c>
      <c r="X88" s="11" t="s">
        <v>106</v>
      </c>
      <c r="Y88" s="11" t="s">
        <v>428</v>
      </c>
      <c r="Z88" s="11" t="s">
        <v>435</v>
      </c>
    </row>
    <row r="89" spans="1:26">
      <c r="A89" s="11" t="s">
        <v>69</v>
      </c>
      <c r="B89" s="11" t="s">
        <v>436</v>
      </c>
      <c r="C89" s="15">
        <v>0.11</v>
      </c>
      <c r="D89" s="15"/>
      <c r="E89" s="11" t="s">
        <v>254</v>
      </c>
      <c r="F89" s="13" t="s">
        <v>72</v>
      </c>
      <c r="G89" s="14">
        <v>27</v>
      </c>
      <c r="H89" s="11" t="s">
        <v>73</v>
      </c>
      <c r="I89" s="11" t="s">
        <v>282</v>
      </c>
      <c r="J89" s="11" t="s">
        <v>320</v>
      </c>
      <c r="K89" s="11" t="s">
        <v>240</v>
      </c>
      <c r="L89" s="11" t="s">
        <v>241</v>
      </c>
      <c r="M89" s="5" t="s">
        <v>437</v>
      </c>
      <c r="N89" s="5" t="s">
        <v>425</v>
      </c>
      <c r="O89" s="5" t="s">
        <v>273</v>
      </c>
      <c r="P89" s="5" t="s">
        <v>259</v>
      </c>
      <c r="Q89" s="11" t="s">
        <v>82</v>
      </c>
      <c r="R89" s="11" t="s">
        <v>82</v>
      </c>
      <c r="S89" s="11" t="s">
        <v>82</v>
      </c>
      <c r="T89" s="11" t="s">
        <v>438</v>
      </c>
      <c r="U89" s="5" t="s">
        <v>246</v>
      </c>
      <c r="V89" s="11" t="s">
        <v>85</v>
      </c>
      <c r="W89" s="11" t="s">
        <v>86</v>
      </c>
      <c r="X89" s="11" t="s">
        <v>87</v>
      </c>
      <c r="Y89" s="11" t="s">
        <v>439</v>
      </c>
      <c r="Z89" s="11" t="s">
        <v>440</v>
      </c>
    </row>
    <row r="90" spans="1:26">
      <c r="A90" s="11" t="s">
        <v>90</v>
      </c>
      <c r="B90" s="11" t="s">
        <v>436</v>
      </c>
      <c r="C90" s="15">
        <v>-0.02</v>
      </c>
      <c r="D90" s="15"/>
      <c r="E90" s="11" t="s">
        <v>254</v>
      </c>
      <c r="F90" s="13" t="s">
        <v>91</v>
      </c>
      <c r="G90" s="14">
        <v>31</v>
      </c>
      <c r="H90" s="11" t="s">
        <v>73</v>
      </c>
      <c r="I90" s="11" t="s">
        <v>282</v>
      </c>
      <c r="J90" s="11" t="s">
        <v>320</v>
      </c>
      <c r="K90" s="11" t="s">
        <v>240</v>
      </c>
      <c r="L90" s="11" t="s">
        <v>241</v>
      </c>
      <c r="M90" s="5" t="s">
        <v>437</v>
      </c>
      <c r="N90" s="5" t="s">
        <v>430</v>
      </c>
      <c r="O90" s="5" t="s">
        <v>277</v>
      </c>
      <c r="P90" s="5" t="s">
        <v>265</v>
      </c>
      <c r="Q90" s="11" t="s">
        <v>82</v>
      </c>
      <c r="R90" s="11" t="s">
        <v>82</v>
      </c>
      <c r="S90" s="11" t="s">
        <v>82</v>
      </c>
      <c r="T90" s="11" t="s">
        <v>438</v>
      </c>
      <c r="U90" s="5" t="s">
        <v>246</v>
      </c>
      <c r="V90" s="11" t="s">
        <v>95</v>
      </c>
      <c r="W90" s="11" t="s">
        <v>96</v>
      </c>
      <c r="X90" s="11" t="s">
        <v>97</v>
      </c>
      <c r="Y90" s="11" t="s">
        <v>439</v>
      </c>
      <c r="Z90" s="11" t="s">
        <v>441</v>
      </c>
    </row>
    <row r="91" spans="1:26">
      <c r="A91" s="11" t="s">
        <v>99</v>
      </c>
      <c r="B91" s="11" t="s">
        <v>436</v>
      </c>
      <c r="C91" s="15">
        <v>0.17</v>
      </c>
      <c r="D91" s="15"/>
      <c r="E91" s="11" t="s">
        <v>254</v>
      </c>
      <c r="F91" s="13" t="s">
        <v>100</v>
      </c>
      <c r="G91" s="14">
        <v>32</v>
      </c>
      <c r="H91" s="11" t="s">
        <v>73</v>
      </c>
      <c r="I91" s="11" t="s">
        <v>282</v>
      </c>
      <c r="J91" s="11" t="s">
        <v>320</v>
      </c>
      <c r="K91" s="11" t="s">
        <v>240</v>
      </c>
      <c r="L91" s="11" t="s">
        <v>241</v>
      </c>
      <c r="M91" s="5" t="s">
        <v>437</v>
      </c>
      <c r="N91" s="5" t="s">
        <v>433</v>
      </c>
      <c r="O91" s="5" t="s">
        <v>279</v>
      </c>
      <c r="P91" s="5" t="s">
        <v>269</v>
      </c>
      <c r="Q91" s="11" t="s">
        <v>82</v>
      </c>
      <c r="R91" s="11" t="s">
        <v>82</v>
      </c>
      <c r="S91" s="11" t="s">
        <v>82</v>
      </c>
      <c r="T91" s="11" t="s">
        <v>438</v>
      </c>
      <c r="U91" s="5" t="s">
        <v>246</v>
      </c>
      <c r="V91" s="11" t="s">
        <v>104</v>
      </c>
      <c r="W91" s="11" t="s">
        <v>105</v>
      </c>
      <c r="X91" s="11" t="s">
        <v>106</v>
      </c>
      <c r="Y91" s="11" t="s">
        <v>439</v>
      </c>
      <c r="Z91" s="11" t="s">
        <v>442</v>
      </c>
    </row>
  </sheetData>
  <autoFilter ref="A4:Z91"/>
  <mergeCells count="2">
    <mergeCell ref="A1:H1"/>
    <mergeCell ref="A2:H2"/>
  </mergeCells>
  <conditionalFormatting sqref="H5:H701">
    <cfRule type="cellIs" dxfId="0" priority="1" operator="equal">
      <formula>"Chờ người kiểm tra"</formula>
    </cfRule>
    <cfRule type="cellIs" dxfId="1" priority="2" operator="equal">
      <formula>"Thiếu / không công bố"</formula>
    </cfRule>
    <cfRule type="cellIs" dxfId="2" priority="3" operator="equal">
      <formula>"Đã xác minh (người)"</formula>
    </cfRule>
    <cfRule type="cellIs" dxfId="3" priority="4" operator="equal">
      <formula>"Bằng chứng mâu thuẫn"</formula>
    </cfRule>
  </conditionalFormatting>
  <dataValidations count="1">
    <dataValidation type="list" allowBlank="1" showInputMessage="1" showErrorMessage="1" errorTitle="Trạng thái không hợp lệ" error="Chọn một trạng thái trong danh sách." sqref="H5:H701">
      <formula1>"Khớp nguồn chính thức,Chờ người kiểm tra,Đã xác minh (người),Thiếu / không công bố,Bằng chứng mâu thuẫn"</formula1>
    </dataValidation>
  </dataValidations>
  <hyperlinks>
    <hyperlink ref="F5" r:id="rId1" tooltip="NIKE, Inc. Form 10-K for the fiscal year ended May 31, 2019 – SEC EDGAR"/>
    <hyperlink ref="F6" r:id="rId2" tooltip="NIKE, Inc. Form 10-K for the fiscal year ended May 31, 2020 – SEC EDGAR"/>
    <hyperlink ref="F7" r:id="rId3" tooltip="NIKE, Inc. Form 10-K for the fiscal year ended May 31, 2021 – SEC EDGAR"/>
    <hyperlink ref="F8" r:id="rId4" tooltip="NIKE, Inc. Form 10-K for the fiscal year ended May 31, 2019 – SEC EDGAR"/>
    <hyperlink ref="F9" r:id="rId5" tooltip="NIKE, Inc. Form 10-K for the fiscal year ended May 31, 2020 – SEC EDGAR"/>
    <hyperlink ref="F10" r:id="rId6" tooltip="NIKE, Inc. Form 10-K for the fiscal year ended May 31, 2021 – SEC EDGAR"/>
    <hyperlink ref="F11" r:id="rId7" tooltip="NIKE, Inc. Form 10-K for the fiscal year ended May 31, 2019 – SEC EDGAR"/>
    <hyperlink ref="F12" r:id="rId8" tooltip="NIKE, Inc. Form 10-K for the fiscal year ended May 31, 2020 – SEC EDGAR"/>
    <hyperlink ref="F13" r:id="rId9" tooltip="NIKE, Inc. Form 10-K for the fiscal year ended May 31, 2021 – SEC EDGAR"/>
    <hyperlink ref="F14" r:id="rId10" tooltip="NIKE, Inc. Form 10-K for the fiscal year ended May 31, 2019 – SEC EDGAR"/>
    <hyperlink ref="F15" r:id="rId11" tooltip="NIKE, Inc. Form 10-K for the fiscal year ended May 31, 2020 – SEC EDGAR"/>
    <hyperlink ref="F16" r:id="rId12" tooltip="NIKE, Inc. Form 10-K for the fiscal year ended May 31, 2021 – SEC EDGAR"/>
    <hyperlink ref="F17" r:id="rId13" tooltip="NIKE, Inc. Form 10-K for the fiscal year ended May 31, 2019 – SEC EDGAR"/>
    <hyperlink ref="F18" r:id="rId14" tooltip="NIKE, Inc. Form 10-K for the fiscal year ended May 31, 2020 – SEC EDGAR"/>
    <hyperlink ref="F19" r:id="rId15" tooltip="NIKE, Inc. Form 10-K for the fiscal year ended May 31, 2021 – SEC EDGAR"/>
    <hyperlink ref="F20" r:id="rId16" tooltip="NIKE, Inc. Form 10-K for the fiscal year ended May 31, 2019 – SEC EDGAR"/>
    <hyperlink ref="F21" r:id="rId17" tooltip="NIKE, Inc. Form 10-K for the fiscal year ended May 31, 2020 – SEC EDGAR"/>
    <hyperlink ref="F22" r:id="rId18" tooltip="NIKE, Inc. Form 10-K for the fiscal year ended May 31, 2021 – SEC EDGAR"/>
    <hyperlink ref="F23" r:id="rId19" tooltip="NIKE, Inc. Form 10-K for the fiscal year ended May 31, 2019 – SEC EDGAR"/>
    <hyperlink ref="F24" r:id="rId20" tooltip="NIKE, Inc. Form 10-K for the fiscal year ended May 31, 2020 – SEC EDGAR"/>
    <hyperlink ref="F25" r:id="rId21" tooltip="NIKE, Inc. Form 10-K for the fiscal year ended May 31, 2021 – SEC EDGAR"/>
    <hyperlink ref="F26" r:id="rId22" tooltip="NIKE, Inc. Form 10-K for the fiscal year ended May 31, 2019 – SEC EDGAR"/>
    <hyperlink ref="F27" r:id="rId23" tooltip="NIKE, Inc. Form 10-K for the fiscal year ended May 31, 2020 – SEC EDGAR"/>
    <hyperlink ref="F28" r:id="rId24" tooltip="NIKE, Inc. Form 10-K for the fiscal year ended May 31, 2021 – SEC EDGAR"/>
    <hyperlink ref="F29" r:id="rId25" tooltip="NIKE, Inc. Form 10-K for the fiscal year ended May 31, 2019 – SEC EDGAR"/>
    <hyperlink ref="F30" r:id="rId26" tooltip="NIKE, Inc. Form 10-K for the fiscal year ended May 31, 2020 – SEC EDGAR"/>
    <hyperlink ref="F31" r:id="rId27" tooltip="NIKE, Inc. Form 10-K for the fiscal year ended May 31, 2021 – SEC EDGAR"/>
    <hyperlink ref="F32" r:id="rId28" tooltip="NIKE, Inc. Form 10-K for the fiscal year ended May 31, 2019 – SEC EDGAR"/>
    <hyperlink ref="F33" r:id="rId29" tooltip="NIKE, Inc. Form 10-K for the fiscal year ended May 31, 2020 – SEC EDGAR"/>
    <hyperlink ref="F34" r:id="rId30" tooltip="NIKE, Inc. Form 10-K for the fiscal year ended May 31, 2021 – SEC EDGAR"/>
    <hyperlink ref="F35" r:id="rId31" tooltip="NIKE, Inc. Form 10-K for the fiscal year ended May 31, 2019 – SEC EDGAR"/>
    <hyperlink ref="F36" r:id="rId32" tooltip="NIKE, Inc. Form 10-K for the fiscal year ended May 31, 2020 – SEC EDGAR"/>
    <hyperlink ref="F37" r:id="rId33" tooltip="NIKE, Inc. Form 10-K for the fiscal year ended May 31, 2021 – SEC EDGAR"/>
    <hyperlink ref="F38" r:id="rId34" tooltip="NIKE, Inc. Form 10-K for the fiscal year ended May 31, 2019 – SEC EDGAR"/>
    <hyperlink ref="F39" r:id="rId35" tooltip="NIKE, Inc. Form 10-K for the fiscal year ended May 31, 2020 – SEC EDGAR"/>
    <hyperlink ref="F40" r:id="rId36" tooltip="NIKE, Inc. Form 10-K for the fiscal year ended May 31, 2021 – SEC EDGAR"/>
    <hyperlink ref="F41" r:id="rId37" tooltip="NIKE, Inc. Form 10-K for the fiscal year ended May 31, 2019 – SEC EDGAR"/>
    <hyperlink ref="F42" r:id="rId38" tooltip="NIKE, Inc. Form 10-K for the fiscal year ended May 31, 2020 – SEC EDGAR"/>
    <hyperlink ref="F43" r:id="rId39" tooltip="NIKE, Inc. Form 10-K for the fiscal year ended May 31, 2021 – SEC EDGAR"/>
    <hyperlink ref="F44" r:id="rId40" tooltip="NIKE, Inc. Form 10-K for the fiscal year ended May 31, 2019 – SEC EDGAR"/>
    <hyperlink ref="F45" r:id="rId41" tooltip="NIKE, Inc. Form 10-K for the fiscal year ended May 31, 2020 – SEC EDGAR"/>
    <hyperlink ref="F46" r:id="rId42" tooltip="NIKE, Inc. Form 10-K for the fiscal year ended May 31, 2021 – SEC EDGAR"/>
    <hyperlink ref="F47" r:id="rId43" tooltip="NIKE, Inc. Form 10-K for the fiscal year ended May 31, 2019 – SEC EDGAR"/>
    <hyperlink ref="F48" r:id="rId44" tooltip="NIKE, Inc. Form 10-K for the fiscal year ended May 31, 2020 – SEC EDGAR"/>
    <hyperlink ref="F49" r:id="rId45" tooltip="NIKE, Inc. Form 10-K for the fiscal year ended May 31, 2021 – SEC EDGAR"/>
    <hyperlink ref="F50" r:id="rId46" tooltip="NIKE, Inc. Form 10-K for the fiscal year ended May 31, 2019 – SEC EDGAR"/>
    <hyperlink ref="F51" r:id="rId47" tooltip="NIKE, Inc. Form 10-K for the fiscal year ended May 31, 2020 – SEC EDGAR"/>
    <hyperlink ref="F52" r:id="rId48" tooltip="NIKE, Inc. Form 10-K for the fiscal year ended May 31, 2021 – SEC EDGAR"/>
    <hyperlink ref="F53" r:id="rId49" tooltip="NIKE, Inc. Form 10-K for the fiscal year ended May 31, 2019 – SEC EDGAR"/>
    <hyperlink ref="F54" r:id="rId50" tooltip="NIKE, Inc. Form 10-K for the fiscal year ended May 31, 2020 – SEC EDGAR"/>
    <hyperlink ref="F55" r:id="rId51" tooltip="NIKE, Inc. Form 10-K for the fiscal year ended May 31, 2021 – SEC EDGAR"/>
    <hyperlink ref="F56" r:id="rId52" tooltip="NIKE, Inc. Form 10-K for the fiscal year ended May 31, 2019 – SEC EDGAR"/>
    <hyperlink ref="F57" r:id="rId53" tooltip="NIKE, Inc. Form 10-K for the fiscal year ended May 31, 2020 – SEC EDGAR"/>
    <hyperlink ref="F58" r:id="rId54" tooltip="NIKE, Inc. Form 10-K for the fiscal year ended May 31, 2021 – SEC EDGAR"/>
    <hyperlink ref="F59" r:id="rId55" tooltip="NIKE, Inc. Form 10-K for the fiscal year ended May 31, 2019 – SEC EDGAR"/>
    <hyperlink ref="F60" r:id="rId56" tooltip="NIKE, Inc. Form 10-K for the fiscal year ended May 31, 2020 – SEC EDGAR"/>
    <hyperlink ref="F61" r:id="rId57" tooltip="NIKE, Inc. Form 10-K for the fiscal year ended May 31, 2021 – SEC EDGAR"/>
    <hyperlink ref="F62" r:id="rId58" tooltip="NIKE, Inc. Form 10-K for the fiscal year ended May 31, 2019 – SEC EDGAR"/>
    <hyperlink ref="F63" r:id="rId59" tooltip="NIKE, Inc. Form 10-K for the fiscal year ended May 31, 2020 – SEC EDGAR"/>
    <hyperlink ref="F64" r:id="rId60" tooltip="NIKE, Inc. Form 10-K for the fiscal year ended May 31, 2021 – SEC EDGAR"/>
    <hyperlink ref="F65" r:id="rId61" tooltip="NIKE, Inc. Form 10-K for the fiscal year ended May 31, 2019 – SEC EDGAR"/>
    <hyperlink ref="F66" r:id="rId62" tooltip="NIKE, Inc. Form 10-K for the fiscal year ended May 31, 2020 – SEC EDGAR"/>
    <hyperlink ref="F67" r:id="rId63" tooltip="NIKE, Inc. Form 10-K for the fiscal year ended May 31, 2021 – SEC EDGAR"/>
    <hyperlink ref="F68" r:id="rId64" tooltip="NIKE, Inc. Form 10-K for the fiscal year ended May 31, 2019 – SEC EDGAR"/>
    <hyperlink ref="F69" r:id="rId65" tooltip="NIKE, Inc. Form 10-K for the fiscal year ended May 31, 2020 – SEC EDGAR"/>
    <hyperlink ref="F70" r:id="rId66" tooltip="NIKE, Inc. Form 10-K for the fiscal year ended May 31, 2021 – SEC EDGAR"/>
    <hyperlink ref="F71" r:id="rId67" tooltip="NIKE, Inc. Form 10-K for the fiscal year ended May 31, 2019 – SEC EDGAR"/>
    <hyperlink ref="F72" r:id="rId68" tooltip="NIKE, Inc. Form 10-K for the fiscal year ended May 31, 2020 – SEC EDGAR"/>
    <hyperlink ref="F73" r:id="rId69" tooltip="NIKE, Inc. Form 10-K for the fiscal year ended May 31, 2021 – SEC EDGAR"/>
    <hyperlink ref="F74" r:id="rId70" tooltip="NIKE, Inc. Form 10-K for the fiscal year ended May 31, 2019 – SEC EDGAR"/>
    <hyperlink ref="F75" r:id="rId71" tooltip="NIKE, Inc. Form 10-K for the fiscal year ended May 31, 2020 – SEC EDGAR"/>
    <hyperlink ref="F76" r:id="rId72" tooltip="NIKE, Inc. Form 10-K for the fiscal year ended May 31, 2021 – SEC EDGAR"/>
    <hyperlink ref="F77" r:id="rId73" tooltip="NIKE, Inc. Form 10-K for the fiscal year ended May 31, 2019 – SEC EDGAR"/>
    <hyperlink ref="F78" r:id="rId74" tooltip="NIKE, Inc. Form 10-K for the fiscal year ended May 31, 2020 – SEC EDGAR"/>
    <hyperlink ref="F79" r:id="rId75" tooltip="NIKE, Inc. Form 10-K for the fiscal year ended May 31, 2021 – SEC EDGAR"/>
    <hyperlink ref="F80" r:id="rId76" tooltip="NIKE, Inc. Form 10-K for the fiscal year ended May 31, 2019 – SEC EDGAR"/>
    <hyperlink ref="F81" r:id="rId77" tooltip="NIKE, Inc. Form 10-K for the fiscal year ended May 31, 2020 – SEC EDGAR"/>
    <hyperlink ref="F82" r:id="rId78" tooltip="NIKE, Inc. Form 10-K for the fiscal year ended May 31, 2021 – SEC EDGAR"/>
    <hyperlink ref="F83" r:id="rId79" tooltip="NIKE, Inc. Form 10-K for the fiscal year ended May 31, 2019 – SEC EDGAR"/>
    <hyperlink ref="F84" r:id="rId80" tooltip="NIKE, Inc. Form 10-K for the fiscal year ended May 31, 2020 – SEC EDGAR"/>
    <hyperlink ref="F85" r:id="rId81" tooltip="NIKE, Inc. Form 10-K for the fiscal year ended May 31, 2021 – SEC EDGAR"/>
    <hyperlink ref="F86" r:id="rId82" tooltip="NIKE, Inc. Form 10-K for the fiscal year ended May 31, 2019 – SEC EDGAR"/>
    <hyperlink ref="F87" r:id="rId83" tooltip="NIKE, Inc. Form 10-K for the fiscal year ended May 31, 2020 – SEC EDGAR"/>
    <hyperlink ref="F88" r:id="rId84" tooltip="NIKE, Inc. Form 10-K for the fiscal year ended May 31, 2021 – SEC EDGAR"/>
    <hyperlink ref="F89" r:id="rId85" tooltip="NIKE, Inc. Form 10-K for the fiscal year ended May 31, 2019 – SEC EDGAR"/>
    <hyperlink ref="F90" r:id="rId86" tooltip="NIKE, Inc. Form 10-K for the fiscal year ended May 31, 2020 – SEC EDGAR"/>
    <hyperlink ref="F91" r:id="rId87" tooltip="NIKE, Inc. Form 10-K for the fiscal year ended May 31, 2021 – SEC EDGAR"/>
  </hyperlinks>
  <pageMargins left="0.7" right="0.7" top="0.75" bottom="0.75" header="0.3" footer="0.3"/>
  <pageSetup paperSize="9" fitToHeight="0" orientation="landscape"/>
  <headerFooter>
    <oddFooter>&amp;C&amp;8Trang &amp;P/&amp;N</oddFooter>
  </headerFooter>
</worksheet>
</file>

<file path=xl/worksheets/sheet3.xml><?xml version="1.0" encoding="utf-8"?>
<worksheet xmlns="http://schemas.openxmlformats.org/spreadsheetml/2006/main" xmlns:r="http://schemas.openxmlformats.org/officeDocument/2006/relationships">
  <sheetPr>
    <pageSetUpPr fitToPage="1"/>
  </sheetPr>
  <dimension ref="A1:Z352"/>
  <sheetViews>
    <sheetView showGridLines="0" workbookViewId="0">
      <pane xSplit="2" ySplit="4" topLeftCell="C5" activePane="bottomRight" state="frozen"/>
      <selection pane="topRight" activeCell="C1" sqref="C1"/>
      <selection pane="bottomLeft" activeCell="A5" sqref="A5"/>
      <selection pane="bottomRight"/>
    </sheetView>
  </sheetViews>
  <sheetFormatPr defaultRowHeight="15"/>
  <cols>
    <col min="1" max="1" width="11.7109375" customWidth="1"/>
    <col min="2" max="2" width="60.7109375" customWidth="1"/>
    <col min="3" max="3" width="12.7109375" customWidth="1"/>
    <col min="4" max="4" width="14.7109375" customWidth="1"/>
    <col min="5" max="5" width="10.7109375" customWidth="1"/>
    <col min="6" max="6" width="16.7109375" customWidth="1"/>
    <col min="7" max="7" width="10.7109375" customWidth="1"/>
    <col min="8" max="8" width="24" customWidth="1"/>
    <col min="9" max="9" width="14" customWidth="1"/>
    <col min="10" max="10" width="22.7109375" customWidth="1"/>
    <col min="11" max="11" width="44.7109375" customWidth="1"/>
    <col min="12" max="12" width="40.7109375" customWidth="1"/>
    <col min="13" max="13" width="60.7109375" customWidth="1"/>
    <col min="14" max="14" width="50.7109375" customWidth="1"/>
    <col min="15" max="15" width="54.7109375" customWidth="1"/>
    <col min="16" max="16" width="50.7109375" customWidth="1"/>
    <col min="17" max="19" width="8.7109375" hidden="1" customWidth="1"/>
    <col min="20" max="21" width="60.7109375" customWidth="1"/>
    <col min="22" max="22" width="25.7109375" customWidth="1"/>
    <col min="23" max="23" width="12.7109375" customWidth="1"/>
    <col min="24" max="24" width="22.7109375" customWidth="1"/>
    <col min="25" max="26" width="40.7109375" customWidth="1"/>
  </cols>
  <sheetData>
    <row r="1" spans="1:26">
      <c r="A1" s="7" t="s">
        <v>443</v>
      </c>
      <c r="B1" s="7"/>
      <c r="C1" s="7"/>
      <c r="D1" s="7"/>
      <c r="E1" s="7"/>
      <c r="F1" s="7"/>
      <c r="G1" s="7"/>
      <c r="H1" s="7"/>
    </row>
    <row r="2" spans="1:26" ht="30" customHeight="1">
      <c r="A2" s="8" t="s">
        <v>444</v>
      </c>
      <c r="B2" s="8"/>
      <c r="C2" s="8"/>
      <c r="D2" s="8"/>
      <c r="E2" s="8"/>
      <c r="F2" s="8"/>
      <c r="G2" s="8"/>
      <c r="H2" s="8"/>
    </row>
    <row r="4" spans="1:26" ht="44.25" customHeight="1">
      <c r="A4" s="9" t="s">
        <v>45</v>
      </c>
      <c r="B4" s="9" t="s">
        <v>46</v>
      </c>
      <c r="C4" s="9" t="s">
        <v>47</v>
      </c>
      <c r="D4" s="9" t="s">
        <v>13</v>
      </c>
      <c r="E4" s="9" t="s">
        <v>7</v>
      </c>
      <c r="F4" s="9" t="s">
        <v>48</v>
      </c>
      <c r="G4" s="9" t="s">
        <v>49</v>
      </c>
      <c r="H4" s="9" t="s">
        <v>50</v>
      </c>
      <c r="I4" s="9" t="s">
        <v>51</v>
      </c>
      <c r="J4" s="9" t="s">
        <v>52</v>
      </c>
      <c r="K4" s="9" t="s">
        <v>53</v>
      </c>
      <c r="L4" s="9" t="s">
        <v>54</v>
      </c>
      <c r="M4" s="9" t="s">
        <v>55</v>
      </c>
      <c r="N4" s="9" t="s">
        <v>56</v>
      </c>
      <c r="O4" s="9" t="s">
        <v>57</v>
      </c>
      <c r="P4" s="9" t="s">
        <v>58</v>
      </c>
      <c r="Q4" s="10" t="s">
        <v>59</v>
      </c>
      <c r="R4" s="10" t="s">
        <v>60</v>
      </c>
      <c r="S4" s="10" t="s">
        <v>61</v>
      </c>
      <c r="T4" s="9" t="s">
        <v>62</v>
      </c>
      <c r="U4" s="9" t="s">
        <v>63</v>
      </c>
      <c r="V4" s="9" t="s">
        <v>64</v>
      </c>
      <c r="W4" s="9" t="s">
        <v>65</v>
      </c>
      <c r="X4" s="9" t="s">
        <v>66</v>
      </c>
      <c r="Y4" s="9" t="s">
        <v>67</v>
      </c>
      <c r="Z4" s="9" t="s">
        <v>68</v>
      </c>
    </row>
    <row r="5" spans="1:26">
      <c r="A5" s="11" t="s">
        <v>445</v>
      </c>
      <c r="B5" s="11" t="s">
        <v>70</v>
      </c>
      <c r="C5" s="12">
        <v>9948</v>
      </c>
      <c r="D5" s="12">
        <v>9070</v>
      </c>
      <c r="E5" s="11" t="s">
        <v>71</v>
      </c>
      <c r="F5" s="13" t="s">
        <v>446</v>
      </c>
      <c r="G5" s="14">
        <v>4</v>
      </c>
      <c r="H5" s="11" t="s">
        <v>73</v>
      </c>
      <c r="I5" s="11" t="s">
        <v>74</v>
      </c>
      <c r="J5" s="11" t="s">
        <v>75</v>
      </c>
      <c r="K5" s="11" t="s">
        <v>447</v>
      </c>
      <c r="L5" s="11" t="s">
        <v>448</v>
      </c>
      <c r="M5" s="5" t="s">
        <v>449</v>
      </c>
      <c r="N5" s="5" t="s">
        <v>450</v>
      </c>
      <c r="O5" s="5" t="s">
        <v>451</v>
      </c>
      <c r="P5" s="5" t="s">
        <v>452</v>
      </c>
      <c r="Q5" s="11" t="s">
        <v>82</v>
      </c>
      <c r="R5" s="11" t="s">
        <v>82</v>
      </c>
      <c r="S5" s="11" t="s">
        <v>82</v>
      </c>
      <c r="T5" s="11" t="s">
        <v>83</v>
      </c>
      <c r="U5" s="5" t="s">
        <v>453</v>
      </c>
      <c r="V5" s="11" t="s">
        <v>454</v>
      </c>
      <c r="W5" s="11" t="s">
        <v>455</v>
      </c>
      <c r="X5" s="11" t="s">
        <v>456</v>
      </c>
      <c r="Y5" s="11" t="s">
        <v>88</v>
      </c>
      <c r="Z5" s="11" t="s">
        <v>457</v>
      </c>
    </row>
    <row r="6" spans="1:26">
      <c r="A6" s="11" t="s">
        <v>458</v>
      </c>
      <c r="B6" s="11" t="s">
        <v>70</v>
      </c>
      <c r="C6" s="12">
        <v>9374</v>
      </c>
      <c r="D6" s="12">
        <v>8554</v>
      </c>
      <c r="E6" s="11" t="s">
        <v>71</v>
      </c>
      <c r="F6" s="13" t="s">
        <v>459</v>
      </c>
      <c r="G6" s="14">
        <v>4</v>
      </c>
      <c r="H6" s="11" t="s">
        <v>73</v>
      </c>
      <c r="I6" s="11" t="s">
        <v>74</v>
      </c>
      <c r="J6" s="11" t="s">
        <v>75</v>
      </c>
      <c r="K6" s="11" t="s">
        <v>447</v>
      </c>
      <c r="L6" s="11" t="s">
        <v>448</v>
      </c>
      <c r="M6" s="5" t="s">
        <v>449</v>
      </c>
      <c r="N6" s="5" t="s">
        <v>460</v>
      </c>
      <c r="O6" s="5" t="s">
        <v>461</v>
      </c>
      <c r="P6" s="5" t="s">
        <v>462</v>
      </c>
      <c r="Q6" s="11" t="s">
        <v>82</v>
      </c>
      <c r="R6" s="11" t="s">
        <v>82</v>
      </c>
      <c r="S6" s="11" t="s">
        <v>82</v>
      </c>
      <c r="T6" s="11" t="s">
        <v>83</v>
      </c>
      <c r="U6" s="5" t="s">
        <v>453</v>
      </c>
      <c r="V6" s="11" t="s">
        <v>463</v>
      </c>
      <c r="W6" s="11" t="s">
        <v>464</v>
      </c>
      <c r="X6" s="11" t="s">
        <v>465</v>
      </c>
      <c r="Y6" s="11" t="s">
        <v>88</v>
      </c>
      <c r="Z6" s="11" t="s">
        <v>466</v>
      </c>
    </row>
    <row r="7" spans="1:26">
      <c r="A7" s="11" t="s">
        <v>467</v>
      </c>
      <c r="B7" s="11" t="s">
        <v>70</v>
      </c>
      <c r="C7" s="12">
        <v>9611</v>
      </c>
      <c r="D7" s="12">
        <v>8984</v>
      </c>
      <c r="E7" s="11" t="s">
        <v>71</v>
      </c>
      <c r="F7" s="13" t="s">
        <v>468</v>
      </c>
      <c r="G7" s="14">
        <v>4</v>
      </c>
      <c r="H7" s="11" t="s">
        <v>73</v>
      </c>
      <c r="I7" s="11" t="s">
        <v>74</v>
      </c>
      <c r="J7" s="11" t="s">
        <v>75</v>
      </c>
      <c r="K7" s="11" t="s">
        <v>447</v>
      </c>
      <c r="L7" s="11" t="s">
        <v>448</v>
      </c>
      <c r="M7" s="5" t="s">
        <v>449</v>
      </c>
      <c r="N7" s="5" t="s">
        <v>469</v>
      </c>
      <c r="O7" s="5" t="s">
        <v>470</v>
      </c>
      <c r="P7" s="5" t="s">
        <v>471</v>
      </c>
      <c r="Q7" s="11" t="s">
        <v>82</v>
      </c>
      <c r="R7" s="11" t="s">
        <v>82</v>
      </c>
      <c r="S7" s="11" t="s">
        <v>82</v>
      </c>
      <c r="T7" s="11" t="s">
        <v>83</v>
      </c>
      <c r="U7" s="5" t="s">
        <v>84</v>
      </c>
      <c r="V7" s="11" t="s">
        <v>472</v>
      </c>
      <c r="W7" s="11" t="s">
        <v>473</v>
      </c>
      <c r="X7" s="11" t="s">
        <v>474</v>
      </c>
      <c r="Y7" s="11" t="s">
        <v>88</v>
      </c>
      <c r="Z7" s="11" t="s">
        <v>475</v>
      </c>
    </row>
    <row r="8" spans="1:26">
      <c r="A8" s="11" t="s">
        <v>476</v>
      </c>
      <c r="B8" s="11" t="s">
        <v>70</v>
      </c>
      <c r="C8" s="17">
        <v>10184</v>
      </c>
      <c r="D8" s="17">
        <v>9789</v>
      </c>
      <c r="E8" s="11" t="s">
        <v>71</v>
      </c>
      <c r="F8" s="13" t="s">
        <v>477</v>
      </c>
      <c r="G8" s="18" t="s">
        <v>478</v>
      </c>
      <c r="H8" s="11" t="s">
        <v>73</v>
      </c>
      <c r="I8" s="11" t="s">
        <v>74</v>
      </c>
      <c r="J8" s="11" t="s">
        <v>75</v>
      </c>
      <c r="K8" s="11" t="s">
        <v>479</v>
      </c>
      <c r="L8" s="11" t="s">
        <v>77</v>
      </c>
      <c r="M8" s="5" t="s">
        <v>480</v>
      </c>
      <c r="N8" s="5" t="s">
        <v>481</v>
      </c>
      <c r="O8" s="5" t="s">
        <v>482</v>
      </c>
      <c r="P8" s="5" t="s">
        <v>483</v>
      </c>
      <c r="Q8" s="11" t="s">
        <v>82</v>
      </c>
      <c r="R8" s="11" t="s">
        <v>82</v>
      </c>
      <c r="S8" s="11" t="s">
        <v>82</v>
      </c>
      <c r="T8" s="11" t="s">
        <v>83</v>
      </c>
      <c r="U8" s="5" t="s">
        <v>84</v>
      </c>
      <c r="V8" s="11" t="s">
        <v>484</v>
      </c>
      <c r="W8" s="11" t="s">
        <v>86</v>
      </c>
      <c r="X8" s="11" t="s">
        <v>87</v>
      </c>
      <c r="Y8" s="11" t="s">
        <v>88</v>
      </c>
      <c r="Z8" s="11" t="s">
        <v>485</v>
      </c>
    </row>
    <row r="9" spans="1:26">
      <c r="A9" s="11" t="s">
        <v>486</v>
      </c>
      <c r="B9" s="11" t="s">
        <v>70</v>
      </c>
      <c r="C9" s="12">
        <v>10660</v>
      </c>
      <c r="D9" s="12">
        <v>9948</v>
      </c>
      <c r="E9" s="11" t="s">
        <v>71</v>
      </c>
      <c r="F9" s="13" t="s">
        <v>487</v>
      </c>
      <c r="G9" s="14">
        <v>1</v>
      </c>
      <c r="H9" s="11" t="s">
        <v>73</v>
      </c>
      <c r="I9" s="11" t="s">
        <v>74</v>
      </c>
      <c r="J9" s="11" t="s">
        <v>75</v>
      </c>
      <c r="K9" s="11" t="s">
        <v>447</v>
      </c>
      <c r="L9" s="11" t="s">
        <v>488</v>
      </c>
      <c r="M9" s="5" t="s">
        <v>449</v>
      </c>
      <c r="N9" s="5" t="s">
        <v>489</v>
      </c>
      <c r="O9" s="5" t="s">
        <v>490</v>
      </c>
      <c r="P9" s="5" t="s">
        <v>491</v>
      </c>
      <c r="Q9" s="11" t="s">
        <v>82</v>
      </c>
      <c r="R9" s="11" t="s">
        <v>82</v>
      </c>
      <c r="S9" s="11" t="s">
        <v>82</v>
      </c>
      <c r="T9" s="11" t="s">
        <v>83</v>
      </c>
      <c r="U9" s="5" t="s">
        <v>84</v>
      </c>
      <c r="V9" s="11" t="s">
        <v>492</v>
      </c>
      <c r="W9" s="11" t="s">
        <v>493</v>
      </c>
      <c r="X9" s="11" t="s">
        <v>494</v>
      </c>
      <c r="Y9" s="11" t="s">
        <v>88</v>
      </c>
      <c r="Z9" s="11" t="s">
        <v>495</v>
      </c>
    </row>
    <row r="10" spans="1:26">
      <c r="A10" s="11" t="s">
        <v>496</v>
      </c>
      <c r="B10" s="11" t="s">
        <v>70</v>
      </c>
      <c r="C10" s="12">
        <v>10326</v>
      </c>
      <c r="D10" s="12">
        <v>9374</v>
      </c>
      <c r="E10" s="11" t="s">
        <v>71</v>
      </c>
      <c r="F10" s="13" t="s">
        <v>497</v>
      </c>
      <c r="G10" s="14">
        <v>1</v>
      </c>
      <c r="H10" s="11" t="s">
        <v>73</v>
      </c>
      <c r="I10" s="11" t="s">
        <v>74</v>
      </c>
      <c r="J10" s="11" t="s">
        <v>75</v>
      </c>
      <c r="K10" s="11" t="s">
        <v>447</v>
      </c>
      <c r="L10" s="11" t="s">
        <v>488</v>
      </c>
      <c r="M10" s="5" t="s">
        <v>449</v>
      </c>
      <c r="N10" s="5" t="s">
        <v>498</v>
      </c>
      <c r="O10" s="5" t="s">
        <v>499</v>
      </c>
      <c r="P10" s="5" t="s">
        <v>500</v>
      </c>
      <c r="Q10" s="11" t="s">
        <v>82</v>
      </c>
      <c r="R10" s="11" t="s">
        <v>82</v>
      </c>
      <c r="S10" s="11" t="s">
        <v>82</v>
      </c>
      <c r="T10" s="11" t="s">
        <v>83</v>
      </c>
      <c r="U10" s="5" t="s">
        <v>84</v>
      </c>
      <c r="V10" s="11" t="s">
        <v>501</v>
      </c>
      <c r="W10" s="11" t="s">
        <v>502</v>
      </c>
      <c r="X10" s="11" t="s">
        <v>503</v>
      </c>
      <c r="Y10" s="11" t="s">
        <v>88</v>
      </c>
      <c r="Z10" s="11" t="s">
        <v>504</v>
      </c>
    </row>
    <row r="11" spans="1:26">
      <c r="A11" s="11" t="s">
        <v>505</v>
      </c>
      <c r="B11" s="11" t="s">
        <v>70</v>
      </c>
      <c r="C11" s="12">
        <v>10104</v>
      </c>
      <c r="D11" s="12">
        <v>9611</v>
      </c>
      <c r="E11" s="11" t="s">
        <v>71</v>
      </c>
      <c r="F11" s="13" t="s">
        <v>506</v>
      </c>
      <c r="G11" s="14">
        <v>1</v>
      </c>
      <c r="H11" s="11" t="s">
        <v>73</v>
      </c>
      <c r="I11" s="11" t="s">
        <v>74</v>
      </c>
      <c r="J11" s="11" t="s">
        <v>75</v>
      </c>
      <c r="K11" s="11" t="s">
        <v>447</v>
      </c>
      <c r="L11" s="11" t="s">
        <v>488</v>
      </c>
      <c r="M11" s="5" t="s">
        <v>449</v>
      </c>
      <c r="N11" s="5" t="s">
        <v>507</v>
      </c>
      <c r="O11" s="5" t="s">
        <v>508</v>
      </c>
      <c r="P11" s="5" t="s">
        <v>509</v>
      </c>
      <c r="Q11" s="11" t="s">
        <v>82</v>
      </c>
      <c r="R11" s="11" t="s">
        <v>82</v>
      </c>
      <c r="S11" s="11" t="s">
        <v>82</v>
      </c>
      <c r="T11" s="11" t="s">
        <v>83</v>
      </c>
      <c r="U11" s="5" t="s">
        <v>84</v>
      </c>
      <c r="V11" s="11" t="s">
        <v>510</v>
      </c>
      <c r="W11" s="11" t="s">
        <v>511</v>
      </c>
      <c r="X11" s="11" t="s">
        <v>512</v>
      </c>
      <c r="Y11" s="11" t="s">
        <v>88</v>
      </c>
      <c r="Z11" s="11" t="s">
        <v>513</v>
      </c>
    </row>
    <row r="12" spans="1:26">
      <c r="A12" s="11" t="s">
        <v>514</v>
      </c>
      <c r="B12" s="11" t="s">
        <v>70</v>
      </c>
      <c r="C12" s="17">
        <v>6313</v>
      </c>
      <c r="D12" s="17">
        <v>10184</v>
      </c>
      <c r="E12" s="11" t="s">
        <v>71</v>
      </c>
      <c r="F12" s="13" t="s">
        <v>515</v>
      </c>
      <c r="G12" s="18" t="s">
        <v>516</v>
      </c>
      <c r="H12" s="11" t="s">
        <v>73</v>
      </c>
      <c r="I12" s="11" t="s">
        <v>74</v>
      </c>
      <c r="J12" s="11" t="s">
        <v>75</v>
      </c>
      <c r="K12" s="11" t="s">
        <v>479</v>
      </c>
      <c r="L12" s="11" t="s">
        <v>77</v>
      </c>
      <c r="M12" s="5" t="s">
        <v>517</v>
      </c>
      <c r="N12" s="5" t="s">
        <v>518</v>
      </c>
      <c r="O12" s="5" t="s">
        <v>519</v>
      </c>
      <c r="P12" s="5" t="s">
        <v>520</v>
      </c>
      <c r="Q12" s="11" t="s">
        <v>82</v>
      </c>
      <c r="R12" s="11" t="s">
        <v>82</v>
      </c>
      <c r="S12" s="11" t="s">
        <v>82</v>
      </c>
      <c r="T12" s="11" t="s">
        <v>83</v>
      </c>
      <c r="U12" s="5" t="s">
        <v>84</v>
      </c>
      <c r="V12" s="11" t="s">
        <v>521</v>
      </c>
      <c r="W12" s="11" t="s">
        <v>96</v>
      </c>
      <c r="X12" s="11" t="s">
        <v>97</v>
      </c>
      <c r="Y12" s="11" t="s">
        <v>88</v>
      </c>
      <c r="Z12" s="11" t="s">
        <v>522</v>
      </c>
    </row>
    <row r="13" spans="1:26">
      <c r="A13" s="11" t="s">
        <v>523</v>
      </c>
      <c r="B13" s="11" t="s">
        <v>70</v>
      </c>
      <c r="C13" s="12">
        <v>10594</v>
      </c>
      <c r="D13" s="12">
        <v>10660</v>
      </c>
      <c r="E13" s="11" t="s">
        <v>71</v>
      </c>
      <c r="F13" s="13" t="s">
        <v>524</v>
      </c>
      <c r="G13" s="14">
        <v>1</v>
      </c>
      <c r="H13" s="11" t="s">
        <v>73</v>
      </c>
      <c r="I13" s="11" t="s">
        <v>74</v>
      </c>
      <c r="J13" s="11" t="s">
        <v>75</v>
      </c>
      <c r="K13" s="11" t="s">
        <v>447</v>
      </c>
      <c r="L13" s="11" t="s">
        <v>488</v>
      </c>
      <c r="M13" s="5" t="s">
        <v>449</v>
      </c>
      <c r="N13" s="5" t="s">
        <v>525</v>
      </c>
      <c r="O13" s="5" t="s">
        <v>526</v>
      </c>
      <c r="P13" s="5" t="s">
        <v>527</v>
      </c>
      <c r="Q13" s="11" t="s">
        <v>82</v>
      </c>
      <c r="R13" s="11" t="s">
        <v>82</v>
      </c>
      <c r="S13" s="11" t="s">
        <v>82</v>
      </c>
      <c r="T13" s="11" t="s">
        <v>83</v>
      </c>
      <c r="U13" s="5" t="s">
        <v>84</v>
      </c>
      <c r="V13" s="11" t="s">
        <v>528</v>
      </c>
      <c r="W13" s="11" t="s">
        <v>529</v>
      </c>
      <c r="X13" s="11" t="s">
        <v>530</v>
      </c>
      <c r="Y13" s="11" t="s">
        <v>88</v>
      </c>
      <c r="Z13" s="11" t="s">
        <v>531</v>
      </c>
    </row>
    <row r="14" spans="1:26">
      <c r="A14" s="11" t="s">
        <v>532</v>
      </c>
      <c r="B14" s="11" t="s">
        <v>70</v>
      </c>
      <c r="C14" s="12">
        <v>11243</v>
      </c>
      <c r="D14" s="12">
        <v>10326</v>
      </c>
      <c r="E14" s="11" t="s">
        <v>71</v>
      </c>
      <c r="F14" s="13" t="s">
        <v>533</v>
      </c>
      <c r="G14" s="14">
        <v>1</v>
      </c>
      <c r="H14" s="11" t="s">
        <v>73</v>
      </c>
      <c r="I14" s="11" t="s">
        <v>74</v>
      </c>
      <c r="J14" s="11" t="s">
        <v>75</v>
      </c>
      <c r="K14" s="11" t="s">
        <v>447</v>
      </c>
      <c r="L14" s="11" t="s">
        <v>488</v>
      </c>
      <c r="M14" s="5" t="s">
        <v>449</v>
      </c>
      <c r="N14" s="5" t="s">
        <v>534</v>
      </c>
      <c r="O14" s="5" t="s">
        <v>535</v>
      </c>
      <c r="P14" s="5" t="s">
        <v>536</v>
      </c>
      <c r="Q14" s="11" t="s">
        <v>82</v>
      </c>
      <c r="R14" s="11" t="s">
        <v>82</v>
      </c>
      <c r="S14" s="11" t="s">
        <v>82</v>
      </c>
      <c r="T14" s="11" t="s">
        <v>83</v>
      </c>
      <c r="U14" s="5" t="s">
        <v>84</v>
      </c>
      <c r="V14" s="11" t="s">
        <v>537</v>
      </c>
      <c r="W14" s="11" t="s">
        <v>538</v>
      </c>
      <c r="X14" s="11" t="s">
        <v>539</v>
      </c>
      <c r="Y14" s="11" t="s">
        <v>88</v>
      </c>
      <c r="Z14" s="11" t="s">
        <v>540</v>
      </c>
    </row>
    <row r="15" spans="1:26">
      <c r="A15" s="11" t="s">
        <v>541</v>
      </c>
      <c r="B15" s="11" t="s">
        <v>70</v>
      </c>
      <c r="C15" s="12">
        <v>10357</v>
      </c>
      <c r="D15" s="12">
        <v>10104</v>
      </c>
      <c r="E15" s="11" t="s">
        <v>71</v>
      </c>
      <c r="F15" s="13" t="s">
        <v>542</v>
      </c>
      <c r="G15" s="14">
        <v>1</v>
      </c>
      <c r="H15" s="11" t="s">
        <v>73</v>
      </c>
      <c r="I15" s="11" t="s">
        <v>74</v>
      </c>
      <c r="J15" s="11" t="s">
        <v>75</v>
      </c>
      <c r="K15" s="11" t="s">
        <v>447</v>
      </c>
      <c r="L15" s="11" t="s">
        <v>488</v>
      </c>
      <c r="M15" s="5" t="s">
        <v>449</v>
      </c>
      <c r="N15" s="5" t="s">
        <v>543</v>
      </c>
      <c r="O15" s="5" t="s">
        <v>544</v>
      </c>
      <c r="P15" s="5" t="s">
        <v>545</v>
      </c>
      <c r="Q15" s="11" t="s">
        <v>82</v>
      </c>
      <c r="R15" s="11" t="s">
        <v>82</v>
      </c>
      <c r="S15" s="11" t="s">
        <v>82</v>
      </c>
      <c r="T15" s="11" t="s">
        <v>83</v>
      </c>
      <c r="U15" s="5" t="s">
        <v>84</v>
      </c>
      <c r="V15" s="11" t="s">
        <v>546</v>
      </c>
      <c r="W15" s="11" t="s">
        <v>547</v>
      </c>
      <c r="X15" s="11" t="s">
        <v>548</v>
      </c>
      <c r="Y15" s="11" t="s">
        <v>88</v>
      </c>
      <c r="Z15" s="11" t="s">
        <v>549</v>
      </c>
    </row>
    <row r="16" spans="1:26">
      <c r="A16" s="11" t="s">
        <v>550</v>
      </c>
      <c r="B16" s="11" t="s">
        <v>70</v>
      </c>
      <c r="C16" s="17">
        <v>12344</v>
      </c>
      <c r="D16" s="17">
        <v>6313</v>
      </c>
      <c r="E16" s="11" t="s">
        <v>71</v>
      </c>
      <c r="F16" s="13" t="s">
        <v>551</v>
      </c>
      <c r="G16" s="18" t="s">
        <v>552</v>
      </c>
      <c r="H16" s="11" t="s">
        <v>73</v>
      </c>
      <c r="I16" s="11" t="s">
        <v>74</v>
      </c>
      <c r="J16" s="11" t="s">
        <v>75</v>
      </c>
      <c r="K16" s="11" t="s">
        <v>479</v>
      </c>
      <c r="L16" s="11" t="s">
        <v>77</v>
      </c>
      <c r="M16" s="5" t="s">
        <v>553</v>
      </c>
      <c r="N16" s="5" t="s">
        <v>554</v>
      </c>
      <c r="O16" s="5" t="s">
        <v>555</v>
      </c>
      <c r="P16" s="5" t="s">
        <v>556</v>
      </c>
      <c r="Q16" s="11" t="s">
        <v>82</v>
      </c>
      <c r="R16" s="11" t="s">
        <v>82</v>
      </c>
      <c r="S16" s="11" t="s">
        <v>82</v>
      </c>
      <c r="T16" s="11" t="s">
        <v>83</v>
      </c>
      <c r="U16" s="5" t="s">
        <v>84</v>
      </c>
      <c r="V16" s="11" t="s">
        <v>557</v>
      </c>
      <c r="W16" s="11" t="s">
        <v>105</v>
      </c>
      <c r="X16" s="11" t="s">
        <v>106</v>
      </c>
      <c r="Y16" s="11" t="s">
        <v>88</v>
      </c>
      <c r="Z16" s="11" t="s">
        <v>558</v>
      </c>
    </row>
    <row r="17" spans="1:26">
      <c r="A17" s="11" t="s">
        <v>445</v>
      </c>
      <c r="B17" s="11" t="s">
        <v>108</v>
      </c>
      <c r="C17" s="12">
        <v>5551</v>
      </c>
      <c r="D17" s="12">
        <v>5108</v>
      </c>
      <c r="E17" s="11" t="s">
        <v>71</v>
      </c>
      <c r="F17" s="13" t="s">
        <v>446</v>
      </c>
      <c r="G17" s="14">
        <v>4</v>
      </c>
      <c r="H17" s="11" t="s">
        <v>73</v>
      </c>
      <c r="I17" s="11" t="s">
        <v>74</v>
      </c>
      <c r="J17" s="11" t="s">
        <v>75</v>
      </c>
      <c r="K17" s="11" t="s">
        <v>447</v>
      </c>
      <c r="L17" s="11" t="s">
        <v>448</v>
      </c>
      <c r="M17" s="5" t="s">
        <v>559</v>
      </c>
      <c r="N17" s="5" t="s">
        <v>560</v>
      </c>
      <c r="O17" s="5" t="s">
        <v>111</v>
      </c>
      <c r="P17" s="5" t="s">
        <v>452</v>
      </c>
      <c r="Q17" s="11" t="s">
        <v>82</v>
      </c>
      <c r="R17" s="11" t="s">
        <v>82</v>
      </c>
      <c r="S17" s="11" t="s">
        <v>82</v>
      </c>
      <c r="T17" s="11" t="s">
        <v>112</v>
      </c>
      <c r="U17" s="5" t="s">
        <v>561</v>
      </c>
      <c r="V17" s="11" t="s">
        <v>454</v>
      </c>
      <c r="W17" s="11" t="s">
        <v>455</v>
      </c>
      <c r="X17" s="11" t="s">
        <v>456</v>
      </c>
      <c r="Y17" s="11" t="s">
        <v>114</v>
      </c>
      <c r="Z17" s="11" t="s">
        <v>562</v>
      </c>
    </row>
    <row r="18" spans="1:26">
      <c r="A18" s="11" t="s">
        <v>458</v>
      </c>
      <c r="B18" s="11" t="s">
        <v>108</v>
      </c>
      <c r="C18" s="12">
        <v>5269</v>
      </c>
      <c r="D18" s="12">
        <v>4876</v>
      </c>
      <c r="E18" s="11" t="s">
        <v>71</v>
      </c>
      <c r="F18" s="13" t="s">
        <v>459</v>
      </c>
      <c r="G18" s="14">
        <v>4</v>
      </c>
      <c r="H18" s="11" t="s">
        <v>73</v>
      </c>
      <c r="I18" s="11" t="s">
        <v>74</v>
      </c>
      <c r="J18" s="11" t="s">
        <v>75</v>
      </c>
      <c r="K18" s="11" t="s">
        <v>447</v>
      </c>
      <c r="L18" s="11" t="s">
        <v>448</v>
      </c>
      <c r="M18" s="5" t="s">
        <v>559</v>
      </c>
      <c r="N18" s="5" t="s">
        <v>563</v>
      </c>
      <c r="O18" s="5" t="s">
        <v>564</v>
      </c>
      <c r="P18" s="5" t="s">
        <v>462</v>
      </c>
      <c r="Q18" s="11" t="s">
        <v>82</v>
      </c>
      <c r="R18" s="11" t="s">
        <v>82</v>
      </c>
      <c r="S18" s="11" t="s">
        <v>82</v>
      </c>
      <c r="T18" s="11" t="s">
        <v>112</v>
      </c>
      <c r="U18" s="5" t="s">
        <v>561</v>
      </c>
      <c r="V18" s="11" t="s">
        <v>463</v>
      </c>
      <c r="W18" s="11" t="s">
        <v>464</v>
      </c>
      <c r="X18" s="11" t="s">
        <v>465</v>
      </c>
      <c r="Y18" s="11" t="s">
        <v>114</v>
      </c>
      <c r="Z18" s="11" t="s">
        <v>565</v>
      </c>
    </row>
    <row r="19" spans="1:26">
      <c r="A19" s="11" t="s">
        <v>467</v>
      </c>
      <c r="B19" s="11" t="s">
        <v>108</v>
      </c>
      <c r="C19" s="12">
        <v>5272</v>
      </c>
      <c r="D19" s="12">
        <v>5046</v>
      </c>
      <c r="E19" s="11" t="s">
        <v>71</v>
      </c>
      <c r="F19" s="13" t="s">
        <v>468</v>
      </c>
      <c r="G19" s="14">
        <v>4</v>
      </c>
      <c r="H19" s="11" t="s">
        <v>73</v>
      </c>
      <c r="I19" s="11" t="s">
        <v>74</v>
      </c>
      <c r="J19" s="11" t="s">
        <v>75</v>
      </c>
      <c r="K19" s="11" t="s">
        <v>447</v>
      </c>
      <c r="L19" s="11" t="s">
        <v>448</v>
      </c>
      <c r="M19" s="5" t="s">
        <v>559</v>
      </c>
      <c r="N19" s="5" t="s">
        <v>566</v>
      </c>
      <c r="O19" s="5" t="s">
        <v>567</v>
      </c>
      <c r="P19" s="5" t="s">
        <v>471</v>
      </c>
      <c r="Q19" s="11" t="s">
        <v>82</v>
      </c>
      <c r="R19" s="11" t="s">
        <v>82</v>
      </c>
      <c r="S19" s="11" t="s">
        <v>82</v>
      </c>
      <c r="T19" s="11" t="s">
        <v>112</v>
      </c>
      <c r="U19" s="5" t="s">
        <v>113</v>
      </c>
      <c r="V19" s="11" t="s">
        <v>472</v>
      </c>
      <c r="W19" s="11" t="s">
        <v>473</v>
      </c>
      <c r="X19" s="11" t="s">
        <v>474</v>
      </c>
      <c r="Y19" s="11" t="s">
        <v>114</v>
      </c>
      <c r="Z19" s="11" t="s">
        <v>568</v>
      </c>
    </row>
    <row r="20" spans="1:26">
      <c r="A20" s="11" t="s">
        <v>476</v>
      </c>
      <c r="B20" s="11" t="s">
        <v>108</v>
      </c>
      <c r="C20" s="17">
        <v>5551</v>
      </c>
      <c r="D20" s="17">
        <v>5411</v>
      </c>
      <c r="E20" s="11" t="s">
        <v>71</v>
      </c>
      <c r="F20" s="13" t="s">
        <v>477</v>
      </c>
      <c r="G20" s="18" t="s">
        <v>478</v>
      </c>
      <c r="H20" s="11" t="s">
        <v>73</v>
      </c>
      <c r="I20" s="11" t="s">
        <v>74</v>
      </c>
      <c r="J20" s="11" t="s">
        <v>75</v>
      </c>
      <c r="K20" s="11" t="s">
        <v>479</v>
      </c>
      <c r="L20" s="11" t="s">
        <v>77</v>
      </c>
      <c r="M20" s="5" t="s">
        <v>569</v>
      </c>
      <c r="N20" s="5" t="s">
        <v>570</v>
      </c>
      <c r="O20" s="5" t="s">
        <v>571</v>
      </c>
      <c r="P20" s="5" t="s">
        <v>483</v>
      </c>
      <c r="Q20" s="11" t="s">
        <v>82</v>
      </c>
      <c r="R20" s="11" t="s">
        <v>82</v>
      </c>
      <c r="S20" s="11" t="s">
        <v>82</v>
      </c>
      <c r="T20" s="11" t="s">
        <v>112</v>
      </c>
      <c r="U20" s="5" t="s">
        <v>113</v>
      </c>
      <c r="V20" s="11" t="s">
        <v>484</v>
      </c>
      <c r="W20" s="11" t="s">
        <v>86</v>
      </c>
      <c r="X20" s="11" t="s">
        <v>87</v>
      </c>
      <c r="Y20" s="11" t="s">
        <v>114</v>
      </c>
      <c r="Z20" s="11" t="s">
        <v>572</v>
      </c>
    </row>
    <row r="21" spans="1:26">
      <c r="A21" s="11" t="s">
        <v>486</v>
      </c>
      <c r="B21" s="11" t="s">
        <v>108</v>
      </c>
      <c r="C21" s="12">
        <v>5789</v>
      </c>
      <c r="D21" s="12">
        <v>5551</v>
      </c>
      <c r="E21" s="11" t="s">
        <v>71</v>
      </c>
      <c r="F21" s="13" t="s">
        <v>487</v>
      </c>
      <c r="G21" s="14">
        <v>1</v>
      </c>
      <c r="H21" s="11" t="s">
        <v>73</v>
      </c>
      <c r="I21" s="11" t="s">
        <v>74</v>
      </c>
      <c r="J21" s="11" t="s">
        <v>75</v>
      </c>
      <c r="K21" s="11" t="s">
        <v>447</v>
      </c>
      <c r="L21" s="11" t="s">
        <v>488</v>
      </c>
      <c r="M21" s="5" t="s">
        <v>559</v>
      </c>
      <c r="N21" s="5" t="s">
        <v>573</v>
      </c>
      <c r="O21" s="5" t="s">
        <v>111</v>
      </c>
      <c r="P21" s="5" t="s">
        <v>491</v>
      </c>
      <c r="Q21" s="11" t="s">
        <v>82</v>
      </c>
      <c r="R21" s="11" t="s">
        <v>82</v>
      </c>
      <c r="S21" s="11" t="s">
        <v>82</v>
      </c>
      <c r="T21" s="11" t="s">
        <v>112</v>
      </c>
      <c r="U21" s="5" t="s">
        <v>113</v>
      </c>
      <c r="V21" s="11" t="s">
        <v>492</v>
      </c>
      <c r="W21" s="11" t="s">
        <v>493</v>
      </c>
      <c r="X21" s="11" t="s">
        <v>494</v>
      </c>
      <c r="Y21" s="11" t="s">
        <v>114</v>
      </c>
      <c r="Z21" s="11" t="s">
        <v>574</v>
      </c>
    </row>
    <row r="22" spans="1:26">
      <c r="A22" s="11" t="s">
        <v>496</v>
      </c>
      <c r="B22" s="11" t="s">
        <v>108</v>
      </c>
      <c r="C22" s="12">
        <v>5782</v>
      </c>
      <c r="D22" s="12">
        <v>5269</v>
      </c>
      <c r="E22" s="11" t="s">
        <v>71</v>
      </c>
      <c r="F22" s="13" t="s">
        <v>497</v>
      </c>
      <c r="G22" s="14">
        <v>1</v>
      </c>
      <c r="H22" s="11" t="s">
        <v>73</v>
      </c>
      <c r="I22" s="11" t="s">
        <v>74</v>
      </c>
      <c r="J22" s="11" t="s">
        <v>75</v>
      </c>
      <c r="K22" s="11" t="s">
        <v>447</v>
      </c>
      <c r="L22" s="11" t="s">
        <v>488</v>
      </c>
      <c r="M22" s="5" t="s">
        <v>559</v>
      </c>
      <c r="N22" s="5" t="s">
        <v>575</v>
      </c>
      <c r="O22" s="5" t="s">
        <v>576</v>
      </c>
      <c r="P22" s="5" t="s">
        <v>500</v>
      </c>
      <c r="Q22" s="11" t="s">
        <v>82</v>
      </c>
      <c r="R22" s="11" t="s">
        <v>82</v>
      </c>
      <c r="S22" s="11" t="s">
        <v>82</v>
      </c>
      <c r="T22" s="11" t="s">
        <v>112</v>
      </c>
      <c r="U22" s="5" t="s">
        <v>113</v>
      </c>
      <c r="V22" s="11" t="s">
        <v>501</v>
      </c>
      <c r="W22" s="11" t="s">
        <v>502</v>
      </c>
      <c r="X22" s="11" t="s">
        <v>503</v>
      </c>
      <c r="Y22" s="11" t="s">
        <v>114</v>
      </c>
      <c r="Z22" s="11" t="s">
        <v>577</v>
      </c>
    </row>
    <row r="23" spans="1:26">
      <c r="A23" s="11" t="s">
        <v>505</v>
      </c>
      <c r="B23" s="11" t="s">
        <v>108</v>
      </c>
      <c r="C23" s="12">
        <v>5631</v>
      </c>
      <c r="D23" s="12">
        <v>5272</v>
      </c>
      <c r="E23" s="11" t="s">
        <v>71</v>
      </c>
      <c r="F23" s="13" t="s">
        <v>506</v>
      </c>
      <c r="G23" s="14">
        <v>1</v>
      </c>
      <c r="H23" s="11" t="s">
        <v>73</v>
      </c>
      <c r="I23" s="11" t="s">
        <v>74</v>
      </c>
      <c r="J23" s="11" t="s">
        <v>75</v>
      </c>
      <c r="K23" s="11" t="s">
        <v>447</v>
      </c>
      <c r="L23" s="11" t="s">
        <v>488</v>
      </c>
      <c r="M23" s="5" t="s">
        <v>559</v>
      </c>
      <c r="N23" s="5" t="s">
        <v>578</v>
      </c>
      <c r="O23" s="5" t="s">
        <v>579</v>
      </c>
      <c r="P23" s="5" t="s">
        <v>509</v>
      </c>
      <c r="Q23" s="11" t="s">
        <v>82</v>
      </c>
      <c r="R23" s="11" t="s">
        <v>82</v>
      </c>
      <c r="S23" s="11" t="s">
        <v>82</v>
      </c>
      <c r="T23" s="11" t="s">
        <v>112</v>
      </c>
      <c r="U23" s="5" t="s">
        <v>113</v>
      </c>
      <c r="V23" s="11" t="s">
        <v>510</v>
      </c>
      <c r="W23" s="11" t="s">
        <v>511</v>
      </c>
      <c r="X23" s="11" t="s">
        <v>512</v>
      </c>
      <c r="Y23" s="11" t="s">
        <v>114</v>
      </c>
      <c r="Z23" s="11" t="s">
        <v>580</v>
      </c>
    </row>
    <row r="24" spans="1:26">
      <c r="A24" s="11" t="s">
        <v>514</v>
      </c>
      <c r="B24" s="11" t="s">
        <v>108</v>
      </c>
      <c r="C24" s="17">
        <v>3960</v>
      </c>
      <c r="D24" s="17">
        <v>5551</v>
      </c>
      <c r="E24" s="11" t="s">
        <v>71</v>
      </c>
      <c r="F24" s="13" t="s">
        <v>515</v>
      </c>
      <c r="G24" s="18" t="s">
        <v>516</v>
      </c>
      <c r="H24" s="11" t="s">
        <v>73</v>
      </c>
      <c r="I24" s="11" t="s">
        <v>74</v>
      </c>
      <c r="J24" s="11" t="s">
        <v>75</v>
      </c>
      <c r="K24" s="11" t="s">
        <v>479</v>
      </c>
      <c r="L24" s="11" t="s">
        <v>77</v>
      </c>
      <c r="M24" s="5" t="s">
        <v>581</v>
      </c>
      <c r="N24" s="5" t="s">
        <v>582</v>
      </c>
      <c r="O24" s="5" t="s">
        <v>583</v>
      </c>
      <c r="P24" s="5" t="s">
        <v>520</v>
      </c>
      <c r="Q24" s="11" t="s">
        <v>82</v>
      </c>
      <c r="R24" s="11" t="s">
        <v>82</v>
      </c>
      <c r="S24" s="11" t="s">
        <v>82</v>
      </c>
      <c r="T24" s="11" t="s">
        <v>112</v>
      </c>
      <c r="U24" s="5" t="s">
        <v>113</v>
      </c>
      <c r="V24" s="11" t="s">
        <v>521</v>
      </c>
      <c r="W24" s="11" t="s">
        <v>96</v>
      </c>
      <c r="X24" s="11" t="s">
        <v>97</v>
      </c>
      <c r="Y24" s="11" t="s">
        <v>114</v>
      </c>
      <c r="Z24" s="11" t="s">
        <v>584</v>
      </c>
    </row>
    <row r="25" spans="1:26">
      <c r="A25" s="11" t="s">
        <v>523</v>
      </c>
      <c r="B25" s="11" t="s">
        <v>108</v>
      </c>
      <c r="C25" s="12">
        <v>5853</v>
      </c>
      <c r="D25" s="12">
        <v>5789</v>
      </c>
      <c r="E25" s="11" t="s">
        <v>71</v>
      </c>
      <c r="F25" s="13" t="s">
        <v>524</v>
      </c>
      <c r="G25" s="14">
        <v>1</v>
      </c>
      <c r="H25" s="11" t="s">
        <v>73</v>
      </c>
      <c r="I25" s="11" t="s">
        <v>74</v>
      </c>
      <c r="J25" s="11" t="s">
        <v>75</v>
      </c>
      <c r="K25" s="11" t="s">
        <v>447</v>
      </c>
      <c r="L25" s="11" t="s">
        <v>488</v>
      </c>
      <c r="M25" s="5" t="s">
        <v>559</v>
      </c>
      <c r="N25" s="5" t="s">
        <v>585</v>
      </c>
      <c r="O25" s="5" t="s">
        <v>111</v>
      </c>
      <c r="P25" s="5" t="s">
        <v>527</v>
      </c>
      <c r="Q25" s="11" t="s">
        <v>82</v>
      </c>
      <c r="R25" s="11" t="s">
        <v>82</v>
      </c>
      <c r="S25" s="11" t="s">
        <v>82</v>
      </c>
      <c r="T25" s="11" t="s">
        <v>112</v>
      </c>
      <c r="U25" s="5" t="s">
        <v>113</v>
      </c>
      <c r="V25" s="11" t="s">
        <v>528</v>
      </c>
      <c r="W25" s="11" t="s">
        <v>529</v>
      </c>
      <c r="X25" s="11" t="s">
        <v>530</v>
      </c>
      <c r="Y25" s="11" t="s">
        <v>114</v>
      </c>
      <c r="Z25" s="11" t="s">
        <v>586</v>
      </c>
    </row>
    <row r="26" spans="1:26">
      <c r="A26" s="11" t="s">
        <v>532</v>
      </c>
      <c r="B26" s="11" t="s">
        <v>108</v>
      </c>
      <c r="C26" s="12">
        <v>6396</v>
      </c>
      <c r="D26" s="12">
        <v>5782</v>
      </c>
      <c r="E26" s="11" t="s">
        <v>71</v>
      </c>
      <c r="F26" s="13" t="s">
        <v>533</v>
      </c>
      <c r="G26" s="14">
        <v>1</v>
      </c>
      <c r="H26" s="11" t="s">
        <v>73</v>
      </c>
      <c r="I26" s="11" t="s">
        <v>74</v>
      </c>
      <c r="J26" s="11" t="s">
        <v>75</v>
      </c>
      <c r="K26" s="11" t="s">
        <v>447</v>
      </c>
      <c r="L26" s="11" t="s">
        <v>488</v>
      </c>
      <c r="M26" s="5" t="s">
        <v>559</v>
      </c>
      <c r="N26" s="5" t="s">
        <v>587</v>
      </c>
      <c r="O26" s="5" t="s">
        <v>588</v>
      </c>
      <c r="P26" s="5" t="s">
        <v>536</v>
      </c>
      <c r="Q26" s="11" t="s">
        <v>82</v>
      </c>
      <c r="R26" s="11" t="s">
        <v>82</v>
      </c>
      <c r="S26" s="11" t="s">
        <v>82</v>
      </c>
      <c r="T26" s="11" t="s">
        <v>112</v>
      </c>
      <c r="U26" s="5" t="s">
        <v>113</v>
      </c>
      <c r="V26" s="11" t="s">
        <v>537</v>
      </c>
      <c r="W26" s="11" t="s">
        <v>538</v>
      </c>
      <c r="X26" s="11" t="s">
        <v>539</v>
      </c>
      <c r="Y26" s="11" t="s">
        <v>114</v>
      </c>
      <c r="Z26" s="11" t="s">
        <v>589</v>
      </c>
    </row>
    <row r="27" spans="1:26">
      <c r="A27" s="11" t="s">
        <v>541</v>
      </c>
      <c r="B27" s="11" t="s">
        <v>108</v>
      </c>
      <c r="C27" s="12">
        <v>5638</v>
      </c>
      <c r="D27" s="12">
        <v>5631</v>
      </c>
      <c r="E27" s="11" t="s">
        <v>71</v>
      </c>
      <c r="F27" s="13" t="s">
        <v>542</v>
      </c>
      <c r="G27" s="14">
        <v>1</v>
      </c>
      <c r="H27" s="11" t="s">
        <v>73</v>
      </c>
      <c r="I27" s="11" t="s">
        <v>74</v>
      </c>
      <c r="J27" s="11" t="s">
        <v>75</v>
      </c>
      <c r="K27" s="11" t="s">
        <v>447</v>
      </c>
      <c r="L27" s="11" t="s">
        <v>488</v>
      </c>
      <c r="M27" s="5" t="s">
        <v>559</v>
      </c>
      <c r="N27" s="5" t="s">
        <v>590</v>
      </c>
      <c r="O27" s="5" t="s">
        <v>591</v>
      </c>
      <c r="P27" s="5" t="s">
        <v>545</v>
      </c>
      <c r="Q27" s="11" t="s">
        <v>82</v>
      </c>
      <c r="R27" s="11" t="s">
        <v>82</v>
      </c>
      <c r="S27" s="11" t="s">
        <v>82</v>
      </c>
      <c r="T27" s="11" t="s">
        <v>112</v>
      </c>
      <c r="U27" s="5" t="s">
        <v>113</v>
      </c>
      <c r="V27" s="11" t="s">
        <v>546</v>
      </c>
      <c r="W27" s="11" t="s">
        <v>547</v>
      </c>
      <c r="X27" s="11" t="s">
        <v>548</v>
      </c>
      <c r="Y27" s="11" t="s">
        <v>114</v>
      </c>
      <c r="Z27" s="11" t="s">
        <v>592</v>
      </c>
    </row>
    <row r="28" spans="1:26">
      <c r="A28" s="11" t="s">
        <v>550</v>
      </c>
      <c r="B28" s="11" t="s">
        <v>108</v>
      </c>
      <c r="C28" s="17">
        <v>6689</v>
      </c>
      <c r="D28" s="17">
        <v>3960</v>
      </c>
      <c r="E28" s="11" t="s">
        <v>71</v>
      </c>
      <c r="F28" s="13" t="s">
        <v>551</v>
      </c>
      <c r="G28" s="18" t="s">
        <v>552</v>
      </c>
      <c r="H28" s="11" t="s">
        <v>73</v>
      </c>
      <c r="I28" s="11" t="s">
        <v>74</v>
      </c>
      <c r="J28" s="11" t="s">
        <v>75</v>
      </c>
      <c r="K28" s="11" t="s">
        <v>479</v>
      </c>
      <c r="L28" s="11" t="s">
        <v>77</v>
      </c>
      <c r="M28" s="5" t="s">
        <v>593</v>
      </c>
      <c r="N28" s="5" t="s">
        <v>594</v>
      </c>
      <c r="O28" s="5" t="s">
        <v>555</v>
      </c>
      <c r="P28" s="5" t="s">
        <v>556</v>
      </c>
      <c r="Q28" s="11" t="s">
        <v>82</v>
      </c>
      <c r="R28" s="11" t="s">
        <v>82</v>
      </c>
      <c r="S28" s="11" t="s">
        <v>82</v>
      </c>
      <c r="T28" s="11" t="s">
        <v>112</v>
      </c>
      <c r="U28" s="5" t="s">
        <v>113</v>
      </c>
      <c r="V28" s="11" t="s">
        <v>557</v>
      </c>
      <c r="W28" s="11" t="s">
        <v>105</v>
      </c>
      <c r="X28" s="11" t="s">
        <v>106</v>
      </c>
      <c r="Y28" s="11" t="s">
        <v>114</v>
      </c>
      <c r="Z28" s="11" t="s">
        <v>595</v>
      </c>
    </row>
    <row r="29" spans="1:26">
      <c r="A29" s="11" t="s">
        <v>445</v>
      </c>
      <c r="B29" s="11" t="s">
        <v>120</v>
      </c>
      <c r="C29" s="12">
        <v>4397</v>
      </c>
      <c r="D29" s="12">
        <v>3962</v>
      </c>
      <c r="E29" s="11" t="s">
        <v>71</v>
      </c>
      <c r="F29" s="13" t="s">
        <v>446</v>
      </c>
      <c r="G29" s="14">
        <v>4</v>
      </c>
      <c r="H29" s="11" t="s">
        <v>73</v>
      </c>
      <c r="I29" s="11" t="s">
        <v>74</v>
      </c>
      <c r="J29" s="11" t="s">
        <v>75</v>
      </c>
      <c r="K29" s="11" t="s">
        <v>447</v>
      </c>
      <c r="L29" s="11" t="s">
        <v>448</v>
      </c>
      <c r="M29" s="5" t="s">
        <v>596</v>
      </c>
      <c r="N29" s="5" t="s">
        <v>597</v>
      </c>
      <c r="O29" s="5" t="s">
        <v>598</v>
      </c>
      <c r="P29" s="5" t="s">
        <v>452</v>
      </c>
      <c r="Q29" s="11" t="s">
        <v>82</v>
      </c>
      <c r="R29" s="11" t="s">
        <v>82</v>
      </c>
      <c r="S29" s="11" t="s">
        <v>82</v>
      </c>
      <c r="T29" s="11" t="s">
        <v>123</v>
      </c>
      <c r="U29" s="5" t="s">
        <v>124</v>
      </c>
      <c r="V29" s="11" t="s">
        <v>454</v>
      </c>
      <c r="W29" s="11" t="s">
        <v>455</v>
      </c>
      <c r="X29" s="11" t="s">
        <v>456</v>
      </c>
      <c r="Y29" s="11" t="s">
        <v>125</v>
      </c>
      <c r="Z29" s="11" t="s">
        <v>599</v>
      </c>
    </row>
    <row r="30" spans="1:26">
      <c r="A30" s="11" t="s">
        <v>458</v>
      </c>
      <c r="B30" s="11" t="s">
        <v>120</v>
      </c>
      <c r="C30" s="12">
        <v>4105</v>
      </c>
      <c r="D30" s="12">
        <v>3678</v>
      </c>
      <c r="E30" s="11" t="s">
        <v>71</v>
      </c>
      <c r="F30" s="13" t="s">
        <v>459</v>
      </c>
      <c r="G30" s="14">
        <v>4</v>
      </c>
      <c r="H30" s="11" t="s">
        <v>73</v>
      </c>
      <c r="I30" s="11" t="s">
        <v>74</v>
      </c>
      <c r="J30" s="11" t="s">
        <v>75</v>
      </c>
      <c r="K30" s="11" t="s">
        <v>447</v>
      </c>
      <c r="L30" s="11" t="s">
        <v>448</v>
      </c>
      <c r="M30" s="5" t="s">
        <v>596</v>
      </c>
      <c r="N30" s="5" t="s">
        <v>600</v>
      </c>
      <c r="O30" s="5" t="s">
        <v>601</v>
      </c>
      <c r="P30" s="5" t="s">
        <v>462</v>
      </c>
      <c r="Q30" s="11" t="s">
        <v>82</v>
      </c>
      <c r="R30" s="11" t="s">
        <v>82</v>
      </c>
      <c r="S30" s="11" t="s">
        <v>82</v>
      </c>
      <c r="T30" s="11" t="s">
        <v>123</v>
      </c>
      <c r="U30" s="5" t="s">
        <v>124</v>
      </c>
      <c r="V30" s="11" t="s">
        <v>463</v>
      </c>
      <c r="W30" s="11" t="s">
        <v>464</v>
      </c>
      <c r="X30" s="11" t="s">
        <v>465</v>
      </c>
      <c r="Y30" s="11" t="s">
        <v>125</v>
      </c>
      <c r="Z30" s="11" t="s">
        <v>602</v>
      </c>
    </row>
    <row r="31" spans="1:26">
      <c r="A31" s="11" t="s">
        <v>467</v>
      </c>
      <c r="B31" s="11" t="s">
        <v>120</v>
      </c>
      <c r="C31" s="12">
        <v>4339</v>
      </c>
      <c r="D31" s="12">
        <v>3938</v>
      </c>
      <c r="E31" s="11" t="s">
        <v>71</v>
      </c>
      <c r="F31" s="13" t="s">
        <v>468</v>
      </c>
      <c r="G31" s="14">
        <v>4</v>
      </c>
      <c r="H31" s="11" t="s">
        <v>73</v>
      </c>
      <c r="I31" s="11" t="s">
        <v>74</v>
      </c>
      <c r="J31" s="11" t="s">
        <v>75</v>
      </c>
      <c r="K31" s="11" t="s">
        <v>447</v>
      </c>
      <c r="L31" s="11" t="s">
        <v>448</v>
      </c>
      <c r="M31" s="5" t="s">
        <v>596</v>
      </c>
      <c r="N31" s="5" t="s">
        <v>603</v>
      </c>
      <c r="O31" s="5" t="s">
        <v>604</v>
      </c>
      <c r="P31" s="5" t="s">
        <v>471</v>
      </c>
      <c r="Q31" s="11" t="s">
        <v>82</v>
      </c>
      <c r="R31" s="11" t="s">
        <v>82</v>
      </c>
      <c r="S31" s="11" t="s">
        <v>82</v>
      </c>
      <c r="T31" s="11" t="s">
        <v>123</v>
      </c>
      <c r="U31" s="5" t="s">
        <v>124</v>
      </c>
      <c r="V31" s="11" t="s">
        <v>472</v>
      </c>
      <c r="W31" s="11" t="s">
        <v>473</v>
      </c>
      <c r="X31" s="11" t="s">
        <v>474</v>
      </c>
      <c r="Y31" s="11" t="s">
        <v>125</v>
      </c>
      <c r="Z31" s="11" t="s">
        <v>605</v>
      </c>
    </row>
    <row r="32" spans="1:26">
      <c r="A32" s="11" t="s">
        <v>476</v>
      </c>
      <c r="B32" s="11" t="s">
        <v>120</v>
      </c>
      <c r="C32" s="17">
        <v>4633</v>
      </c>
      <c r="D32" s="17">
        <v>4378</v>
      </c>
      <c r="E32" s="11" t="s">
        <v>71</v>
      </c>
      <c r="F32" s="13" t="s">
        <v>477</v>
      </c>
      <c r="G32" s="18" t="s">
        <v>478</v>
      </c>
      <c r="H32" s="11" t="s">
        <v>73</v>
      </c>
      <c r="I32" s="11" t="s">
        <v>74</v>
      </c>
      <c r="J32" s="11" t="s">
        <v>75</v>
      </c>
      <c r="K32" s="11" t="s">
        <v>479</v>
      </c>
      <c r="L32" s="11" t="s">
        <v>77</v>
      </c>
      <c r="M32" s="5" t="s">
        <v>606</v>
      </c>
      <c r="N32" s="5" t="s">
        <v>607</v>
      </c>
      <c r="O32" s="5" t="s">
        <v>482</v>
      </c>
      <c r="P32" s="5" t="s">
        <v>483</v>
      </c>
      <c r="Q32" s="11" t="s">
        <v>82</v>
      </c>
      <c r="R32" s="11" t="s">
        <v>82</v>
      </c>
      <c r="S32" s="11" t="s">
        <v>82</v>
      </c>
      <c r="T32" s="11" t="s">
        <v>123</v>
      </c>
      <c r="U32" s="5" t="s">
        <v>124</v>
      </c>
      <c r="V32" s="11" t="s">
        <v>484</v>
      </c>
      <c r="W32" s="11" t="s">
        <v>86</v>
      </c>
      <c r="X32" s="11" t="s">
        <v>87</v>
      </c>
      <c r="Y32" s="11" t="s">
        <v>125</v>
      </c>
      <c r="Z32" s="11" t="s">
        <v>608</v>
      </c>
    </row>
    <row r="33" spans="1:26">
      <c r="A33" s="11" t="s">
        <v>486</v>
      </c>
      <c r="B33" s="11" t="s">
        <v>120</v>
      </c>
      <c r="C33" s="12">
        <v>4871</v>
      </c>
      <c r="D33" s="12">
        <v>4397</v>
      </c>
      <c r="E33" s="11" t="s">
        <v>71</v>
      </c>
      <c r="F33" s="13" t="s">
        <v>487</v>
      </c>
      <c r="G33" s="14">
        <v>1</v>
      </c>
      <c r="H33" s="11" t="s">
        <v>73</v>
      </c>
      <c r="I33" s="11" t="s">
        <v>74</v>
      </c>
      <c r="J33" s="11" t="s">
        <v>75</v>
      </c>
      <c r="K33" s="11" t="s">
        <v>447</v>
      </c>
      <c r="L33" s="11" t="s">
        <v>488</v>
      </c>
      <c r="M33" s="5" t="s">
        <v>596</v>
      </c>
      <c r="N33" s="5" t="s">
        <v>609</v>
      </c>
      <c r="O33" s="5" t="s">
        <v>610</v>
      </c>
      <c r="P33" s="5" t="s">
        <v>491</v>
      </c>
      <c r="Q33" s="11" t="s">
        <v>82</v>
      </c>
      <c r="R33" s="11" t="s">
        <v>82</v>
      </c>
      <c r="S33" s="11" t="s">
        <v>82</v>
      </c>
      <c r="T33" s="11" t="s">
        <v>123</v>
      </c>
      <c r="U33" s="5" t="s">
        <v>124</v>
      </c>
      <c r="V33" s="11" t="s">
        <v>492</v>
      </c>
      <c r="W33" s="11" t="s">
        <v>493</v>
      </c>
      <c r="X33" s="11" t="s">
        <v>494</v>
      </c>
      <c r="Y33" s="11" t="s">
        <v>125</v>
      </c>
      <c r="Z33" s="11" t="s">
        <v>611</v>
      </c>
    </row>
    <row r="34" spans="1:26">
      <c r="A34" s="11" t="s">
        <v>496</v>
      </c>
      <c r="B34" s="11" t="s">
        <v>120</v>
      </c>
      <c r="C34" s="12">
        <v>4544</v>
      </c>
      <c r="D34" s="12">
        <v>4105</v>
      </c>
      <c r="E34" s="11" t="s">
        <v>71</v>
      </c>
      <c r="F34" s="13" t="s">
        <v>497</v>
      </c>
      <c r="G34" s="14">
        <v>1</v>
      </c>
      <c r="H34" s="11" t="s">
        <v>73</v>
      </c>
      <c r="I34" s="11" t="s">
        <v>74</v>
      </c>
      <c r="J34" s="11" t="s">
        <v>75</v>
      </c>
      <c r="K34" s="11" t="s">
        <v>447</v>
      </c>
      <c r="L34" s="11" t="s">
        <v>488</v>
      </c>
      <c r="M34" s="5" t="s">
        <v>596</v>
      </c>
      <c r="N34" s="5" t="s">
        <v>612</v>
      </c>
      <c r="O34" s="5" t="s">
        <v>613</v>
      </c>
      <c r="P34" s="5" t="s">
        <v>500</v>
      </c>
      <c r="Q34" s="11" t="s">
        <v>82</v>
      </c>
      <c r="R34" s="11" t="s">
        <v>82</v>
      </c>
      <c r="S34" s="11" t="s">
        <v>82</v>
      </c>
      <c r="T34" s="11" t="s">
        <v>123</v>
      </c>
      <c r="U34" s="5" t="s">
        <v>124</v>
      </c>
      <c r="V34" s="11" t="s">
        <v>501</v>
      </c>
      <c r="W34" s="11" t="s">
        <v>502</v>
      </c>
      <c r="X34" s="11" t="s">
        <v>503</v>
      </c>
      <c r="Y34" s="11" t="s">
        <v>125</v>
      </c>
      <c r="Z34" s="11" t="s">
        <v>614</v>
      </c>
    </row>
    <row r="35" spans="1:26">
      <c r="A35" s="11" t="s">
        <v>505</v>
      </c>
      <c r="B35" s="11" t="s">
        <v>120</v>
      </c>
      <c r="C35" s="12">
        <v>4473</v>
      </c>
      <c r="D35" s="12">
        <v>4339</v>
      </c>
      <c r="E35" s="11" t="s">
        <v>71</v>
      </c>
      <c r="F35" s="13" t="s">
        <v>506</v>
      </c>
      <c r="G35" s="14">
        <v>1</v>
      </c>
      <c r="H35" s="11" t="s">
        <v>73</v>
      </c>
      <c r="I35" s="11" t="s">
        <v>74</v>
      </c>
      <c r="J35" s="11" t="s">
        <v>75</v>
      </c>
      <c r="K35" s="11" t="s">
        <v>447</v>
      </c>
      <c r="L35" s="11" t="s">
        <v>488</v>
      </c>
      <c r="M35" s="5" t="s">
        <v>596</v>
      </c>
      <c r="N35" s="5" t="s">
        <v>615</v>
      </c>
      <c r="O35" s="5" t="s">
        <v>616</v>
      </c>
      <c r="P35" s="5" t="s">
        <v>509</v>
      </c>
      <c r="Q35" s="11" t="s">
        <v>82</v>
      </c>
      <c r="R35" s="11" t="s">
        <v>82</v>
      </c>
      <c r="S35" s="11" t="s">
        <v>82</v>
      </c>
      <c r="T35" s="11" t="s">
        <v>123</v>
      </c>
      <c r="U35" s="5" t="s">
        <v>124</v>
      </c>
      <c r="V35" s="11" t="s">
        <v>510</v>
      </c>
      <c r="W35" s="11" t="s">
        <v>511</v>
      </c>
      <c r="X35" s="11" t="s">
        <v>512</v>
      </c>
      <c r="Y35" s="11" t="s">
        <v>125</v>
      </c>
      <c r="Z35" s="11" t="s">
        <v>617</v>
      </c>
    </row>
    <row r="36" spans="1:26">
      <c r="A36" s="11" t="s">
        <v>514</v>
      </c>
      <c r="B36" s="11" t="s">
        <v>120</v>
      </c>
      <c r="C36" s="17">
        <v>2353</v>
      </c>
      <c r="D36" s="17">
        <v>4633</v>
      </c>
      <c r="E36" s="11" t="s">
        <v>71</v>
      </c>
      <c r="F36" s="13" t="s">
        <v>515</v>
      </c>
      <c r="G36" s="18" t="s">
        <v>516</v>
      </c>
      <c r="H36" s="11" t="s">
        <v>73</v>
      </c>
      <c r="I36" s="11" t="s">
        <v>74</v>
      </c>
      <c r="J36" s="11" t="s">
        <v>75</v>
      </c>
      <c r="K36" s="11" t="s">
        <v>479</v>
      </c>
      <c r="L36" s="11" t="s">
        <v>77</v>
      </c>
      <c r="M36" s="5" t="s">
        <v>618</v>
      </c>
      <c r="N36" s="5" t="s">
        <v>619</v>
      </c>
      <c r="O36" s="5" t="s">
        <v>519</v>
      </c>
      <c r="P36" s="5" t="s">
        <v>520</v>
      </c>
      <c r="Q36" s="11" t="s">
        <v>82</v>
      </c>
      <c r="R36" s="11" t="s">
        <v>82</v>
      </c>
      <c r="S36" s="11" t="s">
        <v>82</v>
      </c>
      <c r="T36" s="11" t="s">
        <v>123</v>
      </c>
      <c r="U36" s="5" t="s">
        <v>124</v>
      </c>
      <c r="V36" s="11" t="s">
        <v>521</v>
      </c>
      <c r="W36" s="11" t="s">
        <v>96</v>
      </c>
      <c r="X36" s="11" t="s">
        <v>97</v>
      </c>
      <c r="Y36" s="11" t="s">
        <v>125</v>
      </c>
      <c r="Z36" s="11" t="s">
        <v>620</v>
      </c>
    </row>
    <row r="37" spans="1:26">
      <c r="A37" s="11" t="s">
        <v>523</v>
      </c>
      <c r="B37" s="11" t="s">
        <v>120</v>
      </c>
      <c r="C37" s="12">
        <v>4741</v>
      </c>
      <c r="D37" s="12">
        <v>4871</v>
      </c>
      <c r="E37" s="11" t="s">
        <v>71</v>
      </c>
      <c r="F37" s="13" t="s">
        <v>524</v>
      </c>
      <c r="G37" s="14">
        <v>1</v>
      </c>
      <c r="H37" s="11" t="s">
        <v>73</v>
      </c>
      <c r="I37" s="11" t="s">
        <v>74</v>
      </c>
      <c r="J37" s="11" t="s">
        <v>75</v>
      </c>
      <c r="K37" s="11" t="s">
        <v>447</v>
      </c>
      <c r="L37" s="11" t="s">
        <v>488</v>
      </c>
      <c r="M37" s="5" t="s">
        <v>596</v>
      </c>
      <c r="N37" s="5" t="s">
        <v>621</v>
      </c>
      <c r="O37" s="5" t="s">
        <v>111</v>
      </c>
      <c r="P37" s="5" t="s">
        <v>527</v>
      </c>
      <c r="Q37" s="11" t="s">
        <v>82</v>
      </c>
      <c r="R37" s="11" t="s">
        <v>82</v>
      </c>
      <c r="S37" s="11" t="s">
        <v>82</v>
      </c>
      <c r="T37" s="11" t="s">
        <v>123</v>
      </c>
      <c r="U37" s="5" t="s">
        <v>124</v>
      </c>
      <c r="V37" s="11" t="s">
        <v>528</v>
      </c>
      <c r="W37" s="11" t="s">
        <v>529</v>
      </c>
      <c r="X37" s="11" t="s">
        <v>530</v>
      </c>
      <c r="Y37" s="11" t="s">
        <v>125</v>
      </c>
      <c r="Z37" s="11" t="s">
        <v>622</v>
      </c>
    </row>
    <row r="38" spans="1:26">
      <c r="A38" s="11" t="s">
        <v>532</v>
      </c>
      <c r="B38" s="11" t="s">
        <v>120</v>
      </c>
      <c r="C38" s="12">
        <v>4847</v>
      </c>
      <c r="D38" s="12">
        <v>4544</v>
      </c>
      <c r="E38" s="11" t="s">
        <v>71</v>
      </c>
      <c r="F38" s="13" t="s">
        <v>533</v>
      </c>
      <c r="G38" s="14">
        <v>1</v>
      </c>
      <c r="H38" s="11" t="s">
        <v>73</v>
      </c>
      <c r="I38" s="11" t="s">
        <v>74</v>
      </c>
      <c r="J38" s="11" t="s">
        <v>75</v>
      </c>
      <c r="K38" s="11" t="s">
        <v>447</v>
      </c>
      <c r="L38" s="11" t="s">
        <v>488</v>
      </c>
      <c r="M38" s="5" t="s">
        <v>596</v>
      </c>
      <c r="N38" s="5" t="s">
        <v>623</v>
      </c>
      <c r="O38" s="5" t="s">
        <v>588</v>
      </c>
      <c r="P38" s="5" t="s">
        <v>536</v>
      </c>
      <c r="Q38" s="11" t="s">
        <v>82</v>
      </c>
      <c r="R38" s="11" t="s">
        <v>82</v>
      </c>
      <c r="S38" s="11" t="s">
        <v>82</v>
      </c>
      <c r="T38" s="11" t="s">
        <v>123</v>
      </c>
      <c r="U38" s="5" t="s">
        <v>124</v>
      </c>
      <c r="V38" s="11" t="s">
        <v>537</v>
      </c>
      <c r="W38" s="11" t="s">
        <v>538</v>
      </c>
      <c r="X38" s="11" t="s">
        <v>539</v>
      </c>
      <c r="Y38" s="11" t="s">
        <v>125</v>
      </c>
      <c r="Z38" s="11" t="s">
        <v>624</v>
      </c>
    </row>
    <row r="39" spans="1:26">
      <c r="A39" s="11" t="s">
        <v>541</v>
      </c>
      <c r="B39" s="11" t="s">
        <v>120</v>
      </c>
      <c r="C39" s="12">
        <v>4719</v>
      </c>
      <c r="D39" s="12">
        <v>4473</v>
      </c>
      <c r="E39" s="11" t="s">
        <v>71</v>
      </c>
      <c r="F39" s="13" t="s">
        <v>542</v>
      </c>
      <c r="G39" s="14">
        <v>1</v>
      </c>
      <c r="H39" s="11" t="s">
        <v>73</v>
      </c>
      <c r="I39" s="11" t="s">
        <v>74</v>
      </c>
      <c r="J39" s="11" t="s">
        <v>75</v>
      </c>
      <c r="K39" s="11" t="s">
        <v>447</v>
      </c>
      <c r="L39" s="11" t="s">
        <v>488</v>
      </c>
      <c r="M39" s="5" t="s">
        <v>596</v>
      </c>
      <c r="N39" s="5" t="s">
        <v>625</v>
      </c>
      <c r="O39" s="5" t="s">
        <v>591</v>
      </c>
      <c r="P39" s="5" t="s">
        <v>545</v>
      </c>
      <c r="Q39" s="11" t="s">
        <v>82</v>
      </c>
      <c r="R39" s="11" t="s">
        <v>82</v>
      </c>
      <c r="S39" s="11" t="s">
        <v>82</v>
      </c>
      <c r="T39" s="11" t="s">
        <v>123</v>
      </c>
      <c r="U39" s="5" t="s">
        <v>124</v>
      </c>
      <c r="V39" s="11" t="s">
        <v>546</v>
      </c>
      <c r="W39" s="11" t="s">
        <v>547</v>
      </c>
      <c r="X39" s="11" t="s">
        <v>548</v>
      </c>
      <c r="Y39" s="11" t="s">
        <v>125</v>
      </c>
      <c r="Z39" s="11" t="s">
        <v>626</v>
      </c>
    </row>
    <row r="40" spans="1:26">
      <c r="A40" s="11" t="s">
        <v>550</v>
      </c>
      <c r="B40" s="11" t="s">
        <v>120</v>
      </c>
      <c r="C40" s="17">
        <v>5655</v>
      </c>
      <c r="D40" s="17">
        <v>2353</v>
      </c>
      <c r="E40" s="11" t="s">
        <v>71</v>
      </c>
      <c r="F40" s="13" t="s">
        <v>551</v>
      </c>
      <c r="G40" s="18" t="s">
        <v>552</v>
      </c>
      <c r="H40" s="11" t="s">
        <v>73</v>
      </c>
      <c r="I40" s="11" t="s">
        <v>74</v>
      </c>
      <c r="J40" s="11" t="s">
        <v>75</v>
      </c>
      <c r="K40" s="11" t="s">
        <v>479</v>
      </c>
      <c r="L40" s="11" t="s">
        <v>77</v>
      </c>
      <c r="M40" s="5" t="s">
        <v>627</v>
      </c>
      <c r="N40" s="5" t="s">
        <v>628</v>
      </c>
      <c r="O40" s="5" t="s">
        <v>555</v>
      </c>
      <c r="P40" s="5" t="s">
        <v>556</v>
      </c>
      <c r="Q40" s="11" t="s">
        <v>82</v>
      </c>
      <c r="R40" s="11" t="s">
        <v>82</v>
      </c>
      <c r="S40" s="11" t="s">
        <v>82</v>
      </c>
      <c r="T40" s="11" t="s">
        <v>123</v>
      </c>
      <c r="U40" s="5" t="s">
        <v>124</v>
      </c>
      <c r="V40" s="11" t="s">
        <v>557</v>
      </c>
      <c r="W40" s="11" t="s">
        <v>105</v>
      </c>
      <c r="X40" s="11" t="s">
        <v>106</v>
      </c>
      <c r="Y40" s="11" t="s">
        <v>125</v>
      </c>
      <c r="Z40" s="11" t="s">
        <v>629</v>
      </c>
    </row>
    <row r="41" spans="1:26">
      <c r="A41" s="11" t="s">
        <v>445</v>
      </c>
      <c r="B41" s="11" t="s">
        <v>131</v>
      </c>
      <c r="C41" s="12">
        <v>964</v>
      </c>
      <c r="D41" s="12">
        <v>855</v>
      </c>
      <c r="E41" s="11" t="s">
        <v>71</v>
      </c>
      <c r="F41" s="13" t="s">
        <v>446</v>
      </c>
      <c r="G41" s="14">
        <v>4</v>
      </c>
      <c r="H41" s="11" t="s">
        <v>73</v>
      </c>
      <c r="I41" s="11" t="s">
        <v>74</v>
      </c>
      <c r="J41" s="11" t="s">
        <v>75</v>
      </c>
      <c r="K41" s="11" t="s">
        <v>447</v>
      </c>
      <c r="L41" s="11" t="s">
        <v>448</v>
      </c>
      <c r="M41" s="5" t="s">
        <v>630</v>
      </c>
      <c r="N41" s="5" t="s">
        <v>631</v>
      </c>
      <c r="O41" s="5" t="s">
        <v>111</v>
      </c>
      <c r="P41" s="5" t="s">
        <v>452</v>
      </c>
      <c r="Q41" s="11" t="s">
        <v>82</v>
      </c>
      <c r="R41" s="11" t="s">
        <v>82</v>
      </c>
      <c r="S41" s="11" t="s">
        <v>82</v>
      </c>
      <c r="T41" s="11" t="s">
        <v>134</v>
      </c>
      <c r="U41" s="5" t="s">
        <v>135</v>
      </c>
      <c r="V41" s="11" t="s">
        <v>454</v>
      </c>
      <c r="W41" s="11" t="s">
        <v>455</v>
      </c>
      <c r="X41" s="11" t="s">
        <v>456</v>
      </c>
      <c r="Y41" s="11" t="s">
        <v>136</v>
      </c>
      <c r="Z41" s="11" t="s">
        <v>632</v>
      </c>
    </row>
    <row r="42" spans="1:26">
      <c r="A42" s="11" t="s">
        <v>458</v>
      </c>
      <c r="B42" s="11" t="s">
        <v>131</v>
      </c>
      <c r="C42" s="12">
        <v>910</v>
      </c>
      <c r="D42" s="12">
        <v>877</v>
      </c>
      <c r="E42" s="11" t="s">
        <v>71</v>
      </c>
      <c r="F42" s="13" t="s">
        <v>459</v>
      </c>
      <c r="G42" s="14">
        <v>4</v>
      </c>
      <c r="H42" s="11" t="s">
        <v>73</v>
      </c>
      <c r="I42" s="11" t="s">
        <v>74</v>
      </c>
      <c r="J42" s="11" t="s">
        <v>75</v>
      </c>
      <c r="K42" s="11" t="s">
        <v>447</v>
      </c>
      <c r="L42" s="11" t="s">
        <v>448</v>
      </c>
      <c r="M42" s="5" t="s">
        <v>630</v>
      </c>
      <c r="N42" s="5" t="s">
        <v>633</v>
      </c>
      <c r="O42" s="5" t="s">
        <v>564</v>
      </c>
      <c r="P42" s="5" t="s">
        <v>462</v>
      </c>
      <c r="Q42" s="11" t="s">
        <v>82</v>
      </c>
      <c r="R42" s="11" t="s">
        <v>82</v>
      </c>
      <c r="S42" s="11" t="s">
        <v>82</v>
      </c>
      <c r="T42" s="11" t="s">
        <v>134</v>
      </c>
      <c r="U42" s="5" t="s">
        <v>135</v>
      </c>
      <c r="V42" s="11" t="s">
        <v>463</v>
      </c>
      <c r="W42" s="11" t="s">
        <v>464</v>
      </c>
      <c r="X42" s="11" t="s">
        <v>465</v>
      </c>
      <c r="Y42" s="11" t="s">
        <v>136</v>
      </c>
      <c r="Z42" s="11" t="s">
        <v>634</v>
      </c>
    </row>
    <row r="43" spans="1:26">
      <c r="A43" s="11" t="s">
        <v>467</v>
      </c>
      <c r="B43" s="11" t="s">
        <v>131</v>
      </c>
      <c r="C43" s="12">
        <v>865</v>
      </c>
      <c r="D43" s="12">
        <v>862</v>
      </c>
      <c r="E43" s="11" t="s">
        <v>71</v>
      </c>
      <c r="F43" s="13" t="s">
        <v>468</v>
      </c>
      <c r="G43" s="14">
        <v>4</v>
      </c>
      <c r="H43" s="11" t="s">
        <v>73</v>
      </c>
      <c r="I43" s="11" t="s">
        <v>74</v>
      </c>
      <c r="J43" s="11" t="s">
        <v>75</v>
      </c>
      <c r="K43" s="11" t="s">
        <v>447</v>
      </c>
      <c r="L43" s="11" t="s">
        <v>448</v>
      </c>
      <c r="M43" s="5" t="s">
        <v>630</v>
      </c>
      <c r="N43" s="5" t="s">
        <v>635</v>
      </c>
      <c r="O43" s="5" t="s">
        <v>567</v>
      </c>
      <c r="P43" s="5" t="s">
        <v>471</v>
      </c>
      <c r="Q43" s="11" t="s">
        <v>82</v>
      </c>
      <c r="R43" s="11" t="s">
        <v>82</v>
      </c>
      <c r="S43" s="11" t="s">
        <v>82</v>
      </c>
      <c r="T43" s="11" t="s">
        <v>134</v>
      </c>
      <c r="U43" s="5" t="s">
        <v>135</v>
      </c>
      <c r="V43" s="11" t="s">
        <v>472</v>
      </c>
      <c r="W43" s="11" t="s">
        <v>473</v>
      </c>
      <c r="X43" s="11" t="s">
        <v>474</v>
      </c>
      <c r="Y43" s="11" t="s">
        <v>136</v>
      </c>
      <c r="Z43" s="11" t="s">
        <v>636</v>
      </c>
    </row>
    <row r="44" spans="1:26">
      <c r="A44" s="11" t="s">
        <v>476</v>
      </c>
      <c r="B44" s="11" t="s">
        <v>131</v>
      </c>
      <c r="C44" s="17">
        <v>1014</v>
      </c>
      <c r="D44" s="17">
        <v>983</v>
      </c>
      <c r="E44" s="11" t="s">
        <v>71</v>
      </c>
      <c r="F44" s="13" t="s">
        <v>477</v>
      </c>
      <c r="G44" s="18" t="s">
        <v>478</v>
      </c>
      <c r="H44" s="11" t="s">
        <v>73</v>
      </c>
      <c r="I44" s="11" t="s">
        <v>74</v>
      </c>
      <c r="J44" s="11" t="s">
        <v>75</v>
      </c>
      <c r="K44" s="11" t="s">
        <v>479</v>
      </c>
      <c r="L44" s="11" t="s">
        <v>77</v>
      </c>
      <c r="M44" s="5" t="s">
        <v>637</v>
      </c>
      <c r="N44" s="5" t="s">
        <v>638</v>
      </c>
      <c r="O44" s="5" t="s">
        <v>571</v>
      </c>
      <c r="P44" s="5" t="s">
        <v>483</v>
      </c>
      <c r="Q44" s="11" t="s">
        <v>82</v>
      </c>
      <c r="R44" s="11" t="s">
        <v>82</v>
      </c>
      <c r="S44" s="11" t="s">
        <v>82</v>
      </c>
      <c r="T44" s="11" t="s">
        <v>134</v>
      </c>
      <c r="U44" s="5" t="s">
        <v>135</v>
      </c>
      <c r="V44" s="11" t="s">
        <v>484</v>
      </c>
      <c r="W44" s="11" t="s">
        <v>86</v>
      </c>
      <c r="X44" s="11" t="s">
        <v>87</v>
      </c>
      <c r="Y44" s="11" t="s">
        <v>136</v>
      </c>
      <c r="Z44" s="11" t="s">
        <v>639</v>
      </c>
    </row>
    <row r="45" spans="1:26">
      <c r="A45" s="11" t="s">
        <v>486</v>
      </c>
      <c r="B45" s="11" t="s">
        <v>131</v>
      </c>
      <c r="C45" s="12">
        <v>1018</v>
      </c>
      <c r="D45" s="12">
        <v>964</v>
      </c>
      <c r="E45" s="11" t="s">
        <v>71</v>
      </c>
      <c r="F45" s="13" t="s">
        <v>487</v>
      </c>
      <c r="G45" s="14">
        <v>1</v>
      </c>
      <c r="H45" s="11" t="s">
        <v>73</v>
      </c>
      <c r="I45" s="11" t="s">
        <v>74</v>
      </c>
      <c r="J45" s="11" t="s">
        <v>75</v>
      </c>
      <c r="K45" s="11" t="s">
        <v>447</v>
      </c>
      <c r="L45" s="11" t="s">
        <v>488</v>
      </c>
      <c r="M45" s="5" t="s">
        <v>630</v>
      </c>
      <c r="N45" s="5" t="s">
        <v>640</v>
      </c>
      <c r="O45" s="5" t="s">
        <v>111</v>
      </c>
      <c r="P45" s="5" t="s">
        <v>491</v>
      </c>
      <c r="Q45" s="11" t="s">
        <v>82</v>
      </c>
      <c r="R45" s="11" t="s">
        <v>82</v>
      </c>
      <c r="S45" s="11" t="s">
        <v>82</v>
      </c>
      <c r="T45" s="11" t="s">
        <v>134</v>
      </c>
      <c r="U45" s="5" t="s">
        <v>135</v>
      </c>
      <c r="V45" s="11" t="s">
        <v>492</v>
      </c>
      <c r="W45" s="11" t="s">
        <v>493</v>
      </c>
      <c r="X45" s="11" t="s">
        <v>494</v>
      </c>
      <c r="Y45" s="11" t="s">
        <v>136</v>
      </c>
      <c r="Z45" s="11" t="s">
        <v>641</v>
      </c>
    </row>
    <row r="46" spans="1:26">
      <c r="A46" s="11" t="s">
        <v>496</v>
      </c>
      <c r="B46" s="11" t="s">
        <v>131</v>
      </c>
      <c r="C46" s="12">
        <v>881</v>
      </c>
      <c r="D46" s="12">
        <v>910</v>
      </c>
      <c r="E46" s="11" t="s">
        <v>71</v>
      </c>
      <c r="F46" s="13" t="s">
        <v>497</v>
      </c>
      <c r="G46" s="14">
        <v>1</v>
      </c>
      <c r="H46" s="11" t="s">
        <v>73</v>
      </c>
      <c r="I46" s="11" t="s">
        <v>74</v>
      </c>
      <c r="J46" s="11" t="s">
        <v>75</v>
      </c>
      <c r="K46" s="11" t="s">
        <v>447</v>
      </c>
      <c r="L46" s="11" t="s">
        <v>488</v>
      </c>
      <c r="M46" s="5" t="s">
        <v>630</v>
      </c>
      <c r="N46" s="5" t="s">
        <v>642</v>
      </c>
      <c r="O46" s="5" t="s">
        <v>576</v>
      </c>
      <c r="P46" s="5" t="s">
        <v>500</v>
      </c>
      <c r="Q46" s="11" t="s">
        <v>82</v>
      </c>
      <c r="R46" s="11" t="s">
        <v>82</v>
      </c>
      <c r="S46" s="11" t="s">
        <v>82</v>
      </c>
      <c r="T46" s="11" t="s">
        <v>134</v>
      </c>
      <c r="U46" s="5" t="s">
        <v>135</v>
      </c>
      <c r="V46" s="11" t="s">
        <v>501</v>
      </c>
      <c r="W46" s="11" t="s">
        <v>502</v>
      </c>
      <c r="X46" s="11" t="s">
        <v>503</v>
      </c>
      <c r="Y46" s="11" t="s">
        <v>136</v>
      </c>
      <c r="Z46" s="11" t="s">
        <v>643</v>
      </c>
    </row>
    <row r="47" spans="1:26">
      <c r="A47" s="11" t="s">
        <v>505</v>
      </c>
      <c r="B47" s="11" t="s">
        <v>131</v>
      </c>
      <c r="C47" s="12">
        <v>870</v>
      </c>
      <c r="D47" s="12">
        <v>865</v>
      </c>
      <c r="E47" s="11" t="s">
        <v>71</v>
      </c>
      <c r="F47" s="13" t="s">
        <v>506</v>
      </c>
      <c r="G47" s="14">
        <v>1</v>
      </c>
      <c r="H47" s="11" t="s">
        <v>73</v>
      </c>
      <c r="I47" s="11" t="s">
        <v>74</v>
      </c>
      <c r="J47" s="11" t="s">
        <v>75</v>
      </c>
      <c r="K47" s="11" t="s">
        <v>447</v>
      </c>
      <c r="L47" s="11" t="s">
        <v>488</v>
      </c>
      <c r="M47" s="5" t="s">
        <v>630</v>
      </c>
      <c r="N47" s="5" t="s">
        <v>644</v>
      </c>
      <c r="O47" s="5" t="s">
        <v>579</v>
      </c>
      <c r="P47" s="5" t="s">
        <v>509</v>
      </c>
      <c r="Q47" s="11" t="s">
        <v>82</v>
      </c>
      <c r="R47" s="11" t="s">
        <v>82</v>
      </c>
      <c r="S47" s="11" t="s">
        <v>82</v>
      </c>
      <c r="T47" s="11" t="s">
        <v>134</v>
      </c>
      <c r="U47" s="5" t="s">
        <v>135</v>
      </c>
      <c r="V47" s="11" t="s">
        <v>510</v>
      </c>
      <c r="W47" s="11" t="s">
        <v>511</v>
      </c>
      <c r="X47" s="11" t="s">
        <v>512</v>
      </c>
      <c r="Y47" s="11" t="s">
        <v>136</v>
      </c>
      <c r="Z47" s="11" t="s">
        <v>645</v>
      </c>
    </row>
    <row r="48" spans="1:26">
      <c r="A48" s="11" t="s">
        <v>514</v>
      </c>
      <c r="B48" s="11" t="s">
        <v>131</v>
      </c>
      <c r="C48" s="17">
        <v>823</v>
      </c>
      <c r="D48" s="17">
        <v>1014</v>
      </c>
      <c r="E48" s="11" t="s">
        <v>71</v>
      </c>
      <c r="F48" s="13" t="s">
        <v>515</v>
      </c>
      <c r="G48" s="18" t="s">
        <v>516</v>
      </c>
      <c r="H48" s="11" t="s">
        <v>73</v>
      </c>
      <c r="I48" s="11" t="s">
        <v>74</v>
      </c>
      <c r="J48" s="11" t="s">
        <v>75</v>
      </c>
      <c r="K48" s="11" t="s">
        <v>479</v>
      </c>
      <c r="L48" s="11" t="s">
        <v>77</v>
      </c>
      <c r="M48" s="5" t="s">
        <v>646</v>
      </c>
      <c r="N48" s="5" t="s">
        <v>647</v>
      </c>
      <c r="O48" s="5" t="s">
        <v>583</v>
      </c>
      <c r="P48" s="5" t="s">
        <v>520</v>
      </c>
      <c r="Q48" s="11" t="s">
        <v>82</v>
      </c>
      <c r="R48" s="11" t="s">
        <v>82</v>
      </c>
      <c r="S48" s="11" t="s">
        <v>82</v>
      </c>
      <c r="T48" s="11" t="s">
        <v>134</v>
      </c>
      <c r="U48" s="5" t="s">
        <v>135</v>
      </c>
      <c r="V48" s="11" t="s">
        <v>521</v>
      </c>
      <c r="W48" s="11" t="s">
        <v>96</v>
      </c>
      <c r="X48" s="11" t="s">
        <v>97</v>
      </c>
      <c r="Y48" s="11" t="s">
        <v>136</v>
      </c>
      <c r="Z48" s="11" t="s">
        <v>648</v>
      </c>
    </row>
    <row r="49" spans="1:26">
      <c r="A49" s="11" t="s">
        <v>523</v>
      </c>
      <c r="B49" s="11" t="s">
        <v>131</v>
      </c>
      <c r="C49" s="12">
        <v>677</v>
      </c>
      <c r="D49" s="12">
        <v>1018</v>
      </c>
      <c r="E49" s="11" t="s">
        <v>71</v>
      </c>
      <c r="F49" s="13" t="s">
        <v>524</v>
      </c>
      <c r="G49" s="14">
        <v>1</v>
      </c>
      <c r="H49" s="11" t="s">
        <v>73</v>
      </c>
      <c r="I49" s="11" t="s">
        <v>74</v>
      </c>
      <c r="J49" s="11" t="s">
        <v>75</v>
      </c>
      <c r="K49" s="11" t="s">
        <v>447</v>
      </c>
      <c r="L49" s="11" t="s">
        <v>488</v>
      </c>
      <c r="M49" s="5" t="s">
        <v>630</v>
      </c>
      <c r="N49" s="5" t="s">
        <v>649</v>
      </c>
      <c r="O49" s="5" t="s">
        <v>111</v>
      </c>
      <c r="P49" s="5" t="s">
        <v>527</v>
      </c>
      <c r="Q49" s="11" t="s">
        <v>82</v>
      </c>
      <c r="R49" s="11" t="s">
        <v>82</v>
      </c>
      <c r="S49" s="11" t="s">
        <v>82</v>
      </c>
      <c r="T49" s="11" t="s">
        <v>134</v>
      </c>
      <c r="U49" s="5" t="s">
        <v>135</v>
      </c>
      <c r="V49" s="11" t="s">
        <v>528</v>
      </c>
      <c r="W49" s="11" t="s">
        <v>529</v>
      </c>
      <c r="X49" s="11" t="s">
        <v>530</v>
      </c>
      <c r="Y49" s="11" t="s">
        <v>136</v>
      </c>
      <c r="Z49" s="11" t="s">
        <v>650</v>
      </c>
    </row>
    <row r="50" spans="1:26">
      <c r="A50" s="11" t="s">
        <v>532</v>
      </c>
      <c r="B50" s="11" t="s">
        <v>131</v>
      </c>
      <c r="C50" s="12">
        <v>729</v>
      </c>
      <c r="D50" s="12">
        <v>881</v>
      </c>
      <c r="E50" s="11" t="s">
        <v>71</v>
      </c>
      <c r="F50" s="13" t="s">
        <v>533</v>
      </c>
      <c r="G50" s="14">
        <v>1</v>
      </c>
      <c r="H50" s="11" t="s">
        <v>73</v>
      </c>
      <c r="I50" s="11" t="s">
        <v>74</v>
      </c>
      <c r="J50" s="11" t="s">
        <v>75</v>
      </c>
      <c r="K50" s="11" t="s">
        <v>447</v>
      </c>
      <c r="L50" s="11" t="s">
        <v>488</v>
      </c>
      <c r="M50" s="5" t="s">
        <v>630</v>
      </c>
      <c r="N50" s="5" t="s">
        <v>651</v>
      </c>
      <c r="O50" s="5" t="s">
        <v>588</v>
      </c>
      <c r="P50" s="5" t="s">
        <v>536</v>
      </c>
      <c r="Q50" s="11" t="s">
        <v>82</v>
      </c>
      <c r="R50" s="11" t="s">
        <v>82</v>
      </c>
      <c r="S50" s="11" t="s">
        <v>82</v>
      </c>
      <c r="T50" s="11" t="s">
        <v>134</v>
      </c>
      <c r="U50" s="5" t="s">
        <v>135</v>
      </c>
      <c r="V50" s="11" t="s">
        <v>537</v>
      </c>
      <c r="W50" s="11" t="s">
        <v>538</v>
      </c>
      <c r="X50" s="11" t="s">
        <v>539</v>
      </c>
      <c r="Y50" s="11" t="s">
        <v>136</v>
      </c>
      <c r="Z50" s="11" t="s">
        <v>652</v>
      </c>
    </row>
    <row r="51" spans="1:26">
      <c r="A51" s="11" t="s">
        <v>541</v>
      </c>
      <c r="B51" s="11" t="s">
        <v>131</v>
      </c>
      <c r="C51" s="12">
        <v>711</v>
      </c>
      <c r="D51" s="12">
        <v>870</v>
      </c>
      <c r="E51" s="11" t="s">
        <v>71</v>
      </c>
      <c r="F51" s="13" t="s">
        <v>542</v>
      </c>
      <c r="G51" s="14">
        <v>1</v>
      </c>
      <c r="H51" s="11" t="s">
        <v>73</v>
      </c>
      <c r="I51" s="11" t="s">
        <v>74</v>
      </c>
      <c r="J51" s="11" t="s">
        <v>75</v>
      </c>
      <c r="K51" s="11" t="s">
        <v>447</v>
      </c>
      <c r="L51" s="11" t="s">
        <v>488</v>
      </c>
      <c r="M51" s="5" t="s">
        <v>630</v>
      </c>
      <c r="N51" s="5" t="s">
        <v>653</v>
      </c>
      <c r="O51" s="5" t="s">
        <v>591</v>
      </c>
      <c r="P51" s="5" t="s">
        <v>545</v>
      </c>
      <c r="Q51" s="11" t="s">
        <v>82</v>
      </c>
      <c r="R51" s="11" t="s">
        <v>82</v>
      </c>
      <c r="S51" s="11" t="s">
        <v>82</v>
      </c>
      <c r="T51" s="11" t="s">
        <v>134</v>
      </c>
      <c r="U51" s="5" t="s">
        <v>135</v>
      </c>
      <c r="V51" s="11" t="s">
        <v>546</v>
      </c>
      <c r="W51" s="11" t="s">
        <v>547</v>
      </c>
      <c r="X51" s="11" t="s">
        <v>548</v>
      </c>
      <c r="Y51" s="11" t="s">
        <v>136</v>
      </c>
      <c r="Z51" s="11" t="s">
        <v>654</v>
      </c>
    </row>
    <row r="52" spans="1:26">
      <c r="A52" s="11" t="s">
        <v>550</v>
      </c>
      <c r="B52" s="11" t="s">
        <v>131</v>
      </c>
      <c r="C52" s="17">
        <v>997</v>
      </c>
      <c r="D52" s="17">
        <v>823</v>
      </c>
      <c r="E52" s="11" t="s">
        <v>71</v>
      </c>
      <c r="F52" s="13" t="s">
        <v>551</v>
      </c>
      <c r="G52" s="18" t="s">
        <v>552</v>
      </c>
      <c r="H52" s="11" t="s">
        <v>73</v>
      </c>
      <c r="I52" s="11" t="s">
        <v>74</v>
      </c>
      <c r="J52" s="11" t="s">
        <v>75</v>
      </c>
      <c r="K52" s="11" t="s">
        <v>479</v>
      </c>
      <c r="L52" s="11" t="s">
        <v>77</v>
      </c>
      <c r="M52" s="5" t="s">
        <v>655</v>
      </c>
      <c r="N52" s="5" t="s">
        <v>656</v>
      </c>
      <c r="O52" s="5" t="s">
        <v>555</v>
      </c>
      <c r="P52" s="5" t="s">
        <v>556</v>
      </c>
      <c r="Q52" s="11" t="s">
        <v>82</v>
      </c>
      <c r="R52" s="11" t="s">
        <v>82</v>
      </c>
      <c r="S52" s="11" t="s">
        <v>82</v>
      </c>
      <c r="T52" s="11" t="s">
        <v>134</v>
      </c>
      <c r="U52" s="5" t="s">
        <v>135</v>
      </c>
      <c r="V52" s="11" t="s">
        <v>557</v>
      </c>
      <c r="W52" s="11" t="s">
        <v>105</v>
      </c>
      <c r="X52" s="11" t="s">
        <v>106</v>
      </c>
      <c r="Y52" s="11" t="s">
        <v>136</v>
      </c>
      <c r="Z52" s="11" t="s">
        <v>657</v>
      </c>
    </row>
    <row r="53" spans="1:26">
      <c r="A53" s="11" t="s">
        <v>445</v>
      </c>
      <c r="B53" s="11" t="s">
        <v>142</v>
      </c>
      <c r="C53" s="12">
        <v>2099</v>
      </c>
      <c r="D53" s="12">
        <v>2001</v>
      </c>
      <c r="E53" s="11" t="s">
        <v>71</v>
      </c>
      <c r="F53" s="13" t="s">
        <v>446</v>
      </c>
      <c r="G53" s="14">
        <v>4</v>
      </c>
      <c r="H53" s="11" t="s">
        <v>73</v>
      </c>
      <c r="I53" s="11" t="s">
        <v>74</v>
      </c>
      <c r="J53" s="11" t="s">
        <v>75</v>
      </c>
      <c r="K53" s="11" t="s">
        <v>447</v>
      </c>
      <c r="L53" s="11" t="s">
        <v>448</v>
      </c>
      <c r="M53" s="5" t="s">
        <v>658</v>
      </c>
      <c r="N53" s="5" t="s">
        <v>659</v>
      </c>
      <c r="O53" s="5" t="s">
        <v>111</v>
      </c>
      <c r="P53" s="5" t="s">
        <v>452</v>
      </c>
      <c r="Q53" s="11" t="s">
        <v>82</v>
      </c>
      <c r="R53" s="11" t="s">
        <v>82</v>
      </c>
      <c r="S53" s="11" t="s">
        <v>82</v>
      </c>
      <c r="T53" s="11" t="s">
        <v>145</v>
      </c>
      <c r="U53" s="5" t="s">
        <v>146</v>
      </c>
      <c r="V53" s="11" t="s">
        <v>454</v>
      </c>
      <c r="W53" s="11" t="s">
        <v>455</v>
      </c>
      <c r="X53" s="11" t="s">
        <v>456</v>
      </c>
      <c r="Y53" s="11" t="s">
        <v>147</v>
      </c>
      <c r="Z53" s="11" t="s">
        <v>660</v>
      </c>
    </row>
    <row r="54" spans="1:26">
      <c r="A54" s="11" t="s">
        <v>458</v>
      </c>
      <c r="B54" s="11" t="s">
        <v>142</v>
      </c>
      <c r="C54" s="12">
        <v>2232</v>
      </c>
      <c r="D54" s="12">
        <v>1891</v>
      </c>
      <c r="E54" s="11" t="s">
        <v>71</v>
      </c>
      <c r="F54" s="13" t="s">
        <v>459</v>
      </c>
      <c r="G54" s="14">
        <v>4</v>
      </c>
      <c r="H54" s="11" t="s">
        <v>73</v>
      </c>
      <c r="I54" s="11" t="s">
        <v>74</v>
      </c>
      <c r="J54" s="11" t="s">
        <v>75</v>
      </c>
      <c r="K54" s="11" t="s">
        <v>447</v>
      </c>
      <c r="L54" s="11" t="s">
        <v>448</v>
      </c>
      <c r="M54" s="5" t="s">
        <v>658</v>
      </c>
      <c r="N54" s="5" t="s">
        <v>661</v>
      </c>
      <c r="O54" s="5" t="s">
        <v>564</v>
      </c>
      <c r="P54" s="5" t="s">
        <v>462</v>
      </c>
      <c r="Q54" s="11" t="s">
        <v>82</v>
      </c>
      <c r="R54" s="11" t="s">
        <v>82</v>
      </c>
      <c r="S54" s="11" t="s">
        <v>82</v>
      </c>
      <c r="T54" s="11" t="s">
        <v>145</v>
      </c>
      <c r="U54" s="5" t="s">
        <v>146</v>
      </c>
      <c r="V54" s="11" t="s">
        <v>463</v>
      </c>
      <c r="W54" s="11" t="s">
        <v>464</v>
      </c>
      <c r="X54" s="11" t="s">
        <v>465</v>
      </c>
      <c r="Y54" s="11" t="s">
        <v>147</v>
      </c>
      <c r="Z54" s="11" t="s">
        <v>662</v>
      </c>
    </row>
    <row r="55" spans="1:26">
      <c r="A55" s="11" t="s">
        <v>467</v>
      </c>
      <c r="B55" s="11" t="s">
        <v>142</v>
      </c>
      <c r="C55" s="12">
        <v>2226</v>
      </c>
      <c r="D55" s="12">
        <v>1905</v>
      </c>
      <c r="E55" s="11" t="s">
        <v>71</v>
      </c>
      <c r="F55" s="13" t="s">
        <v>468</v>
      </c>
      <c r="G55" s="14">
        <v>4</v>
      </c>
      <c r="H55" s="11" t="s">
        <v>73</v>
      </c>
      <c r="I55" s="11" t="s">
        <v>74</v>
      </c>
      <c r="J55" s="11" t="s">
        <v>75</v>
      </c>
      <c r="K55" s="11" t="s">
        <v>447</v>
      </c>
      <c r="L55" s="11" t="s">
        <v>448</v>
      </c>
      <c r="M55" s="5" t="s">
        <v>658</v>
      </c>
      <c r="N55" s="5" t="s">
        <v>663</v>
      </c>
      <c r="O55" s="5" t="s">
        <v>567</v>
      </c>
      <c r="P55" s="5" t="s">
        <v>471</v>
      </c>
      <c r="Q55" s="11" t="s">
        <v>82</v>
      </c>
      <c r="R55" s="11" t="s">
        <v>82</v>
      </c>
      <c r="S55" s="11" t="s">
        <v>82</v>
      </c>
      <c r="T55" s="11" t="s">
        <v>145</v>
      </c>
      <c r="U55" s="5" t="s">
        <v>146</v>
      </c>
      <c r="V55" s="11" t="s">
        <v>472</v>
      </c>
      <c r="W55" s="11" t="s">
        <v>473</v>
      </c>
      <c r="X55" s="11" t="s">
        <v>474</v>
      </c>
      <c r="Y55" s="11" t="s">
        <v>147</v>
      </c>
      <c r="Z55" s="11" t="s">
        <v>664</v>
      </c>
    </row>
    <row r="56" spans="1:26">
      <c r="A56" s="11" t="s">
        <v>476</v>
      </c>
      <c r="B56" s="11" t="s">
        <v>142</v>
      </c>
      <c r="C56" s="17">
        <v>2392</v>
      </c>
      <c r="D56" s="17">
        <v>2137</v>
      </c>
      <c r="E56" s="11" t="s">
        <v>71</v>
      </c>
      <c r="F56" s="13" t="s">
        <v>477</v>
      </c>
      <c r="G56" s="18" t="s">
        <v>478</v>
      </c>
      <c r="H56" s="11" t="s">
        <v>73</v>
      </c>
      <c r="I56" s="11" t="s">
        <v>74</v>
      </c>
      <c r="J56" s="11" t="s">
        <v>75</v>
      </c>
      <c r="K56" s="11" t="s">
        <v>479</v>
      </c>
      <c r="L56" s="11" t="s">
        <v>77</v>
      </c>
      <c r="M56" s="5" t="s">
        <v>665</v>
      </c>
      <c r="N56" s="5" t="s">
        <v>666</v>
      </c>
      <c r="O56" s="5" t="s">
        <v>571</v>
      </c>
      <c r="P56" s="5" t="s">
        <v>483</v>
      </c>
      <c r="Q56" s="11" t="s">
        <v>82</v>
      </c>
      <c r="R56" s="11" t="s">
        <v>82</v>
      </c>
      <c r="S56" s="11" t="s">
        <v>82</v>
      </c>
      <c r="T56" s="11" t="s">
        <v>145</v>
      </c>
      <c r="U56" s="5" t="s">
        <v>146</v>
      </c>
      <c r="V56" s="11" t="s">
        <v>484</v>
      </c>
      <c r="W56" s="11" t="s">
        <v>86</v>
      </c>
      <c r="X56" s="11" t="s">
        <v>87</v>
      </c>
      <c r="Y56" s="11" t="s">
        <v>147</v>
      </c>
      <c r="Z56" s="11" t="s">
        <v>667</v>
      </c>
    </row>
    <row r="57" spans="1:26">
      <c r="A57" s="11" t="s">
        <v>486</v>
      </c>
      <c r="B57" s="11" t="s">
        <v>142</v>
      </c>
      <c r="C57" s="12">
        <v>2310</v>
      </c>
      <c r="D57" s="12">
        <v>2099</v>
      </c>
      <c r="E57" s="11" t="s">
        <v>71</v>
      </c>
      <c r="F57" s="13" t="s">
        <v>487</v>
      </c>
      <c r="G57" s="14">
        <v>1</v>
      </c>
      <c r="H57" s="11" t="s">
        <v>73</v>
      </c>
      <c r="I57" s="11" t="s">
        <v>74</v>
      </c>
      <c r="J57" s="11" t="s">
        <v>75</v>
      </c>
      <c r="K57" s="11" t="s">
        <v>447</v>
      </c>
      <c r="L57" s="11" t="s">
        <v>488</v>
      </c>
      <c r="M57" s="5" t="s">
        <v>658</v>
      </c>
      <c r="N57" s="5" t="s">
        <v>668</v>
      </c>
      <c r="O57" s="5" t="s">
        <v>111</v>
      </c>
      <c r="P57" s="5" t="s">
        <v>491</v>
      </c>
      <c r="Q57" s="11" t="s">
        <v>82</v>
      </c>
      <c r="R57" s="11" t="s">
        <v>82</v>
      </c>
      <c r="S57" s="11" t="s">
        <v>82</v>
      </c>
      <c r="T57" s="11" t="s">
        <v>145</v>
      </c>
      <c r="U57" s="5" t="s">
        <v>146</v>
      </c>
      <c r="V57" s="11" t="s">
        <v>492</v>
      </c>
      <c r="W57" s="11" t="s">
        <v>493</v>
      </c>
      <c r="X57" s="11" t="s">
        <v>494</v>
      </c>
      <c r="Y57" s="11" t="s">
        <v>147</v>
      </c>
      <c r="Z57" s="11" t="s">
        <v>669</v>
      </c>
    </row>
    <row r="58" spans="1:26">
      <c r="A58" s="11" t="s">
        <v>496</v>
      </c>
      <c r="B58" s="11" t="s">
        <v>142</v>
      </c>
      <c r="C58" s="12">
        <v>2443</v>
      </c>
      <c r="D58" s="12">
        <v>2232</v>
      </c>
      <c r="E58" s="11" t="s">
        <v>71</v>
      </c>
      <c r="F58" s="13" t="s">
        <v>497</v>
      </c>
      <c r="G58" s="14">
        <v>1</v>
      </c>
      <c r="H58" s="11" t="s">
        <v>73</v>
      </c>
      <c r="I58" s="11" t="s">
        <v>74</v>
      </c>
      <c r="J58" s="11" t="s">
        <v>75</v>
      </c>
      <c r="K58" s="11" t="s">
        <v>447</v>
      </c>
      <c r="L58" s="11" t="s">
        <v>488</v>
      </c>
      <c r="M58" s="5" t="s">
        <v>658</v>
      </c>
      <c r="N58" s="5" t="s">
        <v>670</v>
      </c>
      <c r="O58" s="5" t="s">
        <v>576</v>
      </c>
      <c r="P58" s="5" t="s">
        <v>500</v>
      </c>
      <c r="Q58" s="11" t="s">
        <v>82</v>
      </c>
      <c r="R58" s="11" t="s">
        <v>82</v>
      </c>
      <c r="S58" s="11" t="s">
        <v>82</v>
      </c>
      <c r="T58" s="11" t="s">
        <v>145</v>
      </c>
      <c r="U58" s="5" t="s">
        <v>146</v>
      </c>
      <c r="V58" s="11" t="s">
        <v>501</v>
      </c>
      <c r="W58" s="11" t="s">
        <v>502</v>
      </c>
      <c r="X58" s="11" t="s">
        <v>503</v>
      </c>
      <c r="Y58" s="11" t="s">
        <v>147</v>
      </c>
      <c r="Z58" s="11" t="s">
        <v>671</v>
      </c>
    </row>
    <row r="59" spans="1:26">
      <c r="A59" s="11" t="s">
        <v>505</v>
      </c>
      <c r="B59" s="11" t="s">
        <v>142</v>
      </c>
      <c r="C59" s="12">
        <v>2413</v>
      </c>
      <c r="D59" s="12">
        <v>2226</v>
      </c>
      <c r="E59" s="11" t="s">
        <v>71</v>
      </c>
      <c r="F59" s="13" t="s">
        <v>506</v>
      </c>
      <c r="G59" s="14">
        <v>1</v>
      </c>
      <c r="H59" s="11" t="s">
        <v>73</v>
      </c>
      <c r="I59" s="11" t="s">
        <v>74</v>
      </c>
      <c r="J59" s="11" t="s">
        <v>75</v>
      </c>
      <c r="K59" s="11" t="s">
        <v>447</v>
      </c>
      <c r="L59" s="11" t="s">
        <v>488</v>
      </c>
      <c r="M59" s="5" t="s">
        <v>658</v>
      </c>
      <c r="N59" s="5" t="s">
        <v>672</v>
      </c>
      <c r="O59" s="5" t="s">
        <v>579</v>
      </c>
      <c r="P59" s="5" t="s">
        <v>509</v>
      </c>
      <c r="Q59" s="11" t="s">
        <v>82</v>
      </c>
      <c r="R59" s="11" t="s">
        <v>82</v>
      </c>
      <c r="S59" s="11" t="s">
        <v>82</v>
      </c>
      <c r="T59" s="11" t="s">
        <v>145</v>
      </c>
      <c r="U59" s="5" t="s">
        <v>146</v>
      </c>
      <c r="V59" s="11" t="s">
        <v>510</v>
      </c>
      <c r="W59" s="11" t="s">
        <v>511</v>
      </c>
      <c r="X59" s="11" t="s">
        <v>512</v>
      </c>
      <c r="Y59" s="11" t="s">
        <v>147</v>
      </c>
      <c r="Z59" s="11" t="s">
        <v>673</v>
      </c>
    </row>
    <row r="60" spans="1:26">
      <c r="A60" s="11" t="s">
        <v>514</v>
      </c>
      <c r="B60" s="11" t="s">
        <v>142</v>
      </c>
      <c r="C60" s="17">
        <v>2368</v>
      </c>
      <c r="D60" s="17">
        <v>2392</v>
      </c>
      <c r="E60" s="11" t="s">
        <v>71</v>
      </c>
      <c r="F60" s="13" t="s">
        <v>515</v>
      </c>
      <c r="G60" s="18" t="s">
        <v>516</v>
      </c>
      <c r="H60" s="11" t="s">
        <v>73</v>
      </c>
      <c r="I60" s="11" t="s">
        <v>74</v>
      </c>
      <c r="J60" s="11" t="s">
        <v>75</v>
      </c>
      <c r="K60" s="11" t="s">
        <v>479</v>
      </c>
      <c r="L60" s="11" t="s">
        <v>77</v>
      </c>
      <c r="M60" s="5" t="s">
        <v>674</v>
      </c>
      <c r="N60" s="5" t="s">
        <v>675</v>
      </c>
      <c r="O60" s="5" t="s">
        <v>583</v>
      </c>
      <c r="P60" s="5" t="s">
        <v>520</v>
      </c>
      <c r="Q60" s="11" t="s">
        <v>82</v>
      </c>
      <c r="R60" s="11" t="s">
        <v>82</v>
      </c>
      <c r="S60" s="11" t="s">
        <v>82</v>
      </c>
      <c r="T60" s="11" t="s">
        <v>145</v>
      </c>
      <c r="U60" s="5" t="s">
        <v>146</v>
      </c>
      <c r="V60" s="11" t="s">
        <v>521</v>
      </c>
      <c r="W60" s="11" t="s">
        <v>96</v>
      </c>
      <c r="X60" s="11" t="s">
        <v>97</v>
      </c>
      <c r="Y60" s="11" t="s">
        <v>147</v>
      </c>
      <c r="Z60" s="11" t="s">
        <v>676</v>
      </c>
    </row>
    <row r="61" spans="1:26">
      <c r="A61" s="11" t="s">
        <v>523</v>
      </c>
      <c r="B61" s="11" t="s">
        <v>142</v>
      </c>
      <c r="C61" s="12">
        <v>2298</v>
      </c>
      <c r="D61" s="12">
        <v>2310</v>
      </c>
      <c r="E61" s="11" t="s">
        <v>71</v>
      </c>
      <c r="F61" s="13" t="s">
        <v>524</v>
      </c>
      <c r="G61" s="14">
        <v>1</v>
      </c>
      <c r="H61" s="11" t="s">
        <v>73</v>
      </c>
      <c r="I61" s="11" t="s">
        <v>74</v>
      </c>
      <c r="J61" s="11" t="s">
        <v>75</v>
      </c>
      <c r="K61" s="11" t="s">
        <v>447</v>
      </c>
      <c r="L61" s="11" t="s">
        <v>488</v>
      </c>
      <c r="M61" s="5" t="s">
        <v>658</v>
      </c>
      <c r="N61" s="5" t="s">
        <v>677</v>
      </c>
      <c r="O61" s="5" t="s">
        <v>111</v>
      </c>
      <c r="P61" s="5" t="s">
        <v>527</v>
      </c>
      <c r="Q61" s="11" t="s">
        <v>82</v>
      </c>
      <c r="R61" s="11" t="s">
        <v>82</v>
      </c>
      <c r="S61" s="11" t="s">
        <v>82</v>
      </c>
      <c r="T61" s="11" t="s">
        <v>145</v>
      </c>
      <c r="U61" s="5" t="s">
        <v>146</v>
      </c>
      <c r="V61" s="11" t="s">
        <v>528</v>
      </c>
      <c r="W61" s="11" t="s">
        <v>529</v>
      </c>
      <c r="X61" s="11" t="s">
        <v>530</v>
      </c>
      <c r="Y61" s="11" t="s">
        <v>147</v>
      </c>
      <c r="Z61" s="11" t="s">
        <v>678</v>
      </c>
    </row>
    <row r="62" spans="1:26">
      <c r="A62" s="11" t="s">
        <v>532</v>
      </c>
      <c r="B62" s="11" t="s">
        <v>142</v>
      </c>
      <c r="C62" s="12">
        <v>2538</v>
      </c>
      <c r="D62" s="12">
        <v>2443</v>
      </c>
      <c r="E62" s="11" t="s">
        <v>71</v>
      </c>
      <c r="F62" s="13" t="s">
        <v>533</v>
      </c>
      <c r="G62" s="14">
        <v>1</v>
      </c>
      <c r="H62" s="11" t="s">
        <v>73</v>
      </c>
      <c r="I62" s="11" t="s">
        <v>74</v>
      </c>
      <c r="J62" s="11" t="s">
        <v>75</v>
      </c>
      <c r="K62" s="11" t="s">
        <v>447</v>
      </c>
      <c r="L62" s="11" t="s">
        <v>488</v>
      </c>
      <c r="M62" s="5" t="s">
        <v>658</v>
      </c>
      <c r="N62" s="5" t="s">
        <v>679</v>
      </c>
      <c r="O62" s="5" t="s">
        <v>588</v>
      </c>
      <c r="P62" s="5" t="s">
        <v>536</v>
      </c>
      <c r="Q62" s="11" t="s">
        <v>82</v>
      </c>
      <c r="R62" s="11" t="s">
        <v>82</v>
      </c>
      <c r="S62" s="11" t="s">
        <v>82</v>
      </c>
      <c r="T62" s="11" t="s">
        <v>145</v>
      </c>
      <c r="U62" s="5" t="s">
        <v>146</v>
      </c>
      <c r="V62" s="11" t="s">
        <v>537</v>
      </c>
      <c r="W62" s="11" t="s">
        <v>538</v>
      </c>
      <c r="X62" s="11" t="s">
        <v>539</v>
      </c>
      <c r="Y62" s="11" t="s">
        <v>147</v>
      </c>
      <c r="Z62" s="11" t="s">
        <v>680</v>
      </c>
    </row>
    <row r="63" spans="1:26">
      <c r="A63" s="11" t="s">
        <v>541</v>
      </c>
      <c r="B63" s="11" t="s">
        <v>142</v>
      </c>
      <c r="C63" s="12">
        <v>2330</v>
      </c>
      <c r="D63" s="12">
        <v>2413</v>
      </c>
      <c r="E63" s="11" t="s">
        <v>71</v>
      </c>
      <c r="F63" s="13" t="s">
        <v>542</v>
      </c>
      <c r="G63" s="14">
        <v>1</v>
      </c>
      <c r="H63" s="11" t="s">
        <v>73</v>
      </c>
      <c r="I63" s="11" t="s">
        <v>74</v>
      </c>
      <c r="J63" s="11" t="s">
        <v>75</v>
      </c>
      <c r="K63" s="11" t="s">
        <v>447</v>
      </c>
      <c r="L63" s="11" t="s">
        <v>488</v>
      </c>
      <c r="M63" s="5" t="s">
        <v>658</v>
      </c>
      <c r="N63" s="5" t="s">
        <v>681</v>
      </c>
      <c r="O63" s="5" t="s">
        <v>591</v>
      </c>
      <c r="P63" s="5" t="s">
        <v>545</v>
      </c>
      <c r="Q63" s="11" t="s">
        <v>82</v>
      </c>
      <c r="R63" s="11" t="s">
        <v>82</v>
      </c>
      <c r="S63" s="11" t="s">
        <v>82</v>
      </c>
      <c r="T63" s="11" t="s">
        <v>145</v>
      </c>
      <c r="U63" s="5" t="s">
        <v>146</v>
      </c>
      <c r="V63" s="11" t="s">
        <v>546</v>
      </c>
      <c r="W63" s="11" t="s">
        <v>547</v>
      </c>
      <c r="X63" s="11" t="s">
        <v>548</v>
      </c>
      <c r="Y63" s="11" t="s">
        <v>147</v>
      </c>
      <c r="Z63" s="11" t="s">
        <v>682</v>
      </c>
    </row>
    <row r="64" spans="1:26">
      <c r="A64" s="11" t="s">
        <v>550</v>
      </c>
      <c r="B64" s="11" t="s">
        <v>142</v>
      </c>
      <c r="C64" s="17">
        <v>2745</v>
      </c>
      <c r="D64" s="17">
        <v>2368</v>
      </c>
      <c r="E64" s="11" t="s">
        <v>71</v>
      </c>
      <c r="F64" s="13" t="s">
        <v>551</v>
      </c>
      <c r="G64" s="18" t="s">
        <v>552</v>
      </c>
      <c r="H64" s="11" t="s">
        <v>73</v>
      </c>
      <c r="I64" s="11" t="s">
        <v>74</v>
      </c>
      <c r="J64" s="11" t="s">
        <v>75</v>
      </c>
      <c r="K64" s="11" t="s">
        <v>479</v>
      </c>
      <c r="L64" s="11" t="s">
        <v>77</v>
      </c>
      <c r="M64" s="5" t="s">
        <v>683</v>
      </c>
      <c r="N64" s="5" t="s">
        <v>684</v>
      </c>
      <c r="O64" s="5" t="s">
        <v>555</v>
      </c>
      <c r="P64" s="5" t="s">
        <v>556</v>
      </c>
      <c r="Q64" s="11" t="s">
        <v>82</v>
      </c>
      <c r="R64" s="11" t="s">
        <v>82</v>
      </c>
      <c r="S64" s="11" t="s">
        <v>82</v>
      </c>
      <c r="T64" s="11" t="s">
        <v>145</v>
      </c>
      <c r="U64" s="5" t="s">
        <v>146</v>
      </c>
      <c r="V64" s="11" t="s">
        <v>557</v>
      </c>
      <c r="W64" s="11" t="s">
        <v>105</v>
      </c>
      <c r="X64" s="11" t="s">
        <v>106</v>
      </c>
      <c r="Y64" s="11" t="s">
        <v>147</v>
      </c>
      <c r="Z64" s="11" t="s">
        <v>685</v>
      </c>
    </row>
    <row r="65" spans="1:26">
      <c r="A65" s="11" t="s">
        <v>445</v>
      </c>
      <c r="B65" s="11" t="s">
        <v>153</v>
      </c>
      <c r="C65" s="12">
        <v>3063</v>
      </c>
      <c r="D65" s="12">
        <v>2856</v>
      </c>
      <c r="E65" s="11" t="s">
        <v>71</v>
      </c>
      <c r="F65" s="13" t="s">
        <v>446</v>
      </c>
      <c r="G65" s="14">
        <v>4</v>
      </c>
      <c r="H65" s="11" t="s">
        <v>73</v>
      </c>
      <c r="I65" s="11" t="s">
        <v>74</v>
      </c>
      <c r="J65" s="11" t="s">
        <v>75</v>
      </c>
      <c r="K65" s="11" t="s">
        <v>447</v>
      </c>
      <c r="L65" s="11" t="s">
        <v>448</v>
      </c>
      <c r="M65" s="5" t="s">
        <v>686</v>
      </c>
      <c r="N65" s="5" t="s">
        <v>687</v>
      </c>
      <c r="O65" s="5" t="s">
        <v>111</v>
      </c>
      <c r="P65" s="5" t="s">
        <v>452</v>
      </c>
      <c r="Q65" s="11" t="s">
        <v>82</v>
      </c>
      <c r="R65" s="11" t="s">
        <v>82</v>
      </c>
      <c r="S65" s="11" t="s">
        <v>82</v>
      </c>
      <c r="T65" s="11" t="s">
        <v>156</v>
      </c>
      <c r="U65" s="5" t="s">
        <v>157</v>
      </c>
      <c r="V65" s="11" t="s">
        <v>454</v>
      </c>
      <c r="W65" s="11" t="s">
        <v>455</v>
      </c>
      <c r="X65" s="11" t="s">
        <v>456</v>
      </c>
      <c r="Y65" s="11" t="s">
        <v>158</v>
      </c>
      <c r="Z65" s="11" t="s">
        <v>688</v>
      </c>
    </row>
    <row r="66" spans="1:26">
      <c r="A66" s="11" t="s">
        <v>458</v>
      </c>
      <c r="B66" s="11" t="s">
        <v>153</v>
      </c>
      <c r="C66" s="12">
        <v>3142</v>
      </c>
      <c r="D66" s="12">
        <v>2768</v>
      </c>
      <c r="E66" s="11" t="s">
        <v>71</v>
      </c>
      <c r="F66" s="13" t="s">
        <v>459</v>
      </c>
      <c r="G66" s="14">
        <v>4</v>
      </c>
      <c r="H66" s="11" t="s">
        <v>73</v>
      </c>
      <c r="I66" s="11" t="s">
        <v>74</v>
      </c>
      <c r="J66" s="11" t="s">
        <v>75</v>
      </c>
      <c r="K66" s="11" t="s">
        <v>447</v>
      </c>
      <c r="L66" s="11" t="s">
        <v>448</v>
      </c>
      <c r="M66" s="5" t="s">
        <v>686</v>
      </c>
      <c r="N66" s="5" t="s">
        <v>689</v>
      </c>
      <c r="O66" s="5" t="s">
        <v>564</v>
      </c>
      <c r="P66" s="5" t="s">
        <v>462</v>
      </c>
      <c r="Q66" s="11" t="s">
        <v>82</v>
      </c>
      <c r="R66" s="11" t="s">
        <v>82</v>
      </c>
      <c r="S66" s="11" t="s">
        <v>82</v>
      </c>
      <c r="T66" s="11" t="s">
        <v>156</v>
      </c>
      <c r="U66" s="5" t="s">
        <v>157</v>
      </c>
      <c r="V66" s="11" t="s">
        <v>463</v>
      </c>
      <c r="W66" s="11" t="s">
        <v>464</v>
      </c>
      <c r="X66" s="11" t="s">
        <v>465</v>
      </c>
      <c r="Y66" s="11" t="s">
        <v>158</v>
      </c>
      <c r="Z66" s="11" t="s">
        <v>690</v>
      </c>
    </row>
    <row r="67" spans="1:26">
      <c r="A67" s="11" t="s">
        <v>467</v>
      </c>
      <c r="B67" s="11" t="s">
        <v>153</v>
      </c>
      <c r="C67" s="12">
        <v>3091</v>
      </c>
      <c r="D67" s="12">
        <v>2767</v>
      </c>
      <c r="E67" s="11" t="s">
        <v>71</v>
      </c>
      <c r="F67" s="13" t="s">
        <v>468</v>
      </c>
      <c r="G67" s="14">
        <v>4</v>
      </c>
      <c r="H67" s="11" t="s">
        <v>73</v>
      </c>
      <c r="I67" s="11" t="s">
        <v>74</v>
      </c>
      <c r="J67" s="11" t="s">
        <v>75</v>
      </c>
      <c r="K67" s="11" t="s">
        <v>447</v>
      </c>
      <c r="L67" s="11" t="s">
        <v>448</v>
      </c>
      <c r="M67" s="5" t="s">
        <v>686</v>
      </c>
      <c r="N67" s="5" t="s">
        <v>691</v>
      </c>
      <c r="O67" s="5" t="s">
        <v>567</v>
      </c>
      <c r="P67" s="5" t="s">
        <v>471</v>
      </c>
      <c r="Q67" s="11" t="s">
        <v>82</v>
      </c>
      <c r="R67" s="11" t="s">
        <v>82</v>
      </c>
      <c r="S67" s="11" t="s">
        <v>82</v>
      </c>
      <c r="T67" s="11" t="s">
        <v>156</v>
      </c>
      <c r="U67" s="5" t="s">
        <v>157</v>
      </c>
      <c r="V67" s="11" t="s">
        <v>472</v>
      </c>
      <c r="W67" s="11" t="s">
        <v>473</v>
      </c>
      <c r="X67" s="11" t="s">
        <v>474</v>
      </c>
      <c r="Y67" s="11" t="s">
        <v>158</v>
      </c>
      <c r="Z67" s="11" t="s">
        <v>692</v>
      </c>
    </row>
    <row r="68" spans="1:26">
      <c r="A68" s="11" t="s">
        <v>476</v>
      </c>
      <c r="B68" s="11" t="s">
        <v>153</v>
      </c>
      <c r="C68" s="17">
        <v>3406</v>
      </c>
      <c r="D68" s="17">
        <v>3120</v>
      </c>
      <c r="E68" s="11" t="s">
        <v>71</v>
      </c>
      <c r="F68" s="13" t="s">
        <v>477</v>
      </c>
      <c r="G68" s="18" t="s">
        <v>478</v>
      </c>
      <c r="H68" s="11" t="s">
        <v>73</v>
      </c>
      <c r="I68" s="11" t="s">
        <v>74</v>
      </c>
      <c r="J68" s="11" t="s">
        <v>75</v>
      </c>
      <c r="K68" s="11" t="s">
        <v>479</v>
      </c>
      <c r="L68" s="11" t="s">
        <v>77</v>
      </c>
      <c r="M68" s="5" t="s">
        <v>693</v>
      </c>
      <c r="N68" s="5" t="s">
        <v>694</v>
      </c>
      <c r="O68" s="5" t="s">
        <v>571</v>
      </c>
      <c r="P68" s="5" t="s">
        <v>483</v>
      </c>
      <c r="Q68" s="11" t="s">
        <v>82</v>
      </c>
      <c r="R68" s="11" t="s">
        <v>82</v>
      </c>
      <c r="S68" s="11" t="s">
        <v>82</v>
      </c>
      <c r="T68" s="11" t="s">
        <v>156</v>
      </c>
      <c r="U68" s="5" t="s">
        <v>157</v>
      </c>
      <c r="V68" s="11" t="s">
        <v>484</v>
      </c>
      <c r="W68" s="11" t="s">
        <v>86</v>
      </c>
      <c r="X68" s="11" t="s">
        <v>87</v>
      </c>
      <c r="Y68" s="11" t="s">
        <v>158</v>
      </c>
      <c r="Z68" s="11" t="s">
        <v>695</v>
      </c>
    </row>
    <row r="69" spans="1:26">
      <c r="A69" s="11" t="s">
        <v>486</v>
      </c>
      <c r="B69" s="11" t="s">
        <v>153</v>
      </c>
      <c r="C69" s="12">
        <v>3328</v>
      </c>
      <c r="D69" s="12">
        <v>3063</v>
      </c>
      <c r="E69" s="11" t="s">
        <v>71</v>
      </c>
      <c r="F69" s="13" t="s">
        <v>487</v>
      </c>
      <c r="G69" s="14">
        <v>1</v>
      </c>
      <c r="H69" s="11" t="s">
        <v>73</v>
      </c>
      <c r="I69" s="11" t="s">
        <v>74</v>
      </c>
      <c r="J69" s="11" t="s">
        <v>75</v>
      </c>
      <c r="K69" s="11" t="s">
        <v>447</v>
      </c>
      <c r="L69" s="11" t="s">
        <v>488</v>
      </c>
      <c r="M69" s="5" t="s">
        <v>686</v>
      </c>
      <c r="N69" s="5" t="s">
        <v>696</v>
      </c>
      <c r="O69" s="5" t="s">
        <v>111</v>
      </c>
      <c r="P69" s="5" t="s">
        <v>491</v>
      </c>
      <c r="Q69" s="11" t="s">
        <v>82</v>
      </c>
      <c r="R69" s="11" t="s">
        <v>82</v>
      </c>
      <c r="S69" s="11" t="s">
        <v>82</v>
      </c>
      <c r="T69" s="11" t="s">
        <v>156</v>
      </c>
      <c r="U69" s="5" t="s">
        <v>157</v>
      </c>
      <c r="V69" s="11" t="s">
        <v>492</v>
      </c>
      <c r="W69" s="11" t="s">
        <v>493</v>
      </c>
      <c r="X69" s="11" t="s">
        <v>494</v>
      </c>
      <c r="Y69" s="11" t="s">
        <v>158</v>
      </c>
      <c r="Z69" s="11" t="s">
        <v>697</v>
      </c>
    </row>
    <row r="70" spans="1:26">
      <c r="A70" s="11" t="s">
        <v>496</v>
      </c>
      <c r="B70" s="11" t="s">
        <v>153</v>
      </c>
      <c r="C70" s="12">
        <v>3324</v>
      </c>
      <c r="D70" s="12">
        <v>3142</v>
      </c>
      <c r="E70" s="11" t="s">
        <v>71</v>
      </c>
      <c r="F70" s="13" t="s">
        <v>497</v>
      </c>
      <c r="G70" s="14">
        <v>1</v>
      </c>
      <c r="H70" s="11" t="s">
        <v>73</v>
      </c>
      <c r="I70" s="11" t="s">
        <v>74</v>
      </c>
      <c r="J70" s="11" t="s">
        <v>75</v>
      </c>
      <c r="K70" s="11" t="s">
        <v>447</v>
      </c>
      <c r="L70" s="11" t="s">
        <v>488</v>
      </c>
      <c r="M70" s="5" t="s">
        <v>686</v>
      </c>
      <c r="N70" s="5" t="s">
        <v>698</v>
      </c>
      <c r="O70" s="5" t="s">
        <v>576</v>
      </c>
      <c r="P70" s="5" t="s">
        <v>500</v>
      </c>
      <c r="Q70" s="11" t="s">
        <v>82</v>
      </c>
      <c r="R70" s="11" t="s">
        <v>82</v>
      </c>
      <c r="S70" s="11" t="s">
        <v>82</v>
      </c>
      <c r="T70" s="11" t="s">
        <v>156</v>
      </c>
      <c r="U70" s="5" t="s">
        <v>157</v>
      </c>
      <c r="V70" s="11" t="s">
        <v>501</v>
      </c>
      <c r="W70" s="11" t="s">
        <v>502</v>
      </c>
      <c r="X70" s="11" t="s">
        <v>503</v>
      </c>
      <c r="Y70" s="11" t="s">
        <v>158</v>
      </c>
      <c r="Z70" s="11" t="s">
        <v>699</v>
      </c>
    </row>
    <row r="71" spans="1:26">
      <c r="A71" s="11" t="s">
        <v>505</v>
      </c>
      <c r="B71" s="11" t="s">
        <v>153</v>
      </c>
      <c r="C71" s="12">
        <v>3283</v>
      </c>
      <c r="D71" s="12">
        <v>3091</v>
      </c>
      <c r="E71" s="11" t="s">
        <v>71</v>
      </c>
      <c r="F71" s="13" t="s">
        <v>506</v>
      </c>
      <c r="G71" s="14">
        <v>1</v>
      </c>
      <c r="H71" s="11" t="s">
        <v>73</v>
      </c>
      <c r="I71" s="11" t="s">
        <v>74</v>
      </c>
      <c r="J71" s="11" t="s">
        <v>75</v>
      </c>
      <c r="K71" s="11" t="s">
        <v>447</v>
      </c>
      <c r="L71" s="11" t="s">
        <v>488</v>
      </c>
      <c r="M71" s="5" t="s">
        <v>686</v>
      </c>
      <c r="N71" s="5" t="s">
        <v>700</v>
      </c>
      <c r="O71" s="5" t="s">
        <v>579</v>
      </c>
      <c r="P71" s="5" t="s">
        <v>509</v>
      </c>
      <c r="Q71" s="11" t="s">
        <v>82</v>
      </c>
      <c r="R71" s="11" t="s">
        <v>82</v>
      </c>
      <c r="S71" s="11" t="s">
        <v>82</v>
      </c>
      <c r="T71" s="11" t="s">
        <v>156</v>
      </c>
      <c r="U71" s="5" t="s">
        <v>157</v>
      </c>
      <c r="V71" s="11" t="s">
        <v>510</v>
      </c>
      <c r="W71" s="11" t="s">
        <v>511</v>
      </c>
      <c r="X71" s="11" t="s">
        <v>512</v>
      </c>
      <c r="Y71" s="11" t="s">
        <v>158</v>
      </c>
      <c r="Z71" s="11" t="s">
        <v>701</v>
      </c>
    </row>
    <row r="72" spans="1:26">
      <c r="A72" s="11" t="s">
        <v>514</v>
      </c>
      <c r="B72" s="11" t="s">
        <v>153</v>
      </c>
      <c r="C72" s="17">
        <v>3191</v>
      </c>
      <c r="D72" s="17">
        <v>3406</v>
      </c>
      <c r="E72" s="11" t="s">
        <v>71</v>
      </c>
      <c r="F72" s="13" t="s">
        <v>515</v>
      </c>
      <c r="G72" s="18" t="s">
        <v>516</v>
      </c>
      <c r="H72" s="11" t="s">
        <v>73</v>
      </c>
      <c r="I72" s="11" t="s">
        <v>74</v>
      </c>
      <c r="J72" s="11" t="s">
        <v>75</v>
      </c>
      <c r="K72" s="11" t="s">
        <v>479</v>
      </c>
      <c r="L72" s="11" t="s">
        <v>77</v>
      </c>
      <c r="M72" s="5" t="s">
        <v>702</v>
      </c>
      <c r="N72" s="5" t="s">
        <v>703</v>
      </c>
      <c r="O72" s="5" t="s">
        <v>583</v>
      </c>
      <c r="P72" s="5" t="s">
        <v>520</v>
      </c>
      <c r="Q72" s="11" t="s">
        <v>82</v>
      </c>
      <c r="R72" s="11" t="s">
        <v>82</v>
      </c>
      <c r="S72" s="11" t="s">
        <v>82</v>
      </c>
      <c r="T72" s="11" t="s">
        <v>156</v>
      </c>
      <c r="U72" s="5" t="s">
        <v>157</v>
      </c>
      <c r="V72" s="11" t="s">
        <v>521</v>
      </c>
      <c r="W72" s="11" t="s">
        <v>96</v>
      </c>
      <c r="X72" s="11" t="s">
        <v>97</v>
      </c>
      <c r="Y72" s="11" t="s">
        <v>158</v>
      </c>
      <c r="Z72" s="11" t="s">
        <v>704</v>
      </c>
    </row>
    <row r="73" spans="1:26">
      <c r="A73" s="11" t="s">
        <v>523</v>
      </c>
      <c r="B73" s="11" t="s">
        <v>153</v>
      </c>
      <c r="C73" s="12">
        <v>2975</v>
      </c>
      <c r="D73" s="12">
        <v>3328</v>
      </c>
      <c r="E73" s="11" t="s">
        <v>71</v>
      </c>
      <c r="F73" s="13" t="s">
        <v>524</v>
      </c>
      <c r="G73" s="14">
        <v>1</v>
      </c>
      <c r="H73" s="11" t="s">
        <v>73</v>
      </c>
      <c r="I73" s="11" t="s">
        <v>74</v>
      </c>
      <c r="J73" s="11" t="s">
        <v>75</v>
      </c>
      <c r="K73" s="11" t="s">
        <v>447</v>
      </c>
      <c r="L73" s="11" t="s">
        <v>488</v>
      </c>
      <c r="M73" s="5" t="s">
        <v>686</v>
      </c>
      <c r="N73" s="5" t="s">
        <v>705</v>
      </c>
      <c r="O73" s="5" t="s">
        <v>111</v>
      </c>
      <c r="P73" s="5" t="s">
        <v>527</v>
      </c>
      <c r="Q73" s="11" t="s">
        <v>82</v>
      </c>
      <c r="R73" s="11" t="s">
        <v>82</v>
      </c>
      <c r="S73" s="11" t="s">
        <v>82</v>
      </c>
      <c r="T73" s="11" t="s">
        <v>156</v>
      </c>
      <c r="U73" s="5" t="s">
        <v>157</v>
      </c>
      <c r="V73" s="11" t="s">
        <v>528</v>
      </c>
      <c r="W73" s="11" t="s">
        <v>529</v>
      </c>
      <c r="X73" s="11" t="s">
        <v>530</v>
      </c>
      <c r="Y73" s="11" t="s">
        <v>158</v>
      </c>
      <c r="Z73" s="11" t="s">
        <v>706</v>
      </c>
    </row>
    <row r="74" spans="1:26">
      <c r="A74" s="11" t="s">
        <v>532</v>
      </c>
      <c r="B74" s="11" t="s">
        <v>153</v>
      </c>
      <c r="C74" s="12">
        <v>3267</v>
      </c>
      <c r="D74" s="12">
        <v>3324</v>
      </c>
      <c r="E74" s="11" t="s">
        <v>71</v>
      </c>
      <c r="F74" s="13" t="s">
        <v>533</v>
      </c>
      <c r="G74" s="14">
        <v>1</v>
      </c>
      <c r="H74" s="11" t="s">
        <v>73</v>
      </c>
      <c r="I74" s="11" t="s">
        <v>74</v>
      </c>
      <c r="J74" s="11" t="s">
        <v>75</v>
      </c>
      <c r="K74" s="11" t="s">
        <v>447</v>
      </c>
      <c r="L74" s="11" t="s">
        <v>488</v>
      </c>
      <c r="M74" s="5" t="s">
        <v>686</v>
      </c>
      <c r="N74" s="5" t="s">
        <v>707</v>
      </c>
      <c r="O74" s="5" t="s">
        <v>588</v>
      </c>
      <c r="P74" s="5" t="s">
        <v>536</v>
      </c>
      <c r="Q74" s="11" t="s">
        <v>82</v>
      </c>
      <c r="R74" s="11" t="s">
        <v>82</v>
      </c>
      <c r="S74" s="11" t="s">
        <v>82</v>
      </c>
      <c r="T74" s="11" t="s">
        <v>156</v>
      </c>
      <c r="U74" s="5" t="s">
        <v>157</v>
      </c>
      <c r="V74" s="11" t="s">
        <v>537</v>
      </c>
      <c r="W74" s="11" t="s">
        <v>538</v>
      </c>
      <c r="X74" s="11" t="s">
        <v>539</v>
      </c>
      <c r="Y74" s="11" t="s">
        <v>158</v>
      </c>
      <c r="Z74" s="11" t="s">
        <v>708</v>
      </c>
    </row>
    <row r="75" spans="1:26">
      <c r="A75" s="11" t="s">
        <v>541</v>
      </c>
      <c r="B75" s="11" t="s">
        <v>153</v>
      </c>
      <c r="C75" s="12">
        <v>3041</v>
      </c>
      <c r="D75" s="12">
        <v>3283</v>
      </c>
      <c r="E75" s="11" t="s">
        <v>71</v>
      </c>
      <c r="F75" s="13" t="s">
        <v>542</v>
      </c>
      <c r="G75" s="14">
        <v>1</v>
      </c>
      <c r="H75" s="11" t="s">
        <v>73</v>
      </c>
      <c r="I75" s="11" t="s">
        <v>74</v>
      </c>
      <c r="J75" s="11" t="s">
        <v>75</v>
      </c>
      <c r="K75" s="11" t="s">
        <v>447</v>
      </c>
      <c r="L75" s="11" t="s">
        <v>488</v>
      </c>
      <c r="M75" s="5" t="s">
        <v>686</v>
      </c>
      <c r="N75" s="5" t="s">
        <v>709</v>
      </c>
      <c r="O75" s="5" t="s">
        <v>591</v>
      </c>
      <c r="P75" s="5" t="s">
        <v>545</v>
      </c>
      <c r="Q75" s="11" t="s">
        <v>82</v>
      </c>
      <c r="R75" s="11" t="s">
        <v>82</v>
      </c>
      <c r="S75" s="11" t="s">
        <v>82</v>
      </c>
      <c r="T75" s="11" t="s">
        <v>156</v>
      </c>
      <c r="U75" s="5" t="s">
        <v>157</v>
      </c>
      <c r="V75" s="11" t="s">
        <v>546</v>
      </c>
      <c r="W75" s="11" t="s">
        <v>547</v>
      </c>
      <c r="X75" s="11" t="s">
        <v>548</v>
      </c>
      <c r="Y75" s="11" t="s">
        <v>158</v>
      </c>
      <c r="Z75" s="11" t="s">
        <v>710</v>
      </c>
    </row>
    <row r="76" spans="1:26">
      <c r="A76" s="11" t="s">
        <v>550</v>
      </c>
      <c r="B76" s="11" t="s">
        <v>153</v>
      </c>
      <c r="C76" s="17">
        <v>3742</v>
      </c>
      <c r="D76" s="17">
        <v>3191</v>
      </c>
      <c r="E76" s="11" t="s">
        <v>71</v>
      </c>
      <c r="F76" s="13" t="s">
        <v>551</v>
      </c>
      <c r="G76" s="18" t="s">
        <v>552</v>
      </c>
      <c r="H76" s="11" t="s">
        <v>73</v>
      </c>
      <c r="I76" s="11" t="s">
        <v>74</v>
      </c>
      <c r="J76" s="11" t="s">
        <v>75</v>
      </c>
      <c r="K76" s="11" t="s">
        <v>479</v>
      </c>
      <c r="L76" s="11" t="s">
        <v>77</v>
      </c>
      <c r="M76" s="5" t="s">
        <v>711</v>
      </c>
      <c r="N76" s="5" t="s">
        <v>712</v>
      </c>
      <c r="O76" s="5" t="s">
        <v>555</v>
      </c>
      <c r="P76" s="5" t="s">
        <v>556</v>
      </c>
      <c r="Q76" s="11" t="s">
        <v>82</v>
      </c>
      <c r="R76" s="11" t="s">
        <v>82</v>
      </c>
      <c r="S76" s="11" t="s">
        <v>82</v>
      </c>
      <c r="T76" s="11" t="s">
        <v>156</v>
      </c>
      <c r="U76" s="5" t="s">
        <v>157</v>
      </c>
      <c r="V76" s="11" t="s">
        <v>557</v>
      </c>
      <c r="W76" s="11" t="s">
        <v>105</v>
      </c>
      <c r="X76" s="11" t="s">
        <v>106</v>
      </c>
      <c r="Y76" s="11" t="s">
        <v>158</v>
      </c>
      <c r="Z76" s="11" t="s">
        <v>713</v>
      </c>
    </row>
    <row r="77" spans="1:26">
      <c r="A77" s="11" t="s">
        <v>445</v>
      </c>
      <c r="B77" s="11" t="s">
        <v>164</v>
      </c>
      <c r="C77" s="12">
        <v>11</v>
      </c>
      <c r="D77" s="12">
        <v>16</v>
      </c>
      <c r="E77" s="11" t="s">
        <v>71</v>
      </c>
      <c r="F77" s="13" t="s">
        <v>446</v>
      </c>
      <c r="G77" s="14">
        <v>4</v>
      </c>
      <c r="H77" s="11" t="s">
        <v>73</v>
      </c>
      <c r="I77" s="11" t="s">
        <v>74</v>
      </c>
      <c r="J77" s="11" t="s">
        <v>75</v>
      </c>
      <c r="K77" s="11" t="s">
        <v>447</v>
      </c>
      <c r="L77" s="11" t="s">
        <v>448</v>
      </c>
      <c r="M77" s="5" t="s">
        <v>714</v>
      </c>
      <c r="N77" s="5" t="s">
        <v>715</v>
      </c>
      <c r="O77" s="5" t="s">
        <v>111</v>
      </c>
      <c r="P77" s="5" t="s">
        <v>452</v>
      </c>
      <c r="Q77" s="11" t="s">
        <v>82</v>
      </c>
      <c r="R77" s="11" t="s">
        <v>82</v>
      </c>
      <c r="S77" s="11" t="s">
        <v>82</v>
      </c>
      <c r="T77" s="11" t="s">
        <v>167</v>
      </c>
      <c r="U77" s="5" t="s">
        <v>168</v>
      </c>
      <c r="V77" s="11" t="s">
        <v>454</v>
      </c>
      <c r="W77" s="11" t="s">
        <v>455</v>
      </c>
      <c r="X77" s="11" t="s">
        <v>456</v>
      </c>
      <c r="Y77" s="11" t="s">
        <v>169</v>
      </c>
      <c r="Z77" s="11" t="s">
        <v>716</v>
      </c>
    </row>
    <row r="78" spans="1:26">
      <c r="A78" s="11" t="s">
        <v>458</v>
      </c>
      <c r="B78" s="11" t="s">
        <v>164</v>
      </c>
      <c r="C78" s="12">
        <v>14</v>
      </c>
      <c r="D78" s="12">
        <v>13</v>
      </c>
      <c r="E78" s="11" t="s">
        <v>71</v>
      </c>
      <c r="F78" s="13" t="s">
        <v>459</v>
      </c>
      <c r="G78" s="14">
        <v>4</v>
      </c>
      <c r="H78" s="11" t="s">
        <v>73</v>
      </c>
      <c r="I78" s="11" t="s">
        <v>74</v>
      </c>
      <c r="J78" s="11" t="s">
        <v>75</v>
      </c>
      <c r="K78" s="11" t="s">
        <v>447</v>
      </c>
      <c r="L78" s="11" t="s">
        <v>448</v>
      </c>
      <c r="M78" s="5" t="s">
        <v>714</v>
      </c>
      <c r="N78" s="5" t="s">
        <v>184</v>
      </c>
      <c r="O78" s="5" t="s">
        <v>564</v>
      </c>
      <c r="P78" s="5" t="s">
        <v>462</v>
      </c>
      <c r="Q78" s="11" t="s">
        <v>82</v>
      </c>
      <c r="R78" s="11" t="s">
        <v>82</v>
      </c>
      <c r="S78" s="11" t="s">
        <v>82</v>
      </c>
      <c r="T78" s="11" t="s">
        <v>167</v>
      </c>
      <c r="U78" s="5" t="s">
        <v>168</v>
      </c>
      <c r="V78" s="11" t="s">
        <v>463</v>
      </c>
      <c r="W78" s="11" t="s">
        <v>464</v>
      </c>
      <c r="X78" s="11" t="s">
        <v>465</v>
      </c>
      <c r="Y78" s="11" t="s">
        <v>169</v>
      </c>
      <c r="Z78" s="11" t="s">
        <v>717</v>
      </c>
    </row>
    <row r="79" spans="1:26">
      <c r="A79" s="11" t="s">
        <v>467</v>
      </c>
      <c r="B79" s="11" t="s">
        <v>164</v>
      </c>
      <c r="C79" s="12">
        <v>12</v>
      </c>
      <c r="D79" s="12">
        <v>13</v>
      </c>
      <c r="E79" s="11" t="s">
        <v>71</v>
      </c>
      <c r="F79" s="13" t="s">
        <v>468</v>
      </c>
      <c r="G79" s="14">
        <v>4</v>
      </c>
      <c r="H79" s="11" t="s">
        <v>73</v>
      </c>
      <c r="I79" s="11" t="s">
        <v>74</v>
      </c>
      <c r="J79" s="11" t="s">
        <v>75</v>
      </c>
      <c r="K79" s="11" t="s">
        <v>447</v>
      </c>
      <c r="L79" s="11" t="s">
        <v>448</v>
      </c>
      <c r="M79" s="5" t="s">
        <v>714</v>
      </c>
      <c r="N79" s="5" t="s">
        <v>718</v>
      </c>
      <c r="O79" s="5" t="s">
        <v>567</v>
      </c>
      <c r="P79" s="5" t="s">
        <v>471</v>
      </c>
      <c r="Q79" s="11" t="s">
        <v>82</v>
      </c>
      <c r="R79" s="11" t="s">
        <v>82</v>
      </c>
      <c r="S79" s="11" t="s">
        <v>82</v>
      </c>
      <c r="T79" s="11" t="s">
        <v>167</v>
      </c>
      <c r="U79" s="5" t="s">
        <v>168</v>
      </c>
      <c r="V79" s="11" t="s">
        <v>472</v>
      </c>
      <c r="W79" s="11" t="s">
        <v>473</v>
      </c>
      <c r="X79" s="11" t="s">
        <v>474</v>
      </c>
      <c r="Y79" s="11" t="s">
        <v>169</v>
      </c>
      <c r="Z79" s="11" t="s">
        <v>719</v>
      </c>
    </row>
    <row r="80" spans="1:26">
      <c r="A80" s="11" t="s">
        <v>476</v>
      </c>
      <c r="B80" s="11" t="s">
        <v>164</v>
      </c>
      <c r="C80" s="17">
        <v>12</v>
      </c>
      <c r="D80" s="17">
        <v>12</v>
      </c>
      <c r="E80" s="11" t="s">
        <v>71</v>
      </c>
      <c r="F80" s="13" t="s">
        <v>477</v>
      </c>
      <c r="G80" s="18" t="s">
        <v>478</v>
      </c>
      <c r="H80" s="11" t="s">
        <v>73</v>
      </c>
      <c r="I80" s="11" t="s">
        <v>74</v>
      </c>
      <c r="J80" s="11" t="s">
        <v>75</v>
      </c>
      <c r="K80" s="11" t="s">
        <v>479</v>
      </c>
      <c r="L80" s="11" t="s">
        <v>77</v>
      </c>
      <c r="M80" s="5" t="s">
        <v>720</v>
      </c>
      <c r="N80" s="5" t="s">
        <v>721</v>
      </c>
      <c r="O80" s="5" t="s">
        <v>571</v>
      </c>
      <c r="P80" s="5" t="s">
        <v>483</v>
      </c>
      <c r="Q80" s="11" t="s">
        <v>82</v>
      </c>
      <c r="R80" s="11" t="s">
        <v>82</v>
      </c>
      <c r="S80" s="11" t="s">
        <v>82</v>
      </c>
      <c r="T80" s="11" t="s">
        <v>167</v>
      </c>
      <c r="U80" s="5" t="s">
        <v>168</v>
      </c>
      <c r="V80" s="11" t="s">
        <v>484</v>
      </c>
      <c r="W80" s="11" t="s">
        <v>86</v>
      </c>
      <c r="X80" s="11" t="s">
        <v>87</v>
      </c>
      <c r="Y80" s="11" t="s">
        <v>169</v>
      </c>
      <c r="Z80" s="11" t="s">
        <v>722</v>
      </c>
    </row>
    <row r="81" spans="1:26">
      <c r="A81" s="11" t="s">
        <v>486</v>
      </c>
      <c r="B81" s="11" t="s">
        <v>164</v>
      </c>
      <c r="C81" s="12">
        <v>15</v>
      </c>
      <c r="D81" s="12">
        <v>11</v>
      </c>
      <c r="E81" s="11" t="s">
        <v>71</v>
      </c>
      <c r="F81" s="13" t="s">
        <v>487</v>
      </c>
      <c r="G81" s="14">
        <v>1</v>
      </c>
      <c r="H81" s="11" t="s">
        <v>73</v>
      </c>
      <c r="I81" s="11" t="s">
        <v>74</v>
      </c>
      <c r="J81" s="11" t="s">
        <v>75</v>
      </c>
      <c r="K81" s="11" t="s">
        <v>447</v>
      </c>
      <c r="L81" s="11" t="s">
        <v>488</v>
      </c>
      <c r="M81" s="5" t="s">
        <v>714</v>
      </c>
      <c r="N81" s="5" t="s">
        <v>723</v>
      </c>
      <c r="O81" s="5" t="s">
        <v>111</v>
      </c>
      <c r="P81" s="5" t="s">
        <v>491</v>
      </c>
      <c r="Q81" s="11" t="s">
        <v>82</v>
      </c>
      <c r="R81" s="11" t="s">
        <v>82</v>
      </c>
      <c r="S81" s="11" t="s">
        <v>82</v>
      </c>
      <c r="T81" s="11" t="s">
        <v>167</v>
      </c>
      <c r="U81" s="5" t="s">
        <v>168</v>
      </c>
      <c r="V81" s="11" t="s">
        <v>492</v>
      </c>
      <c r="W81" s="11" t="s">
        <v>493</v>
      </c>
      <c r="X81" s="11" t="s">
        <v>494</v>
      </c>
      <c r="Y81" s="11" t="s">
        <v>169</v>
      </c>
      <c r="Z81" s="11" t="s">
        <v>724</v>
      </c>
    </row>
    <row r="82" spans="1:26">
      <c r="A82" s="11" t="s">
        <v>496</v>
      </c>
      <c r="B82" s="11" t="s">
        <v>164</v>
      </c>
      <c r="C82" s="12">
        <v>12</v>
      </c>
      <c r="D82" s="12">
        <v>14</v>
      </c>
      <c r="E82" s="11" t="s">
        <v>71</v>
      </c>
      <c r="F82" s="13" t="s">
        <v>497</v>
      </c>
      <c r="G82" s="14">
        <v>1</v>
      </c>
      <c r="H82" s="11" t="s">
        <v>73</v>
      </c>
      <c r="I82" s="11" t="s">
        <v>74</v>
      </c>
      <c r="J82" s="11" t="s">
        <v>75</v>
      </c>
      <c r="K82" s="11" t="s">
        <v>447</v>
      </c>
      <c r="L82" s="11" t="s">
        <v>488</v>
      </c>
      <c r="M82" s="5" t="s">
        <v>714</v>
      </c>
      <c r="N82" s="5" t="s">
        <v>718</v>
      </c>
      <c r="O82" s="5" t="s">
        <v>576</v>
      </c>
      <c r="P82" s="5" t="s">
        <v>500</v>
      </c>
      <c r="Q82" s="11" t="s">
        <v>82</v>
      </c>
      <c r="R82" s="11" t="s">
        <v>82</v>
      </c>
      <c r="S82" s="11" t="s">
        <v>82</v>
      </c>
      <c r="T82" s="11" t="s">
        <v>167</v>
      </c>
      <c r="U82" s="5" t="s">
        <v>168</v>
      </c>
      <c r="V82" s="11" t="s">
        <v>501</v>
      </c>
      <c r="W82" s="11" t="s">
        <v>502</v>
      </c>
      <c r="X82" s="11" t="s">
        <v>503</v>
      </c>
      <c r="Y82" s="11" t="s">
        <v>169</v>
      </c>
      <c r="Z82" s="11" t="s">
        <v>725</v>
      </c>
    </row>
    <row r="83" spans="1:26">
      <c r="A83" s="11" t="s">
        <v>505</v>
      </c>
      <c r="B83" s="11" t="s">
        <v>164</v>
      </c>
      <c r="C83" s="12">
        <v>12</v>
      </c>
      <c r="D83" s="12">
        <v>12</v>
      </c>
      <c r="E83" s="11" t="s">
        <v>71</v>
      </c>
      <c r="F83" s="13" t="s">
        <v>506</v>
      </c>
      <c r="G83" s="14">
        <v>1</v>
      </c>
      <c r="H83" s="11" t="s">
        <v>73</v>
      </c>
      <c r="I83" s="11" t="s">
        <v>74</v>
      </c>
      <c r="J83" s="11" t="s">
        <v>75</v>
      </c>
      <c r="K83" s="11" t="s">
        <v>447</v>
      </c>
      <c r="L83" s="11" t="s">
        <v>488</v>
      </c>
      <c r="M83" s="5" t="s">
        <v>714</v>
      </c>
      <c r="N83" s="5" t="s">
        <v>718</v>
      </c>
      <c r="O83" s="5" t="s">
        <v>579</v>
      </c>
      <c r="P83" s="5" t="s">
        <v>509</v>
      </c>
      <c r="Q83" s="11" t="s">
        <v>82</v>
      </c>
      <c r="R83" s="11" t="s">
        <v>82</v>
      </c>
      <c r="S83" s="11" t="s">
        <v>82</v>
      </c>
      <c r="T83" s="11" t="s">
        <v>167</v>
      </c>
      <c r="U83" s="5" t="s">
        <v>168</v>
      </c>
      <c r="V83" s="11" t="s">
        <v>510</v>
      </c>
      <c r="W83" s="11" t="s">
        <v>511</v>
      </c>
      <c r="X83" s="11" t="s">
        <v>512</v>
      </c>
      <c r="Y83" s="11" t="s">
        <v>169</v>
      </c>
      <c r="Z83" s="11" t="s">
        <v>726</v>
      </c>
    </row>
    <row r="84" spans="1:26">
      <c r="A84" s="11" t="s">
        <v>514</v>
      </c>
      <c r="B84" s="11" t="s">
        <v>164</v>
      </c>
      <c r="C84" s="17">
        <v>50</v>
      </c>
      <c r="D84" s="17">
        <v>12</v>
      </c>
      <c r="E84" s="11" t="s">
        <v>71</v>
      </c>
      <c r="F84" s="13" t="s">
        <v>515</v>
      </c>
      <c r="G84" s="18" t="s">
        <v>516</v>
      </c>
      <c r="H84" s="11" t="s">
        <v>73</v>
      </c>
      <c r="I84" s="11" t="s">
        <v>74</v>
      </c>
      <c r="J84" s="11" t="s">
        <v>75</v>
      </c>
      <c r="K84" s="11" t="s">
        <v>479</v>
      </c>
      <c r="L84" s="11" t="s">
        <v>77</v>
      </c>
      <c r="M84" s="5" t="s">
        <v>727</v>
      </c>
      <c r="N84" s="5" t="s">
        <v>728</v>
      </c>
      <c r="O84" s="5" t="s">
        <v>583</v>
      </c>
      <c r="P84" s="5" t="s">
        <v>520</v>
      </c>
      <c r="Q84" s="11" t="s">
        <v>82</v>
      </c>
      <c r="R84" s="11" t="s">
        <v>82</v>
      </c>
      <c r="S84" s="11" t="s">
        <v>82</v>
      </c>
      <c r="T84" s="11" t="s">
        <v>167</v>
      </c>
      <c r="U84" s="5" t="s">
        <v>168</v>
      </c>
      <c r="V84" s="11" t="s">
        <v>521</v>
      </c>
      <c r="W84" s="11" t="s">
        <v>96</v>
      </c>
      <c r="X84" s="11" t="s">
        <v>97</v>
      </c>
      <c r="Y84" s="11" t="s">
        <v>169</v>
      </c>
      <c r="Z84" s="11" t="s">
        <v>729</v>
      </c>
    </row>
    <row r="85" spans="1:26">
      <c r="A85" s="11" t="s">
        <v>523</v>
      </c>
      <c r="B85" s="11" t="s">
        <v>164</v>
      </c>
      <c r="C85" s="12">
        <v>65</v>
      </c>
      <c r="D85" s="12">
        <v>15</v>
      </c>
      <c r="E85" s="11" t="s">
        <v>71</v>
      </c>
      <c r="F85" s="13" t="s">
        <v>524</v>
      </c>
      <c r="G85" s="14">
        <v>1</v>
      </c>
      <c r="H85" s="11" t="s">
        <v>73</v>
      </c>
      <c r="I85" s="11" t="s">
        <v>74</v>
      </c>
      <c r="J85" s="11" t="s">
        <v>75</v>
      </c>
      <c r="K85" s="11" t="s">
        <v>447</v>
      </c>
      <c r="L85" s="11" t="s">
        <v>488</v>
      </c>
      <c r="M85" s="5" t="s">
        <v>714</v>
      </c>
      <c r="N85" s="5" t="s">
        <v>730</v>
      </c>
      <c r="O85" s="5" t="s">
        <v>111</v>
      </c>
      <c r="P85" s="5" t="s">
        <v>527</v>
      </c>
      <c r="Q85" s="11" t="s">
        <v>82</v>
      </c>
      <c r="R85" s="11" t="s">
        <v>82</v>
      </c>
      <c r="S85" s="11" t="s">
        <v>82</v>
      </c>
      <c r="T85" s="11" t="s">
        <v>167</v>
      </c>
      <c r="U85" s="5" t="s">
        <v>168</v>
      </c>
      <c r="V85" s="11" t="s">
        <v>528</v>
      </c>
      <c r="W85" s="11" t="s">
        <v>529</v>
      </c>
      <c r="X85" s="11" t="s">
        <v>530</v>
      </c>
      <c r="Y85" s="11" t="s">
        <v>169</v>
      </c>
      <c r="Z85" s="11" t="s">
        <v>731</v>
      </c>
    </row>
    <row r="86" spans="1:26">
      <c r="A86" s="11" t="s">
        <v>532</v>
      </c>
      <c r="B86" s="11" t="s">
        <v>164</v>
      </c>
      <c r="C86" s="12">
        <v>70</v>
      </c>
      <c r="D86" s="12">
        <v>12</v>
      </c>
      <c r="E86" s="11" t="s">
        <v>71</v>
      </c>
      <c r="F86" s="13" t="s">
        <v>533</v>
      </c>
      <c r="G86" s="14">
        <v>1</v>
      </c>
      <c r="H86" s="11" t="s">
        <v>73</v>
      </c>
      <c r="I86" s="11" t="s">
        <v>74</v>
      </c>
      <c r="J86" s="11" t="s">
        <v>75</v>
      </c>
      <c r="K86" s="11" t="s">
        <v>447</v>
      </c>
      <c r="L86" s="11" t="s">
        <v>488</v>
      </c>
      <c r="M86" s="5" t="s">
        <v>714</v>
      </c>
      <c r="N86" s="5" t="s">
        <v>732</v>
      </c>
      <c r="O86" s="5" t="s">
        <v>588</v>
      </c>
      <c r="P86" s="5" t="s">
        <v>536</v>
      </c>
      <c r="Q86" s="11" t="s">
        <v>82</v>
      </c>
      <c r="R86" s="11" t="s">
        <v>82</v>
      </c>
      <c r="S86" s="11" t="s">
        <v>82</v>
      </c>
      <c r="T86" s="11" t="s">
        <v>167</v>
      </c>
      <c r="U86" s="5" t="s">
        <v>168</v>
      </c>
      <c r="V86" s="11" t="s">
        <v>537</v>
      </c>
      <c r="W86" s="11" t="s">
        <v>538</v>
      </c>
      <c r="X86" s="11" t="s">
        <v>539</v>
      </c>
      <c r="Y86" s="11" t="s">
        <v>169</v>
      </c>
      <c r="Z86" s="11" t="s">
        <v>733</v>
      </c>
    </row>
    <row r="87" spans="1:26">
      <c r="A87" s="11" t="s">
        <v>541</v>
      </c>
      <c r="B87" s="11" t="s">
        <v>164</v>
      </c>
      <c r="C87" s="12">
        <v>64</v>
      </c>
      <c r="D87" s="12">
        <v>12</v>
      </c>
      <c r="E87" s="11" t="s">
        <v>71</v>
      </c>
      <c r="F87" s="13" t="s">
        <v>542</v>
      </c>
      <c r="G87" s="14">
        <v>1</v>
      </c>
      <c r="H87" s="11" t="s">
        <v>73</v>
      </c>
      <c r="I87" s="11" t="s">
        <v>74</v>
      </c>
      <c r="J87" s="11" t="s">
        <v>75</v>
      </c>
      <c r="K87" s="11" t="s">
        <v>447</v>
      </c>
      <c r="L87" s="11" t="s">
        <v>488</v>
      </c>
      <c r="M87" s="5" t="s">
        <v>714</v>
      </c>
      <c r="N87" s="5" t="s">
        <v>734</v>
      </c>
      <c r="O87" s="5" t="s">
        <v>591</v>
      </c>
      <c r="P87" s="5" t="s">
        <v>545</v>
      </c>
      <c r="Q87" s="11" t="s">
        <v>82</v>
      </c>
      <c r="R87" s="11" t="s">
        <v>82</v>
      </c>
      <c r="S87" s="11" t="s">
        <v>82</v>
      </c>
      <c r="T87" s="11" t="s">
        <v>167</v>
      </c>
      <c r="U87" s="5" t="s">
        <v>168</v>
      </c>
      <c r="V87" s="11" t="s">
        <v>546</v>
      </c>
      <c r="W87" s="11" t="s">
        <v>547</v>
      </c>
      <c r="X87" s="11" t="s">
        <v>548</v>
      </c>
      <c r="Y87" s="11" t="s">
        <v>169</v>
      </c>
      <c r="Z87" s="11" t="s">
        <v>735</v>
      </c>
    </row>
    <row r="88" spans="1:26">
      <c r="A88" s="11" t="s">
        <v>550</v>
      </c>
      <c r="B88" s="11" t="s">
        <v>164</v>
      </c>
      <c r="C88" s="17">
        <v>63</v>
      </c>
      <c r="D88" s="17">
        <v>50</v>
      </c>
      <c r="E88" s="11" t="s">
        <v>71</v>
      </c>
      <c r="F88" s="13" t="s">
        <v>551</v>
      </c>
      <c r="G88" s="18" t="s">
        <v>552</v>
      </c>
      <c r="H88" s="11" t="s">
        <v>73</v>
      </c>
      <c r="I88" s="11" t="s">
        <v>74</v>
      </c>
      <c r="J88" s="11" t="s">
        <v>75</v>
      </c>
      <c r="K88" s="11" t="s">
        <v>479</v>
      </c>
      <c r="L88" s="11" t="s">
        <v>77</v>
      </c>
      <c r="M88" s="5" t="s">
        <v>736</v>
      </c>
      <c r="N88" s="5" t="s">
        <v>737</v>
      </c>
      <c r="O88" s="5" t="s">
        <v>555</v>
      </c>
      <c r="P88" s="5" t="s">
        <v>556</v>
      </c>
      <c r="Q88" s="11" t="s">
        <v>82</v>
      </c>
      <c r="R88" s="11" t="s">
        <v>82</v>
      </c>
      <c r="S88" s="11" t="s">
        <v>82</v>
      </c>
      <c r="T88" s="11" t="s">
        <v>167</v>
      </c>
      <c r="U88" s="5" t="s">
        <v>168</v>
      </c>
      <c r="V88" s="11" t="s">
        <v>557</v>
      </c>
      <c r="W88" s="11" t="s">
        <v>105</v>
      </c>
      <c r="X88" s="11" t="s">
        <v>106</v>
      </c>
      <c r="Y88" s="11" t="s">
        <v>169</v>
      </c>
      <c r="Z88" s="11" t="s">
        <v>738</v>
      </c>
    </row>
    <row r="89" spans="1:26">
      <c r="A89" s="11" t="s">
        <v>445</v>
      </c>
      <c r="B89" s="11" t="s">
        <v>175</v>
      </c>
      <c r="C89" s="12">
        <v>53</v>
      </c>
      <c r="D89" s="12">
        <v>18</v>
      </c>
      <c r="E89" s="11" t="s">
        <v>71</v>
      </c>
      <c r="F89" s="13" t="s">
        <v>446</v>
      </c>
      <c r="G89" s="14">
        <v>4</v>
      </c>
      <c r="H89" s="11" t="s">
        <v>73</v>
      </c>
      <c r="I89" s="11" t="s">
        <v>74</v>
      </c>
      <c r="J89" s="11" t="s">
        <v>75</v>
      </c>
      <c r="K89" s="11" t="s">
        <v>447</v>
      </c>
      <c r="L89" s="11" t="s">
        <v>448</v>
      </c>
      <c r="M89" s="5" t="s">
        <v>739</v>
      </c>
      <c r="N89" s="5" t="s">
        <v>740</v>
      </c>
      <c r="O89" s="5" t="s">
        <v>111</v>
      </c>
      <c r="P89" s="5" t="s">
        <v>452</v>
      </c>
      <c r="Q89" s="11" t="s">
        <v>82</v>
      </c>
      <c r="R89" s="11" t="s">
        <v>82</v>
      </c>
      <c r="S89" s="11" t="s">
        <v>82</v>
      </c>
      <c r="T89" s="11" t="s">
        <v>178</v>
      </c>
      <c r="U89" s="5" t="s">
        <v>179</v>
      </c>
      <c r="V89" s="11" t="s">
        <v>454</v>
      </c>
      <c r="W89" s="11" t="s">
        <v>455</v>
      </c>
      <c r="X89" s="11" t="s">
        <v>456</v>
      </c>
      <c r="Y89" s="11" t="s">
        <v>180</v>
      </c>
      <c r="Z89" s="11" t="s">
        <v>741</v>
      </c>
    </row>
    <row r="90" spans="1:26">
      <c r="A90" s="11" t="s">
        <v>458</v>
      </c>
      <c r="B90" s="11" t="s">
        <v>175</v>
      </c>
      <c r="C90" s="12">
        <v>-48</v>
      </c>
      <c r="D90" s="12">
        <v>18</v>
      </c>
      <c r="E90" s="11" t="s">
        <v>71</v>
      </c>
      <c r="F90" s="13" t="s">
        <v>459</v>
      </c>
      <c r="G90" s="14">
        <v>4</v>
      </c>
      <c r="H90" s="11" t="s">
        <v>73</v>
      </c>
      <c r="I90" s="11" t="s">
        <v>74</v>
      </c>
      <c r="J90" s="11" t="s">
        <v>75</v>
      </c>
      <c r="K90" s="11" t="s">
        <v>447</v>
      </c>
      <c r="L90" s="11" t="s">
        <v>448</v>
      </c>
      <c r="M90" s="5" t="s">
        <v>739</v>
      </c>
      <c r="N90" s="5" t="s">
        <v>742</v>
      </c>
      <c r="O90" s="5" t="s">
        <v>564</v>
      </c>
      <c r="P90" s="5" t="s">
        <v>462</v>
      </c>
      <c r="Q90" s="11" t="s">
        <v>82</v>
      </c>
      <c r="R90" s="11" t="s">
        <v>82</v>
      </c>
      <c r="S90" s="11" t="s">
        <v>82</v>
      </c>
      <c r="T90" s="11" t="s">
        <v>178</v>
      </c>
      <c r="U90" s="5" t="s">
        <v>179</v>
      </c>
      <c r="V90" s="11" t="s">
        <v>463</v>
      </c>
      <c r="W90" s="11" t="s">
        <v>464</v>
      </c>
      <c r="X90" s="11" t="s">
        <v>465</v>
      </c>
      <c r="Y90" s="11" t="s">
        <v>180</v>
      </c>
      <c r="Z90" s="11" t="s">
        <v>743</v>
      </c>
    </row>
    <row r="91" spans="1:26">
      <c r="A91" s="11" t="s">
        <v>467</v>
      </c>
      <c r="B91" s="11" t="s">
        <v>175</v>
      </c>
      <c r="C91" s="12">
        <v>-55</v>
      </c>
      <c r="D91" s="12">
        <v>-1</v>
      </c>
      <c r="E91" s="11" t="s">
        <v>71</v>
      </c>
      <c r="F91" s="13" t="s">
        <v>468</v>
      </c>
      <c r="G91" s="14">
        <v>4</v>
      </c>
      <c r="H91" s="11" t="s">
        <v>73</v>
      </c>
      <c r="I91" s="11" t="s">
        <v>74</v>
      </c>
      <c r="J91" s="11" t="s">
        <v>75</v>
      </c>
      <c r="K91" s="11" t="s">
        <v>447</v>
      </c>
      <c r="L91" s="11" t="s">
        <v>448</v>
      </c>
      <c r="M91" s="5" t="s">
        <v>739</v>
      </c>
      <c r="N91" s="5" t="s">
        <v>744</v>
      </c>
      <c r="O91" s="5" t="s">
        <v>567</v>
      </c>
      <c r="P91" s="5" t="s">
        <v>471</v>
      </c>
      <c r="Q91" s="11" t="s">
        <v>82</v>
      </c>
      <c r="R91" s="11" t="s">
        <v>82</v>
      </c>
      <c r="S91" s="11" t="s">
        <v>82</v>
      </c>
      <c r="T91" s="11" t="s">
        <v>178</v>
      </c>
      <c r="U91" s="5" t="s">
        <v>179</v>
      </c>
      <c r="V91" s="11" t="s">
        <v>472</v>
      </c>
      <c r="W91" s="11" t="s">
        <v>473</v>
      </c>
      <c r="X91" s="11" t="s">
        <v>474</v>
      </c>
      <c r="Y91" s="11" t="s">
        <v>180</v>
      </c>
      <c r="Z91" s="11" t="s">
        <v>745</v>
      </c>
    </row>
    <row r="92" spans="1:26">
      <c r="A92" s="11" t="s">
        <v>476</v>
      </c>
      <c r="B92" s="11" t="s">
        <v>175</v>
      </c>
      <c r="C92" s="17">
        <v>-28</v>
      </c>
      <c r="D92" s="17">
        <v>31</v>
      </c>
      <c r="E92" s="11" t="s">
        <v>71</v>
      </c>
      <c r="F92" s="13" t="s">
        <v>477</v>
      </c>
      <c r="G92" s="18" t="s">
        <v>478</v>
      </c>
      <c r="H92" s="11" t="s">
        <v>73</v>
      </c>
      <c r="I92" s="11" t="s">
        <v>74</v>
      </c>
      <c r="J92" s="11" t="s">
        <v>75</v>
      </c>
      <c r="K92" s="11" t="s">
        <v>479</v>
      </c>
      <c r="L92" s="11" t="s">
        <v>77</v>
      </c>
      <c r="M92" s="5" t="s">
        <v>746</v>
      </c>
      <c r="N92" s="5" t="s">
        <v>747</v>
      </c>
      <c r="O92" s="5" t="s">
        <v>571</v>
      </c>
      <c r="P92" s="5" t="s">
        <v>483</v>
      </c>
      <c r="Q92" s="11" t="s">
        <v>82</v>
      </c>
      <c r="R92" s="11" t="s">
        <v>82</v>
      </c>
      <c r="S92" s="11" t="s">
        <v>82</v>
      </c>
      <c r="T92" s="11" t="s">
        <v>178</v>
      </c>
      <c r="U92" s="5" t="s">
        <v>179</v>
      </c>
      <c r="V92" s="11" t="s">
        <v>484</v>
      </c>
      <c r="W92" s="11" t="s">
        <v>86</v>
      </c>
      <c r="X92" s="11" t="s">
        <v>87</v>
      </c>
      <c r="Y92" s="11" t="s">
        <v>180</v>
      </c>
      <c r="Z92" s="11" t="s">
        <v>748</v>
      </c>
    </row>
    <row r="93" spans="1:26">
      <c r="A93" s="11" t="s">
        <v>486</v>
      </c>
      <c r="B93" s="11" t="s">
        <v>175</v>
      </c>
      <c r="C93" s="12">
        <v>-33</v>
      </c>
      <c r="D93" s="12">
        <v>53</v>
      </c>
      <c r="E93" s="11" t="s">
        <v>71</v>
      </c>
      <c r="F93" s="13" t="s">
        <v>487</v>
      </c>
      <c r="G93" s="14">
        <v>1</v>
      </c>
      <c r="H93" s="11" t="s">
        <v>73</v>
      </c>
      <c r="I93" s="11" t="s">
        <v>74</v>
      </c>
      <c r="J93" s="11" t="s">
        <v>75</v>
      </c>
      <c r="K93" s="11" t="s">
        <v>447</v>
      </c>
      <c r="L93" s="11" t="s">
        <v>488</v>
      </c>
      <c r="M93" s="5" t="s">
        <v>739</v>
      </c>
      <c r="N93" s="5" t="s">
        <v>749</v>
      </c>
      <c r="O93" s="5" t="s">
        <v>111</v>
      </c>
      <c r="P93" s="5" t="s">
        <v>491</v>
      </c>
      <c r="Q93" s="11" t="s">
        <v>82</v>
      </c>
      <c r="R93" s="11" t="s">
        <v>82</v>
      </c>
      <c r="S93" s="11" t="s">
        <v>82</v>
      </c>
      <c r="T93" s="11" t="s">
        <v>178</v>
      </c>
      <c r="U93" s="5" t="s">
        <v>179</v>
      </c>
      <c r="V93" s="11" t="s">
        <v>492</v>
      </c>
      <c r="W93" s="11" t="s">
        <v>493</v>
      </c>
      <c r="X93" s="11" t="s">
        <v>494</v>
      </c>
      <c r="Y93" s="11" t="s">
        <v>180</v>
      </c>
      <c r="Z93" s="11" t="s">
        <v>750</v>
      </c>
    </row>
    <row r="94" spans="1:26">
      <c r="A94" s="11" t="s">
        <v>496</v>
      </c>
      <c r="B94" s="11" t="s">
        <v>175</v>
      </c>
      <c r="C94" s="12">
        <v>-41</v>
      </c>
      <c r="D94" s="12">
        <v>-48</v>
      </c>
      <c r="E94" s="11" t="s">
        <v>71</v>
      </c>
      <c r="F94" s="13" t="s">
        <v>497</v>
      </c>
      <c r="G94" s="14">
        <v>1</v>
      </c>
      <c r="H94" s="11" t="s">
        <v>73</v>
      </c>
      <c r="I94" s="11" t="s">
        <v>74</v>
      </c>
      <c r="J94" s="11" t="s">
        <v>75</v>
      </c>
      <c r="K94" s="11" t="s">
        <v>447</v>
      </c>
      <c r="L94" s="11" t="s">
        <v>488</v>
      </c>
      <c r="M94" s="5" t="s">
        <v>739</v>
      </c>
      <c r="N94" s="5" t="s">
        <v>751</v>
      </c>
      <c r="O94" s="5" t="s">
        <v>576</v>
      </c>
      <c r="P94" s="5" t="s">
        <v>500</v>
      </c>
      <c r="Q94" s="11" t="s">
        <v>82</v>
      </c>
      <c r="R94" s="11" t="s">
        <v>82</v>
      </c>
      <c r="S94" s="11" t="s">
        <v>82</v>
      </c>
      <c r="T94" s="11" t="s">
        <v>178</v>
      </c>
      <c r="U94" s="5" t="s">
        <v>179</v>
      </c>
      <c r="V94" s="11" t="s">
        <v>501</v>
      </c>
      <c r="W94" s="11" t="s">
        <v>502</v>
      </c>
      <c r="X94" s="11" t="s">
        <v>503</v>
      </c>
      <c r="Y94" s="11" t="s">
        <v>180</v>
      </c>
      <c r="Z94" s="11" t="s">
        <v>752</v>
      </c>
    </row>
    <row r="95" spans="1:26">
      <c r="A95" s="11" t="s">
        <v>505</v>
      </c>
      <c r="B95" s="11" t="s">
        <v>175</v>
      </c>
      <c r="C95" s="12">
        <v>297</v>
      </c>
      <c r="D95" s="12">
        <v>-55</v>
      </c>
      <c r="E95" s="11" t="s">
        <v>71</v>
      </c>
      <c r="F95" s="13" t="s">
        <v>506</v>
      </c>
      <c r="G95" s="14">
        <v>1</v>
      </c>
      <c r="H95" s="11" t="s">
        <v>73</v>
      </c>
      <c r="I95" s="11" t="s">
        <v>74</v>
      </c>
      <c r="J95" s="11" t="s">
        <v>75</v>
      </c>
      <c r="K95" s="11" t="s">
        <v>447</v>
      </c>
      <c r="L95" s="11" t="s">
        <v>488</v>
      </c>
      <c r="M95" s="5" t="s">
        <v>739</v>
      </c>
      <c r="N95" s="5" t="s">
        <v>753</v>
      </c>
      <c r="O95" s="5" t="s">
        <v>579</v>
      </c>
      <c r="P95" s="5" t="s">
        <v>509</v>
      </c>
      <c r="Q95" s="11" t="s">
        <v>82</v>
      </c>
      <c r="R95" s="11" t="s">
        <v>82</v>
      </c>
      <c r="S95" s="11" t="s">
        <v>82</v>
      </c>
      <c r="T95" s="11" t="s">
        <v>178</v>
      </c>
      <c r="U95" s="5" t="s">
        <v>179</v>
      </c>
      <c r="V95" s="11" t="s">
        <v>510</v>
      </c>
      <c r="W95" s="11" t="s">
        <v>511</v>
      </c>
      <c r="X95" s="11" t="s">
        <v>512</v>
      </c>
      <c r="Y95" s="11" t="s">
        <v>180</v>
      </c>
      <c r="Z95" s="11" t="s">
        <v>754</v>
      </c>
    </row>
    <row r="96" spans="1:26">
      <c r="A96" s="11" t="s">
        <v>514</v>
      </c>
      <c r="B96" s="11" t="s">
        <v>175</v>
      </c>
      <c r="C96" s="17">
        <v>-84</v>
      </c>
      <c r="D96" s="17">
        <v>-28</v>
      </c>
      <c r="E96" s="11" t="s">
        <v>71</v>
      </c>
      <c r="F96" s="13" t="s">
        <v>515</v>
      </c>
      <c r="G96" s="18" t="s">
        <v>516</v>
      </c>
      <c r="H96" s="11" t="s">
        <v>73</v>
      </c>
      <c r="I96" s="11" t="s">
        <v>74</v>
      </c>
      <c r="J96" s="11" t="s">
        <v>75</v>
      </c>
      <c r="K96" s="11" t="s">
        <v>479</v>
      </c>
      <c r="L96" s="11" t="s">
        <v>77</v>
      </c>
      <c r="M96" s="5" t="s">
        <v>755</v>
      </c>
      <c r="N96" s="5" t="s">
        <v>756</v>
      </c>
      <c r="O96" s="5" t="s">
        <v>583</v>
      </c>
      <c r="P96" s="5" t="s">
        <v>520</v>
      </c>
      <c r="Q96" s="11" t="s">
        <v>82</v>
      </c>
      <c r="R96" s="11" t="s">
        <v>82</v>
      </c>
      <c r="S96" s="11" t="s">
        <v>82</v>
      </c>
      <c r="T96" s="11" t="s">
        <v>178</v>
      </c>
      <c r="U96" s="5" t="s">
        <v>179</v>
      </c>
      <c r="V96" s="11" t="s">
        <v>521</v>
      </c>
      <c r="W96" s="11" t="s">
        <v>96</v>
      </c>
      <c r="X96" s="11" t="s">
        <v>97</v>
      </c>
      <c r="Y96" s="11" t="s">
        <v>180</v>
      </c>
      <c r="Z96" s="11" t="s">
        <v>757</v>
      </c>
    </row>
    <row r="97" spans="1:26">
      <c r="A97" s="11" t="s">
        <v>523</v>
      </c>
      <c r="B97" s="11" t="s">
        <v>175</v>
      </c>
      <c r="C97" s="12">
        <v>-14</v>
      </c>
      <c r="D97" s="12">
        <v>-33</v>
      </c>
      <c r="E97" s="11" t="s">
        <v>71</v>
      </c>
      <c r="F97" s="13" t="s">
        <v>524</v>
      </c>
      <c r="G97" s="14">
        <v>1</v>
      </c>
      <c r="H97" s="11" t="s">
        <v>73</v>
      </c>
      <c r="I97" s="11" t="s">
        <v>74</v>
      </c>
      <c r="J97" s="11" t="s">
        <v>75</v>
      </c>
      <c r="K97" s="11" t="s">
        <v>447</v>
      </c>
      <c r="L97" s="11" t="s">
        <v>488</v>
      </c>
      <c r="M97" s="5" t="s">
        <v>739</v>
      </c>
      <c r="N97" s="5" t="s">
        <v>758</v>
      </c>
      <c r="O97" s="5" t="s">
        <v>111</v>
      </c>
      <c r="P97" s="5" t="s">
        <v>527</v>
      </c>
      <c r="Q97" s="11" t="s">
        <v>82</v>
      </c>
      <c r="R97" s="11" t="s">
        <v>82</v>
      </c>
      <c r="S97" s="11" t="s">
        <v>82</v>
      </c>
      <c r="T97" s="11" t="s">
        <v>178</v>
      </c>
      <c r="U97" s="5" t="s">
        <v>179</v>
      </c>
      <c r="V97" s="11" t="s">
        <v>528</v>
      </c>
      <c r="W97" s="11" t="s">
        <v>529</v>
      </c>
      <c r="X97" s="11" t="s">
        <v>530</v>
      </c>
      <c r="Y97" s="11" t="s">
        <v>180</v>
      </c>
      <c r="Z97" s="11" t="s">
        <v>759</v>
      </c>
    </row>
    <row r="98" spans="1:26">
      <c r="A98" s="11" t="s">
        <v>532</v>
      </c>
      <c r="B98" s="11" t="s">
        <v>175</v>
      </c>
      <c r="C98" s="12">
        <v>54</v>
      </c>
      <c r="D98" s="12">
        <v>-41</v>
      </c>
      <c r="E98" s="11" t="s">
        <v>71</v>
      </c>
      <c r="F98" s="13" t="s">
        <v>533</v>
      </c>
      <c r="G98" s="14">
        <v>1</v>
      </c>
      <c r="H98" s="11" t="s">
        <v>73</v>
      </c>
      <c r="I98" s="11" t="s">
        <v>74</v>
      </c>
      <c r="J98" s="11" t="s">
        <v>75</v>
      </c>
      <c r="K98" s="11" t="s">
        <v>447</v>
      </c>
      <c r="L98" s="11" t="s">
        <v>488</v>
      </c>
      <c r="M98" s="5" t="s">
        <v>739</v>
      </c>
      <c r="N98" s="5" t="s">
        <v>760</v>
      </c>
      <c r="O98" s="5" t="s">
        <v>588</v>
      </c>
      <c r="P98" s="5" t="s">
        <v>536</v>
      </c>
      <c r="Q98" s="11" t="s">
        <v>82</v>
      </c>
      <c r="R98" s="11" t="s">
        <v>82</v>
      </c>
      <c r="S98" s="11" t="s">
        <v>82</v>
      </c>
      <c r="T98" s="11" t="s">
        <v>178</v>
      </c>
      <c r="U98" s="5" t="s">
        <v>179</v>
      </c>
      <c r="V98" s="11" t="s">
        <v>537</v>
      </c>
      <c r="W98" s="11" t="s">
        <v>538</v>
      </c>
      <c r="X98" s="11" t="s">
        <v>539</v>
      </c>
      <c r="Y98" s="11" t="s">
        <v>180</v>
      </c>
      <c r="Z98" s="11" t="s">
        <v>761</v>
      </c>
    </row>
    <row r="99" spans="1:26">
      <c r="A99" s="11" t="s">
        <v>541</v>
      </c>
      <c r="B99" s="11" t="s">
        <v>175</v>
      </c>
      <c r="C99" s="12">
        <v>-22</v>
      </c>
      <c r="D99" s="12">
        <v>297</v>
      </c>
      <c r="E99" s="11" t="s">
        <v>71</v>
      </c>
      <c r="F99" s="13" t="s">
        <v>542</v>
      </c>
      <c r="G99" s="14">
        <v>1</v>
      </c>
      <c r="H99" s="11" t="s">
        <v>73</v>
      </c>
      <c r="I99" s="11" t="s">
        <v>74</v>
      </c>
      <c r="J99" s="11" t="s">
        <v>75</v>
      </c>
      <c r="K99" s="11" t="s">
        <v>447</v>
      </c>
      <c r="L99" s="11" t="s">
        <v>488</v>
      </c>
      <c r="M99" s="5" t="s">
        <v>739</v>
      </c>
      <c r="N99" s="5" t="s">
        <v>762</v>
      </c>
      <c r="O99" s="5" t="s">
        <v>591</v>
      </c>
      <c r="P99" s="5" t="s">
        <v>545</v>
      </c>
      <c r="Q99" s="11" t="s">
        <v>82</v>
      </c>
      <c r="R99" s="11" t="s">
        <v>82</v>
      </c>
      <c r="S99" s="11" t="s">
        <v>82</v>
      </c>
      <c r="T99" s="11" t="s">
        <v>178</v>
      </c>
      <c r="U99" s="5" t="s">
        <v>179</v>
      </c>
      <c r="V99" s="11" t="s">
        <v>546</v>
      </c>
      <c r="W99" s="11" t="s">
        <v>547</v>
      </c>
      <c r="X99" s="11" t="s">
        <v>548</v>
      </c>
      <c r="Y99" s="11" t="s">
        <v>180</v>
      </c>
      <c r="Z99" s="11" t="s">
        <v>763</v>
      </c>
    </row>
    <row r="100" spans="1:26">
      <c r="A100" s="11" t="s">
        <v>550</v>
      </c>
      <c r="B100" s="11" t="s">
        <v>175</v>
      </c>
      <c r="C100" s="17">
        <v>-4</v>
      </c>
      <c r="D100" s="17">
        <v>-84</v>
      </c>
      <c r="E100" s="11" t="s">
        <v>71</v>
      </c>
      <c r="F100" s="13" t="s">
        <v>551</v>
      </c>
      <c r="G100" s="18" t="s">
        <v>552</v>
      </c>
      <c r="H100" s="11" t="s">
        <v>73</v>
      </c>
      <c r="I100" s="11" t="s">
        <v>74</v>
      </c>
      <c r="J100" s="11" t="s">
        <v>75</v>
      </c>
      <c r="K100" s="11" t="s">
        <v>479</v>
      </c>
      <c r="L100" s="11" t="s">
        <v>77</v>
      </c>
      <c r="M100" s="5" t="s">
        <v>764</v>
      </c>
      <c r="N100" s="5" t="s">
        <v>765</v>
      </c>
      <c r="O100" s="5" t="s">
        <v>555</v>
      </c>
      <c r="P100" s="5" t="s">
        <v>556</v>
      </c>
      <c r="Q100" s="11" t="s">
        <v>82</v>
      </c>
      <c r="R100" s="11" t="s">
        <v>82</v>
      </c>
      <c r="S100" s="11" t="s">
        <v>82</v>
      </c>
      <c r="T100" s="11" t="s">
        <v>178</v>
      </c>
      <c r="U100" s="5" t="s">
        <v>179</v>
      </c>
      <c r="V100" s="11" t="s">
        <v>557</v>
      </c>
      <c r="W100" s="11" t="s">
        <v>105</v>
      </c>
      <c r="X100" s="11" t="s">
        <v>106</v>
      </c>
      <c r="Y100" s="11" t="s">
        <v>180</v>
      </c>
      <c r="Z100" s="11" t="s">
        <v>766</v>
      </c>
    </row>
    <row r="101" spans="1:26">
      <c r="A101" s="11" t="s">
        <v>445</v>
      </c>
      <c r="B101" s="11" t="s">
        <v>186</v>
      </c>
      <c r="C101" s="12">
        <v>1270</v>
      </c>
      <c r="D101" s="12">
        <v>1072</v>
      </c>
      <c r="E101" s="11" t="s">
        <v>71</v>
      </c>
      <c r="F101" s="13" t="s">
        <v>446</v>
      </c>
      <c r="G101" s="14">
        <v>4</v>
      </c>
      <c r="H101" s="11" t="s">
        <v>73</v>
      </c>
      <c r="I101" s="11" t="s">
        <v>74</v>
      </c>
      <c r="J101" s="11" t="s">
        <v>75</v>
      </c>
      <c r="K101" s="11" t="s">
        <v>447</v>
      </c>
      <c r="L101" s="11" t="s">
        <v>448</v>
      </c>
      <c r="M101" s="5" t="s">
        <v>767</v>
      </c>
      <c r="N101" s="5" t="s">
        <v>768</v>
      </c>
      <c r="O101" s="5" t="s">
        <v>111</v>
      </c>
      <c r="P101" s="5" t="s">
        <v>452</v>
      </c>
      <c r="Q101" s="11" t="s">
        <v>82</v>
      </c>
      <c r="R101" s="11" t="s">
        <v>82</v>
      </c>
      <c r="S101" s="11" t="s">
        <v>82</v>
      </c>
      <c r="T101" s="11" t="s">
        <v>189</v>
      </c>
      <c r="U101" s="5" t="s">
        <v>190</v>
      </c>
      <c r="V101" s="11" t="s">
        <v>454</v>
      </c>
      <c r="W101" s="11" t="s">
        <v>455</v>
      </c>
      <c r="X101" s="11" t="s">
        <v>456</v>
      </c>
      <c r="Y101" s="11" t="s">
        <v>191</v>
      </c>
      <c r="Z101" s="11" t="s">
        <v>769</v>
      </c>
    </row>
    <row r="102" spans="1:26">
      <c r="A102" s="11" t="s">
        <v>458</v>
      </c>
      <c r="B102" s="11" t="s">
        <v>186</v>
      </c>
      <c r="C102" s="12">
        <v>997</v>
      </c>
      <c r="D102" s="12">
        <v>879</v>
      </c>
      <c r="E102" s="11" t="s">
        <v>71</v>
      </c>
      <c r="F102" s="13" t="s">
        <v>459</v>
      </c>
      <c r="G102" s="14">
        <v>4</v>
      </c>
      <c r="H102" s="11" t="s">
        <v>73</v>
      </c>
      <c r="I102" s="11" t="s">
        <v>74</v>
      </c>
      <c r="J102" s="11" t="s">
        <v>75</v>
      </c>
      <c r="K102" s="11" t="s">
        <v>447</v>
      </c>
      <c r="L102" s="11" t="s">
        <v>448</v>
      </c>
      <c r="M102" s="5" t="s">
        <v>767</v>
      </c>
      <c r="N102" s="5" t="s">
        <v>770</v>
      </c>
      <c r="O102" s="5" t="s">
        <v>564</v>
      </c>
      <c r="P102" s="5" t="s">
        <v>462</v>
      </c>
      <c r="Q102" s="11" t="s">
        <v>82</v>
      </c>
      <c r="R102" s="11" t="s">
        <v>82</v>
      </c>
      <c r="S102" s="11" t="s">
        <v>82</v>
      </c>
      <c r="T102" s="11" t="s">
        <v>189</v>
      </c>
      <c r="U102" s="5" t="s">
        <v>190</v>
      </c>
      <c r="V102" s="11" t="s">
        <v>463</v>
      </c>
      <c r="W102" s="11" t="s">
        <v>464</v>
      </c>
      <c r="X102" s="11" t="s">
        <v>465</v>
      </c>
      <c r="Y102" s="11" t="s">
        <v>191</v>
      </c>
      <c r="Z102" s="11" t="s">
        <v>771</v>
      </c>
    </row>
    <row r="103" spans="1:26">
      <c r="A103" s="11" t="s">
        <v>467</v>
      </c>
      <c r="B103" s="11" t="s">
        <v>186</v>
      </c>
      <c r="C103" s="12">
        <v>1291</v>
      </c>
      <c r="D103" s="12">
        <v>1159</v>
      </c>
      <c r="E103" s="11" t="s">
        <v>71</v>
      </c>
      <c r="F103" s="13" t="s">
        <v>468</v>
      </c>
      <c r="G103" s="14">
        <v>4</v>
      </c>
      <c r="H103" s="11" t="s">
        <v>73</v>
      </c>
      <c r="I103" s="11" t="s">
        <v>74</v>
      </c>
      <c r="J103" s="11" t="s">
        <v>75</v>
      </c>
      <c r="K103" s="11" t="s">
        <v>447</v>
      </c>
      <c r="L103" s="11" t="s">
        <v>448</v>
      </c>
      <c r="M103" s="5" t="s">
        <v>767</v>
      </c>
      <c r="N103" s="5" t="s">
        <v>772</v>
      </c>
      <c r="O103" s="5" t="s">
        <v>567</v>
      </c>
      <c r="P103" s="5" t="s">
        <v>471</v>
      </c>
      <c r="Q103" s="11" t="s">
        <v>82</v>
      </c>
      <c r="R103" s="11" t="s">
        <v>82</v>
      </c>
      <c r="S103" s="11" t="s">
        <v>82</v>
      </c>
      <c r="T103" s="11" t="s">
        <v>189</v>
      </c>
      <c r="U103" s="5" t="s">
        <v>190</v>
      </c>
      <c r="V103" s="11" t="s">
        <v>472</v>
      </c>
      <c r="W103" s="11" t="s">
        <v>473</v>
      </c>
      <c r="X103" s="11" t="s">
        <v>474</v>
      </c>
      <c r="Y103" s="11" t="s">
        <v>191</v>
      </c>
      <c r="Z103" s="11" t="s">
        <v>773</v>
      </c>
    </row>
    <row r="104" spans="1:26">
      <c r="A104" s="11" t="s">
        <v>476</v>
      </c>
      <c r="B104" s="11" t="s">
        <v>186</v>
      </c>
      <c r="C104" s="17">
        <v>1243</v>
      </c>
      <c r="D104" s="17">
        <v>1215</v>
      </c>
      <c r="E104" s="11" t="s">
        <v>71</v>
      </c>
      <c r="F104" s="13" t="s">
        <v>477</v>
      </c>
      <c r="G104" s="18" t="s">
        <v>478</v>
      </c>
      <c r="H104" s="11" t="s">
        <v>73</v>
      </c>
      <c r="I104" s="11" t="s">
        <v>74</v>
      </c>
      <c r="J104" s="11" t="s">
        <v>75</v>
      </c>
      <c r="K104" s="11" t="s">
        <v>479</v>
      </c>
      <c r="L104" s="11" t="s">
        <v>77</v>
      </c>
      <c r="M104" s="5" t="s">
        <v>774</v>
      </c>
      <c r="N104" s="5" t="s">
        <v>775</v>
      </c>
      <c r="O104" s="5" t="s">
        <v>571</v>
      </c>
      <c r="P104" s="5" t="s">
        <v>483</v>
      </c>
      <c r="Q104" s="11" t="s">
        <v>82</v>
      </c>
      <c r="R104" s="11" t="s">
        <v>82</v>
      </c>
      <c r="S104" s="11" t="s">
        <v>82</v>
      </c>
      <c r="T104" s="11" t="s">
        <v>189</v>
      </c>
      <c r="U104" s="5" t="s">
        <v>190</v>
      </c>
      <c r="V104" s="11" t="s">
        <v>484</v>
      </c>
      <c r="W104" s="11" t="s">
        <v>86</v>
      </c>
      <c r="X104" s="11" t="s">
        <v>87</v>
      </c>
      <c r="Y104" s="11" t="s">
        <v>191</v>
      </c>
      <c r="Z104" s="11" t="s">
        <v>776</v>
      </c>
    </row>
    <row r="105" spans="1:26">
      <c r="A105" s="11" t="s">
        <v>486</v>
      </c>
      <c r="B105" s="11" t="s">
        <v>186</v>
      </c>
      <c r="C105" s="12">
        <v>1561</v>
      </c>
      <c r="D105" s="12">
        <v>1270</v>
      </c>
      <c r="E105" s="11" t="s">
        <v>71</v>
      </c>
      <c r="F105" s="13" t="s">
        <v>487</v>
      </c>
      <c r="G105" s="14">
        <v>1</v>
      </c>
      <c r="H105" s="11" t="s">
        <v>73</v>
      </c>
      <c r="I105" s="11" t="s">
        <v>74</v>
      </c>
      <c r="J105" s="11" t="s">
        <v>75</v>
      </c>
      <c r="K105" s="11" t="s">
        <v>447</v>
      </c>
      <c r="L105" s="11" t="s">
        <v>488</v>
      </c>
      <c r="M105" s="5" t="s">
        <v>767</v>
      </c>
      <c r="N105" s="5" t="s">
        <v>777</v>
      </c>
      <c r="O105" s="5" t="s">
        <v>111</v>
      </c>
      <c r="P105" s="5" t="s">
        <v>491</v>
      </c>
      <c r="Q105" s="11" t="s">
        <v>82</v>
      </c>
      <c r="R105" s="11" t="s">
        <v>82</v>
      </c>
      <c r="S105" s="11" t="s">
        <v>82</v>
      </c>
      <c r="T105" s="11" t="s">
        <v>189</v>
      </c>
      <c r="U105" s="5" t="s">
        <v>190</v>
      </c>
      <c r="V105" s="11" t="s">
        <v>492</v>
      </c>
      <c r="W105" s="11" t="s">
        <v>493</v>
      </c>
      <c r="X105" s="11" t="s">
        <v>494</v>
      </c>
      <c r="Y105" s="11" t="s">
        <v>191</v>
      </c>
      <c r="Z105" s="11" t="s">
        <v>778</v>
      </c>
    </row>
    <row r="106" spans="1:26">
      <c r="A106" s="11" t="s">
        <v>496</v>
      </c>
      <c r="B106" s="11" t="s">
        <v>186</v>
      </c>
      <c r="C106" s="12">
        <v>1249</v>
      </c>
      <c r="D106" s="12">
        <v>997</v>
      </c>
      <c r="E106" s="11" t="s">
        <v>71</v>
      </c>
      <c r="F106" s="13" t="s">
        <v>497</v>
      </c>
      <c r="G106" s="14">
        <v>1</v>
      </c>
      <c r="H106" s="11" t="s">
        <v>73</v>
      </c>
      <c r="I106" s="11" t="s">
        <v>74</v>
      </c>
      <c r="J106" s="11" t="s">
        <v>75</v>
      </c>
      <c r="K106" s="11" t="s">
        <v>447</v>
      </c>
      <c r="L106" s="11" t="s">
        <v>488</v>
      </c>
      <c r="M106" s="5" t="s">
        <v>767</v>
      </c>
      <c r="N106" s="5" t="s">
        <v>779</v>
      </c>
      <c r="O106" s="5" t="s">
        <v>576</v>
      </c>
      <c r="P106" s="5" t="s">
        <v>500</v>
      </c>
      <c r="Q106" s="11" t="s">
        <v>82</v>
      </c>
      <c r="R106" s="11" t="s">
        <v>82</v>
      </c>
      <c r="S106" s="11" t="s">
        <v>82</v>
      </c>
      <c r="T106" s="11" t="s">
        <v>189</v>
      </c>
      <c r="U106" s="5" t="s">
        <v>190</v>
      </c>
      <c r="V106" s="11" t="s">
        <v>501</v>
      </c>
      <c r="W106" s="11" t="s">
        <v>502</v>
      </c>
      <c r="X106" s="11" t="s">
        <v>503</v>
      </c>
      <c r="Y106" s="11" t="s">
        <v>191</v>
      </c>
      <c r="Z106" s="11" t="s">
        <v>780</v>
      </c>
    </row>
    <row r="107" spans="1:26">
      <c r="A107" s="11" t="s">
        <v>505</v>
      </c>
      <c r="B107" s="11" t="s">
        <v>186</v>
      </c>
      <c r="C107" s="12">
        <v>881</v>
      </c>
      <c r="D107" s="12">
        <v>1291</v>
      </c>
      <c r="E107" s="11" t="s">
        <v>71</v>
      </c>
      <c r="F107" s="13" t="s">
        <v>506</v>
      </c>
      <c r="G107" s="14">
        <v>1</v>
      </c>
      <c r="H107" s="11" t="s">
        <v>73</v>
      </c>
      <c r="I107" s="11" t="s">
        <v>74</v>
      </c>
      <c r="J107" s="11" t="s">
        <v>75</v>
      </c>
      <c r="K107" s="11" t="s">
        <v>447</v>
      </c>
      <c r="L107" s="11" t="s">
        <v>488</v>
      </c>
      <c r="M107" s="5" t="s">
        <v>767</v>
      </c>
      <c r="N107" s="5" t="s">
        <v>642</v>
      </c>
      <c r="O107" s="5" t="s">
        <v>579</v>
      </c>
      <c r="P107" s="5" t="s">
        <v>509</v>
      </c>
      <c r="Q107" s="11" t="s">
        <v>82</v>
      </c>
      <c r="R107" s="11" t="s">
        <v>82</v>
      </c>
      <c r="S107" s="11" t="s">
        <v>82</v>
      </c>
      <c r="T107" s="11" t="s">
        <v>189</v>
      </c>
      <c r="U107" s="5" t="s">
        <v>190</v>
      </c>
      <c r="V107" s="11" t="s">
        <v>510</v>
      </c>
      <c r="W107" s="11" t="s">
        <v>511</v>
      </c>
      <c r="X107" s="11" t="s">
        <v>512</v>
      </c>
      <c r="Y107" s="11" t="s">
        <v>191</v>
      </c>
      <c r="Z107" s="11" t="s">
        <v>781</v>
      </c>
    </row>
    <row r="108" spans="1:26">
      <c r="A108" s="11" t="s">
        <v>514</v>
      </c>
      <c r="B108" s="11" t="s">
        <v>186</v>
      </c>
      <c r="C108" s="17">
        <v>-804</v>
      </c>
      <c r="D108" s="17">
        <v>1243</v>
      </c>
      <c r="E108" s="11" t="s">
        <v>71</v>
      </c>
      <c r="F108" s="13" t="s">
        <v>515</v>
      </c>
      <c r="G108" s="18" t="s">
        <v>516</v>
      </c>
      <c r="H108" s="11" t="s">
        <v>73</v>
      </c>
      <c r="I108" s="11" t="s">
        <v>74</v>
      </c>
      <c r="J108" s="11" t="s">
        <v>75</v>
      </c>
      <c r="K108" s="11" t="s">
        <v>479</v>
      </c>
      <c r="L108" s="11" t="s">
        <v>77</v>
      </c>
      <c r="M108" s="5" t="s">
        <v>782</v>
      </c>
      <c r="N108" s="5" t="s">
        <v>783</v>
      </c>
      <c r="O108" s="5" t="s">
        <v>583</v>
      </c>
      <c r="P108" s="5" t="s">
        <v>520</v>
      </c>
      <c r="Q108" s="11" t="s">
        <v>82</v>
      </c>
      <c r="R108" s="11" t="s">
        <v>82</v>
      </c>
      <c r="S108" s="11" t="s">
        <v>82</v>
      </c>
      <c r="T108" s="11" t="s">
        <v>189</v>
      </c>
      <c r="U108" s="5" t="s">
        <v>190</v>
      </c>
      <c r="V108" s="11" t="s">
        <v>521</v>
      </c>
      <c r="W108" s="11" t="s">
        <v>96</v>
      </c>
      <c r="X108" s="11" t="s">
        <v>97</v>
      </c>
      <c r="Y108" s="11" t="s">
        <v>191</v>
      </c>
      <c r="Z108" s="11" t="s">
        <v>784</v>
      </c>
    </row>
    <row r="109" spans="1:26">
      <c r="A109" s="11" t="s">
        <v>523</v>
      </c>
      <c r="B109" s="11" t="s">
        <v>186</v>
      </c>
      <c r="C109" s="12">
        <v>1715</v>
      </c>
      <c r="D109" s="12">
        <v>1561</v>
      </c>
      <c r="E109" s="11" t="s">
        <v>71</v>
      </c>
      <c r="F109" s="13" t="s">
        <v>524</v>
      </c>
      <c r="G109" s="14">
        <v>1</v>
      </c>
      <c r="H109" s="11" t="s">
        <v>73</v>
      </c>
      <c r="I109" s="11" t="s">
        <v>74</v>
      </c>
      <c r="J109" s="11" t="s">
        <v>75</v>
      </c>
      <c r="K109" s="11" t="s">
        <v>447</v>
      </c>
      <c r="L109" s="11" t="s">
        <v>488</v>
      </c>
      <c r="M109" s="5" t="s">
        <v>767</v>
      </c>
      <c r="N109" s="5" t="s">
        <v>785</v>
      </c>
      <c r="O109" s="5" t="s">
        <v>111</v>
      </c>
      <c r="P109" s="5" t="s">
        <v>527</v>
      </c>
      <c r="Q109" s="11" t="s">
        <v>82</v>
      </c>
      <c r="R109" s="11" t="s">
        <v>82</v>
      </c>
      <c r="S109" s="11" t="s">
        <v>82</v>
      </c>
      <c r="T109" s="11" t="s">
        <v>189</v>
      </c>
      <c r="U109" s="5" t="s">
        <v>190</v>
      </c>
      <c r="V109" s="11" t="s">
        <v>528</v>
      </c>
      <c r="W109" s="11" t="s">
        <v>529</v>
      </c>
      <c r="X109" s="11" t="s">
        <v>530</v>
      </c>
      <c r="Y109" s="11" t="s">
        <v>191</v>
      </c>
      <c r="Z109" s="11" t="s">
        <v>786</v>
      </c>
    </row>
    <row r="110" spans="1:26">
      <c r="A110" s="11" t="s">
        <v>532</v>
      </c>
      <c r="B110" s="11" t="s">
        <v>186</v>
      </c>
      <c r="C110" s="12">
        <v>1456</v>
      </c>
      <c r="D110" s="12">
        <v>1249</v>
      </c>
      <c r="E110" s="11" t="s">
        <v>71</v>
      </c>
      <c r="F110" s="13" t="s">
        <v>533</v>
      </c>
      <c r="G110" s="14">
        <v>1</v>
      </c>
      <c r="H110" s="11" t="s">
        <v>73</v>
      </c>
      <c r="I110" s="11" t="s">
        <v>74</v>
      </c>
      <c r="J110" s="11" t="s">
        <v>75</v>
      </c>
      <c r="K110" s="11" t="s">
        <v>447</v>
      </c>
      <c r="L110" s="11" t="s">
        <v>488</v>
      </c>
      <c r="M110" s="5" t="s">
        <v>767</v>
      </c>
      <c r="N110" s="5" t="s">
        <v>787</v>
      </c>
      <c r="O110" s="5" t="s">
        <v>588</v>
      </c>
      <c r="P110" s="5" t="s">
        <v>536</v>
      </c>
      <c r="Q110" s="11" t="s">
        <v>82</v>
      </c>
      <c r="R110" s="11" t="s">
        <v>82</v>
      </c>
      <c r="S110" s="11" t="s">
        <v>82</v>
      </c>
      <c r="T110" s="11" t="s">
        <v>189</v>
      </c>
      <c r="U110" s="5" t="s">
        <v>190</v>
      </c>
      <c r="V110" s="11" t="s">
        <v>537</v>
      </c>
      <c r="W110" s="11" t="s">
        <v>538</v>
      </c>
      <c r="X110" s="11" t="s">
        <v>539</v>
      </c>
      <c r="Y110" s="11" t="s">
        <v>191</v>
      </c>
      <c r="Z110" s="11" t="s">
        <v>788</v>
      </c>
    </row>
    <row r="111" spans="1:26">
      <c r="A111" s="11" t="s">
        <v>541</v>
      </c>
      <c r="B111" s="11" t="s">
        <v>186</v>
      </c>
      <c r="C111" s="12">
        <v>1636</v>
      </c>
      <c r="D111" s="12">
        <v>881</v>
      </c>
      <c r="E111" s="11" t="s">
        <v>71</v>
      </c>
      <c r="F111" s="13" t="s">
        <v>542</v>
      </c>
      <c r="G111" s="14">
        <v>1</v>
      </c>
      <c r="H111" s="11" t="s">
        <v>73</v>
      </c>
      <c r="I111" s="11" t="s">
        <v>74</v>
      </c>
      <c r="J111" s="11" t="s">
        <v>75</v>
      </c>
      <c r="K111" s="11" t="s">
        <v>447</v>
      </c>
      <c r="L111" s="11" t="s">
        <v>488</v>
      </c>
      <c r="M111" s="5" t="s">
        <v>767</v>
      </c>
      <c r="N111" s="5" t="s">
        <v>789</v>
      </c>
      <c r="O111" s="5" t="s">
        <v>591</v>
      </c>
      <c r="P111" s="5" t="s">
        <v>545</v>
      </c>
      <c r="Q111" s="11" t="s">
        <v>82</v>
      </c>
      <c r="R111" s="11" t="s">
        <v>82</v>
      </c>
      <c r="S111" s="11" t="s">
        <v>82</v>
      </c>
      <c r="T111" s="11" t="s">
        <v>189</v>
      </c>
      <c r="U111" s="5" t="s">
        <v>190</v>
      </c>
      <c r="V111" s="11" t="s">
        <v>546</v>
      </c>
      <c r="W111" s="11" t="s">
        <v>547</v>
      </c>
      <c r="X111" s="11" t="s">
        <v>548</v>
      </c>
      <c r="Y111" s="11" t="s">
        <v>191</v>
      </c>
      <c r="Z111" s="11" t="s">
        <v>790</v>
      </c>
    </row>
    <row r="112" spans="1:26">
      <c r="A112" s="11" t="s">
        <v>550</v>
      </c>
      <c r="B112" s="11" t="s">
        <v>186</v>
      </c>
      <c r="C112" s="17">
        <v>1854</v>
      </c>
      <c r="D112" s="17">
        <v>-804</v>
      </c>
      <c r="E112" s="11" t="s">
        <v>71</v>
      </c>
      <c r="F112" s="13" t="s">
        <v>551</v>
      </c>
      <c r="G112" s="18" t="s">
        <v>552</v>
      </c>
      <c r="H112" s="11" t="s">
        <v>73</v>
      </c>
      <c r="I112" s="11" t="s">
        <v>74</v>
      </c>
      <c r="J112" s="11" t="s">
        <v>75</v>
      </c>
      <c r="K112" s="11" t="s">
        <v>479</v>
      </c>
      <c r="L112" s="11" t="s">
        <v>77</v>
      </c>
      <c r="M112" s="5" t="s">
        <v>791</v>
      </c>
      <c r="N112" s="5" t="s">
        <v>792</v>
      </c>
      <c r="O112" s="5" t="s">
        <v>555</v>
      </c>
      <c r="P112" s="5" t="s">
        <v>556</v>
      </c>
      <c r="Q112" s="11" t="s">
        <v>82</v>
      </c>
      <c r="R112" s="11" t="s">
        <v>82</v>
      </c>
      <c r="S112" s="11" t="s">
        <v>82</v>
      </c>
      <c r="T112" s="11" t="s">
        <v>189</v>
      </c>
      <c r="U112" s="5" t="s">
        <v>190</v>
      </c>
      <c r="V112" s="11" t="s">
        <v>557</v>
      </c>
      <c r="W112" s="11" t="s">
        <v>105</v>
      </c>
      <c r="X112" s="11" t="s">
        <v>106</v>
      </c>
      <c r="Y112" s="11" t="s">
        <v>191</v>
      </c>
      <c r="Z112" s="11" t="s">
        <v>793</v>
      </c>
    </row>
    <row r="113" spans="1:26">
      <c r="A113" s="11" t="s">
        <v>445</v>
      </c>
      <c r="B113" s="11" t="s">
        <v>197</v>
      </c>
      <c r="C113" s="12">
        <v>178</v>
      </c>
      <c r="D113" s="12">
        <v>122</v>
      </c>
      <c r="E113" s="11" t="s">
        <v>71</v>
      </c>
      <c r="F113" s="13" t="s">
        <v>446</v>
      </c>
      <c r="G113" s="14">
        <v>4</v>
      </c>
      <c r="H113" s="11" t="s">
        <v>73</v>
      </c>
      <c r="I113" s="11" t="s">
        <v>74</v>
      </c>
      <c r="J113" s="11" t="s">
        <v>75</v>
      </c>
      <c r="K113" s="11" t="s">
        <v>447</v>
      </c>
      <c r="L113" s="11" t="s">
        <v>448</v>
      </c>
      <c r="M113" s="5" t="s">
        <v>794</v>
      </c>
      <c r="N113" s="5" t="s">
        <v>795</v>
      </c>
      <c r="O113" s="5" t="s">
        <v>111</v>
      </c>
      <c r="P113" s="5" t="s">
        <v>452</v>
      </c>
      <c r="Q113" s="11" t="s">
        <v>82</v>
      </c>
      <c r="R113" s="11" t="s">
        <v>82</v>
      </c>
      <c r="S113" s="11" t="s">
        <v>82</v>
      </c>
      <c r="T113" s="11" t="s">
        <v>200</v>
      </c>
      <c r="U113" s="5" t="s">
        <v>201</v>
      </c>
      <c r="V113" s="11" t="s">
        <v>454</v>
      </c>
      <c r="W113" s="11" t="s">
        <v>455</v>
      </c>
      <c r="X113" s="11" t="s">
        <v>456</v>
      </c>
      <c r="Y113" s="11" t="s">
        <v>202</v>
      </c>
      <c r="Z113" s="11" t="s">
        <v>796</v>
      </c>
    </row>
    <row r="114" spans="1:26">
      <c r="A114" s="11" t="s">
        <v>458</v>
      </c>
      <c r="B114" s="11" t="s">
        <v>197</v>
      </c>
      <c r="C114" s="12">
        <v>150</v>
      </c>
      <c r="D114" s="12">
        <v>112</v>
      </c>
      <c r="E114" s="11" t="s">
        <v>71</v>
      </c>
      <c r="F114" s="13" t="s">
        <v>459</v>
      </c>
      <c r="G114" s="14">
        <v>4</v>
      </c>
      <c r="H114" s="11" t="s">
        <v>73</v>
      </c>
      <c r="I114" s="11" t="s">
        <v>74</v>
      </c>
      <c r="J114" s="11" t="s">
        <v>75</v>
      </c>
      <c r="K114" s="11" t="s">
        <v>447</v>
      </c>
      <c r="L114" s="11" t="s">
        <v>448</v>
      </c>
      <c r="M114" s="5" t="s">
        <v>794</v>
      </c>
      <c r="N114" s="5" t="s">
        <v>797</v>
      </c>
      <c r="O114" s="5" t="s">
        <v>564</v>
      </c>
      <c r="P114" s="5" t="s">
        <v>462</v>
      </c>
      <c r="Q114" s="11" t="s">
        <v>82</v>
      </c>
      <c r="R114" s="11" t="s">
        <v>82</v>
      </c>
      <c r="S114" s="11" t="s">
        <v>82</v>
      </c>
      <c r="T114" s="11" t="s">
        <v>200</v>
      </c>
      <c r="U114" s="5" t="s">
        <v>201</v>
      </c>
      <c r="V114" s="11" t="s">
        <v>463</v>
      </c>
      <c r="W114" s="11" t="s">
        <v>464</v>
      </c>
      <c r="X114" s="11" t="s">
        <v>465</v>
      </c>
      <c r="Y114" s="11" t="s">
        <v>202</v>
      </c>
      <c r="Z114" s="11" t="s">
        <v>798</v>
      </c>
    </row>
    <row r="115" spans="1:26">
      <c r="A115" s="11" t="s">
        <v>467</v>
      </c>
      <c r="B115" s="11" t="s">
        <v>197</v>
      </c>
      <c r="C115" s="12">
        <v>190</v>
      </c>
      <c r="D115" s="12">
        <v>2080</v>
      </c>
      <c r="E115" s="11" t="s">
        <v>71</v>
      </c>
      <c r="F115" s="13" t="s">
        <v>468</v>
      </c>
      <c r="G115" s="14">
        <v>4</v>
      </c>
      <c r="H115" s="11" t="s">
        <v>73</v>
      </c>
      <c r="I115" s="11" t="s">
        <v>74</v>
      </c>
      <c r="J115" s="11" t="s">
        <v>75</v>
      </c>
      <c r="K115" s="11" t="s">
        <v>447</v>
      </c>
      <c r="L115" s="11" t="s">
        <v>448</v>
      </c>
      <c r="M115" s="5" t="s">
        <v>794</v>
      </c>
      <c r="N115" s="5" t="s">
        <v>799</v>
      </c>
      <c r="O115" s="5" t="s">
        <v>567</v>
      </c>
      <c r="P115" s="5" t="s">
        <v>471</v>
      </c>
      <c r="Q115" s="11" t="s">
        <v>82</v>
      </c>
      <c r="R115" s="11" t="s">
        <v>82</v>
      </c>
      <c r="S115" s="11" t="s">
        <v>82</v>
      </c>
      <c r="T115" s="11" t="s">
        <v>200</v>
      </c>
      <c r="U115" s="5" t="s">
        <v>201</v>
      </c>
      <c r="V115" s="11" t="s">
        <v>472</v>
      </c>
      <c r="W115" s="11" t="s">
        <v>473</v>
      </c>
      <c r="X115" s="11" t="s">
        <v>474</v>
      </c>
      <c r="Y115" s="11" t="s">
        <v>202</v>
      </c>
      <c r="Z115" s="11" t="s">
        <v>800</v>
      </c>
    </row>
    <row r="116" spans="1:26">
      <c r="A116" s="11" t="s">
        <v>476</v>
      </c>
      <c r="B116" s="11" t="s">
        <v>197</v>
      </c>
      <c r="C116" s="17">
        <v>254</v>
      </c>
      <c r="D116" s="17">
        <v>78</v>
      </c>
      <c r="E116" s="11" t="s">
        <v>71</v>
      </c>
      <c r="F116" s="13" t="s">
        <v>477</v>
      </c>
      <c r="G116" s="18" t="s">
        <v>478</v>
      </c>
      <c r="H116" s="11" t="s">
        <v>73</v>
      </c>
      <c r="I116" s="11" t="s">
        <v>74</v>
      </c>
      <c r="J116" s="11" t="s">
        <v>75</v>
      </c>
      <c r="K116" s="11" t="s">
        <v>479</v>
      </c>
      <c r="L116" s="11" t="s">
        <v>77</v>
      </c>
      <c r="M116" s="5" t="s">
        <v>801</v>
      </c>
      <c r="N116" s="5" t="s">
        <v>802</v>
      </c>
      <c r="O116" s="5" t="s">
        <v>571</v>
      </c>
      <c r="P116" s="5" t="s">
        <v>483</v>
      </c>
      <c r="Q116" s="11" t="s">
        <v>82</v>
      </c>
      <c r="R116" s="11" t="s">
        <v>82</v>
      </c>
      <c r="S116" s="11" t="s">
        <v>82</v>
      </c>
      <c r="T116" s="11" t="s">
        <v>200</v>
      </c>
      <c r="U116" s="5" t="s">
        <v>201</v>
      </c>
      <c r="V116" s="11" t="s">
        <v>484</v>
      </c>
      <c r="W116" s="11" t="s">
        <v>86</v>
      </c>
      <c r="X116" s="11" t="s">
        <v>87</v>
      </c>
      <c r="Y116" s="11" t="s">
        <v>202</v>
      </c>
      <c r="Z116" s="11" t="s">
        <v>803</v>
      </c>
    </row>
    <row r="117" spans="1:26">
      <c r="A117" s="11" t="s">
        <v>486</v>
      </c>
      <c r="B117" s="11" t="s">
        <v>197</v>
      </c>
      <c r="C117" s="12">
        <v>194</v>
      </c>
      <c r="D117" s="12">
        <v>178</v>
      </c>
      <c r="E117" s="11" t="s">
        <v>71</v>
      </c>
      <c r="F117" s="13" t="s">
        <v>487</v>
      </c>
      <c r="G117" s="14">
        <v>1</v>
      </c>
      <c r="H117" s="11" t="s">
        <v>73</v>
      </c>
      <c r="I117" s="11" t="s">
        <v>74</v>
      </c>
      <c r="J117" s="11" t="s">
        <v>75</v>
      </c>
      <c r="K117" s="11" t="s">
        <v>447</v>
      </c>
      <c r="L117" s="11" t="s">
        <v>488</v>
      </c>
      <c r="M117" s="5" t="s">
        <v>794</v>
      </c>
      <c r="N117" s="5" t="s">
        <v>804</v>
      </c>
      <c r="O117" s="5" t="s">
        <v>111</v>
      </c>
      <c r="P117" s="5" t="s">
        <v>491</v>
      </c>
      <c r="Q117" s="11" t="s">
        <v>82</v>
      </c>
      <c r="R117" s="11" t="s">
        <v>82</v>
      </c>
      <c r="S117" s="11" t="s">
        <v>82</v>
      </c>
      <c r="T117" s="11" t="s">
        <v>200</v>
      </c>
      <c r="U117" s="5" t="s">
        <v>201</v>
      </c>
      <c r="V117" s="11" t="s">
        <v>492</v>
      </c>
      <c r="W117" s="11" t="s">
        <v>493</v>
      </c>
      <c r="X117" s="11" t="s">
        <v>494</v>
      </c>
      <c r="Y117" s="11" t="s">
        <v>202</v>
      </c>
      <c r="Z117" s="11" t="s">
        <v>805</v>
      </c>
    </row>
    <row r="118" spans="1:26">
      <c r="A118" s="11" t="s">
        <v>496</v>
      </c>
      <c r="B118" s="11" t="s">
        <v>197</v>
      </c>
      <c r="C118" s="12">
        <v>134</v>
      </c>
      <c r="D118" s="12">
        <v>150</v>
      </c>
      <c r="E118" s="11" t="s">
        <v>71</v>
      </c>
      <c r="F118" s="13" t="s">
        <v>497</v>
      </c>
      <c r="G118" s="14">
        <v>1</v>
      </c>
      <c r="H118" s="11" t="s">
        <v>73</v>
      </c>
      <c r="I118" s="11" t="s">
        <v>74</v>
      </c>
      <c r="J118" s="11" t="s">
        <v>75</v>
      </c>
      <c r="K118" s="11" t="s">
        <v>447</v>
      </c>
      <c r="L118" s="11" t="s">
        <v>488</v>
      </c>
      <c r="M118" s="5" t="s">
        <v>794</v>
      </c>
      <c r="N118" s="5" t="s">
        <v>806</v>
      </c>
      <c r="O118" s="5" t="s">
        <v>576</v>
      </c>
      <c r="P118" s="5" t="s">
        <v>500</v>
      </c>
      <c r="Q118" s="11" t="s">
        <v>82</v>
      </c>
      <c r="R118" s="11" t="s">
        <v>82</v>
      </c>
      <c r="S118" s="11" t="s">
        <v>82</v>
      </c>
      <c r="T118" s="11" t="s">
        <v>200</v>
      </c>
      <c r="U118" s="5" t="s">
        <v>201</v>
      </c>
      <c r="V118" s="11" t="s">
        <v>501</v>
      </c>
      <c r="W118" s="11" t="s">
        <v>502</v>
      </c>
      <c r="X118" s="11" t="s">
        <v>503</v>
      </c>
      <c r="Y118" s="11" t="s">
        <v>202</v>
      </c>
      <c r="Z118" s="11" t="s">
        <v>807</v>
      </c>
    </row>
    <row r="119" spans="1:26">
      <c r="A119" s="11" t="s">
        <v>505</v>
      </c>
      <c r="B119" s="11" t="s">
        <v>197</v>
      </c>
      <c r="C119" s="12">
        <v>34</v>
      </c>
      <c r="D119" s="12">
        <v>190</v>
      </c>
      <c r="E119" s="11" t="s">
        <v>71</v>
      </c>
      <c r="F119" s="13" t="s">
        <v>506</v>
      </c>
      <c r="G119" s="14">
        <v>1</v>
      </c>
      <c r="H119" s="11" t="s">
        <v>73</v>
      </c>
      <c r="I119" s="11" t="s">
        <v>74</v>
      </c>
      <c r="J119" s="11" t="s">
        <v>75</v>
      </c>
      <c r="K119" s="11" t="s">
        <v>447</v>
      </c>
      <c r="L119" s="11" t="s">
        <v>488</v>
      </c>
      <c r="M119" s="5" t="s">
        <v>794</v>
      </c>
      <c r="N119" s="5" t="s">
        <v>808</v>
      </c>
      <c r="O119" s="5" t="s">
        <v>579</v>
      </c>
      <c r="P119" s="5" t="s">
        <v>509</v>
      </c>
      <c r="Q119" s="11" t="s">
        <v>82</v>
      </c>
      <c r="R119" s="11" t="s">
        <v>82</v>
      </c>
      <c r="S119" s="11" t="s">
        <v>82</v>
      </c>
      <c r="T119" s="11" t="s">
        <v>200</v>
      </c>
      <c r="U119" s="5" t="s">
        <v>201</v>
      </c>
      <c r="V119" s="11" t="s">
        <v>510</v>
      </c>
      <c r="W119" s="11" t="s">
        <v>511</v>
      </c>
      <c r="X119" s="11" t="s">
        <v>512</v>
      </c>
      <c r="Y119" s="11" t="s">
        <v>202</v>
      </c>
      <c r="Z119" s="11" t="s">
        <v>809</v>
      </c>
    </row>
    <row r="120" spans="1:26">
      <c r="A120" s="11" t="s">
        <v>514</v>
      </c>
      <c r="B120" s="11" t="s">
        <v>197</v>
      </c>
      <c r="C120" s="17">
        <v>-14</v>
      </c>
      <c r="D120" s="17">
        <v>254</v>
      </c>
      <c r="E120" s="11" t="s">
        <v>71</v>
      </c>
      <c r="F120" s="13" t="s">
        <v>515</v>
      </c>
      <c r="G120" s="18" t="s">
        <v>516</v>
      </c>
      <c r="H120" s="11" t="s">
        <v>73</v>
      </c>
      <c r="I120" s="11" t="s">
        <v>74</v>
      </c>
      <c r="J120" s="11" t="s">
        <v>75</v>
      </c>
      <c r="K120" s="11" t="s">
        <v>479</v>
      </c>
      <c r="L120" s="11" t="s">
        <v>77</v>
      </c>
      <c r="M120" s="5" t="s">
        <v>810</v>
      </c>
      <c r="N120" s="5" t="s">
        <v>811</v>
      </c>
      <c r="O120" s="5" t="s">
        <v>583</v>
      </c>
      <c r="P120" s="5" t="s">
        <v>520</v>
      </c>
      <c r="Q120" s="11" t="s">
        <v>82</v>
      </c>
      <c r="R120" s="11" t="s">
        <v>82</v>
      </c>
      <c r="S120" s="11" t="s">
        <v>82</v>
      </c>
      <c r="T120" s="11" t="s">
        <v>200</v>
      </c>
      <c r="U120" s="5" t="s">
        <v>201</v>
      </c>
      <c r="V120" s="11" t="s">
        <v>521</v>
      </c>
      <c r="W120" s="11" t="s">
        <v>96</v>
      </c>
      <c r="X120" s="11" t="s">
        <v>97</v>
      </c>
      <c r="Y120" s="11" t="s">
        <v>202</v>
      </c>
      <c r="Z120" s="11" t="s">
        <v>812</v>
      </c>
    </row>
    <row r="121" spans="1:26">
      <c r="A121" s="11" t="s">
        <v>523</v>
      </c>
      <c r="B121" s="11" t="s">
        <v>197</v>
      </c>
      <c r="C121" s="12">
        <v>197</v>
      </c>
      <c r="D121" s="12">
        <v>194</v>
      </c>
      <c r="E121" s="11" t="s">
        <v>71</v>
      </c>
      <c r="F121" s="13" t="s">
        <v>524</v>
      </c>
      <c r="G121" s="14">
        <v>1</v>
      </c>
      <c r="H121" s="11" t="s">
        <v>73</v>
      </c>
      <c r="I121" s="11" t="s">
        <v>74</v>
      </c>
      <c r="J121" s="11" t="s">
        <v>75</v>
      </c>
      <c r="K121" s="11" t="s">
        <v>447</v>
      </c>
      <c r="L121" s="11" t="s">
        <v>488</v>
      </c>
      <c r="M121" s="5" t="s">
        <v>794</v>
      </c>
      <c r="N121" s="5" t="s">
        <v>813</v>
      </c>
      <c r="O121" s="5" t="s">
        <v>111</v>
      </c>
      <c r="P121" s="5" t="s">
        <v>527</v>
      </c>
      <c r="Q121" s="11" t="s">
        <v>82</v>
      </c>
      <c r="R121" s="11" t="s">
        <v>82</v>
      </c>
      <c r="S121" s="11" t="s">
        <v>82</v>
      </c>
      <c r="T121" s="11" t="s">
        <v>200</v>
      </c>
      <c r="U121" s="5" t="s">
        <v>201</v>
      </c>
      <c r="V121" s="11" t="s">
        <v>528</v>
      </c>
      <c r="W121" s="11" t="s">
        <v>529</v>
      </c>
      <c r="X121" s="11" t="s">
        <v>530</v>
      </c>
      <c r="Y121" s="11" t="s">
        <v>202</v>
      </c>
      <c r="Z121" s="11" t="s">
        <v>814</v>
      </c>
    </row>
    <row r="122" spans="1:26">
      <c r="A122" s="11" t="s">
        <v>532</v>
      </c>
      <c r="B122" s="11" t="s">
        <v>197</v>
      </c>
      <c r="C122" s="12">
        <v>205</v>
      </c>
      <c r="D122" s="12">
        <v>134</v>
      </c>
      <c r="E122" s="11" t="s">
        <v>71</v>
      </c>
      <c r="F122" s="13" t="s">
        <v>533</v>
      </c>
      <c r="G122" s="14">
        <v>1</v>
      </c>
      <c r="H122" s="11" t="s">
        <v>73</v>
      </c>
      <c r="I122" s="11" t="s">
        <v>74</v>
      </c>
      <c r="J122" s="11" t="s">
        <v>75</v>
      </c>
      <c r="K122" s="11" t="s">
        <v>447</v>
      </c>
      <c r="L122" s="11" t="s">
        <v>488</v>
      </c>
      <c r="M122" s="5" t="s">
        <v>794</v>
      </c>
      <c r="N122" s="5" t="s">
        <v>815</v>
      </c>
      <c r="O122" s="5" t="s">
        <v>588</v>
      </c>
      <c r="P122" s="5" t="s">
        <v>536</v>
      </c>
      <c r="Q122" s="11" t="s">
        <v>82</v>
      </c>
      <c r="R122" s="11" t="s">
        <v>82</v>
      </c>
      <c r="S122" s="11" t="s">
        <v>82</v>
      </c>
      <c r="T122" s="11" t="s">
        <v>200</v>
      </c>
      <c r="U122" s="5" t="s">
        <v>201</v>
      </c>
      <c r="V122" s="11" t="s">
        <v>537</v>
      </c>
      <c r="W122" s="11" t="s">
        <v>538</v>
      </c>
      <c r="X122" s="11" t="s">
        <v>539</v>
      </c>
      <c r="Y122" s="11" t="s">
        <v>202</v>
      </c>
      <c r="Z122" s="11" t="s">
        <v>816</v>
      </c>
    </row>
    <row r="123" spans="1:26">
      <c r="A123" s="11" t="s">
        <v>541</v>
      </c>
      <c r="B123" s="11" t="s">
        <v>197</v>
      </c>
      <c r="C123" s="12">
        <v>187</v>
      </c>
      <c r="D123" s="12">
        <v>34</v>
      </c>
      <c r="E123" s="11" t="s">
        <v>71</v>
      </c>
      <c r="F123" s="13" t="s">
        <v>542</v>
      </c>
      <c r="G123" s="14">
        <v>1</v>
      </c>
      <c r="H123" s="11" t="s">
        <v>73</v>
      </c>
      <c r="I123" s="11" t="s">
        <v>74</v>
      </c>
      <c r="J123" s="11" t="s">
        <v>75</v>
      </c>
      <c r="K123" s="11" t="s">
        <v>447</v>
      </c>
      <c r="L123" s="11" t="s">
        <v>488</v>
      </c>
      <c r="M123" s="5" t="s">
        <v>794</v>
      </c>
      <c r="N123" s="5" t="s">
        <v>817</v>
      </c>
      <c r="O123" s="5" t="s">
        <v>591</v>
      </c>
      <c r="P123" s="5" t="s">
        <v>545</v>
      </c>
      <c r="Q123" s="11" t="s">
        <v>82</v>
      </c>
      <c r="R123" s="11" t="s">
        <v>82</v>
      </c>
      <c r="S123" s="11" t="s">
        <v>82</v>
      </c>
      <c r="T123" s="11" t="s">
        <v>200</v>
      </c>
      <c r="U123" s="5" t="s">
        <v>201</v>
      </c>
      <c r="V123" s="11" t="s">
        <v>546</v>
      </c>
      <c r="W123" s="11" t="s">
        <v>547</v>
      </c>
      <c r="X123" s="11" t="s">
        <v>548</v>
      </c>
      <c r="Y123" s="11" t="s">
        <v>202</v>
      </c>
      <c r="Z123" s="11" t="s">
        <v>818</v>
      </c>
    </row>
    <row r="124" spans="1:26">
      <c r="A124" s="11" t="s">
        <v>550</v>
      </c>
      <c r="B124" s="11" t="s">
        <v>197</v>
      </c>
      <c r="C124" s="17">
        <v>345</v>
      </c>
      <c r="D124" s="17">
        <v>-14</v>
      </c>
      <c r="E124" s="11" t="s">
        <v>71</v>
      </c>
      <c r="F124" s="13" t="s">
        <v>551</v>
      </c>
      <c r="G124" s="18" t="s">
        <v>552</v>
      </c>
      <c r="H124" s="11" t="s">
        <v>73</v>
      </c>
      <c r="I124" s="11" t="s">
        <v>74</v>
      </c>
      <c r="J124" s="11" t="s">
        <v>75</v>
      </c>
      <c r="K124" s="11" t="s">
        <v>479</v>
      </c>
      <c r="L124" s="11" t="s">
        <v>77</v>
      </c>
      <c r="M124" s="5" t="s">
        <v>819</v>
      </c>
      <c r="N124" s="5" t="s">
        <v>820</v>
      </c>
      <c r="O124" s="5" t="s">
        <v>555</v>
      </c>
      <c r="P124" s="5" t="s">
        <v>556</v>
      </c>
      <c r="Q124" s="11" t="s">
        <v>82</v>
      </c>
      <c r="R124" s="11" t="s">
        <v>82</v>
      </c>
      <c r="S124" s="11" t="s">
        <v>82</v>
      </c>
      <c r="T124" s="11" t="s">
        <v>200</v>
      </c>
      <c r="U124" s="5" t="s">
        <v>201</v>
      </c>
      <c r="V124" s="11" t="s">
        <v>557</v>
      </c>
      <c r="W124" s="11" t="s">
        <v>105</v>
      </c>
      <c r="X124" s="11" t="s">
        <v>106</v>
      </c>
      <c r="Y124" s="11" t="s">
        <v>202</v>
      </c>
      <c r="Z124" s="11" t="s">
        <v>821</v>
      </c>
    </row>
    <row r="125" spans="1:26">
      <c r="A125" s="11" t="s">
        <v>445</v>
      </c>
      <c r="B125" s="11" t="s">
        <v>208</v>
      </c>
      <c r="C125" s="12">
        <v>1092</v>
      </c>
      <c r="D125" s="12">
        <v>950</v>
      </c>
      <c r="E125" s="11" t="s">
        <v>71</v>
      </c>
      <c r="F125" s="13" t="s">
        <v>446</v>
      </c>
      <c r="G125" s="14">
        <v>4</v>
      </c>
      <c r="H125" s="11" t="s">
        <v>73</v>
      </c>
      <c r="I125" s="11" t="s">
        <v>74</v>
      </c>
      <c r="J125" s="11" t="s">
        <v>75</v>
      </c>
      <c r="K125" s="11" t="s">
        <v>447</v>
      </c>
      <c r="L125" s="11" t="s">
        <v>448</v>
      </c>
      <c r="M125" s="5" t="s">
        <v>822</v>
      </c>
      <c r="N125" s="5" t="s">
        <v>823</v>
      </c>
      <c r="O125" s="5" t="s">
        <v>598</v>
      </c>
      <c r="P125" s="5" t="s">
        <v>452</v>
      </c>
      <c r="Q125" s="11" t="s">
        <v>82</v>
      </c>
      <c r="R125" s="11" t="s">
        <v>82</v>
      </c>
      <c r="S125" s="11" t="s">
        <v>82</v>
      </c>
      <c r="T125" s="11" t="s">
        <v>211</v>
      </c>
      <c r="U125" s="5" t="s">
        <v>212</v>
      </c>
      <c r="V125" s="11" t="s">
        <v>454</v>
      </c>
      <c r="W125" s="11" t="s">
        <v>455</v>
      </c>
      <c r="X125" s="11" t="s">
        <v>456</v>
      </c>
      <c r="Y125" s="11" t="s">
        <v>213</v>
      </c>
      <c r="Z125" s="11" t="s">
        <v>824</v>
      </c>
    </row>
    <row r="126" spans="1:26">
      <c r="A126" s="11" t="s">
        <v>458</v>
      </c>
      <c r="B126" s="11" t="s">
        <v>208</v>
      </c>
      <c r="C126" s="12">
        <v>847</v>
      </c>
      <c r="D126" s="12">
        <v>767</v>
      </c>
      <c r="E126" s="11" t="s">
        <v>71</v>
      </c>
      <c r="F126" s="13" t="s">
        <v>459</v>
      </c>
      <c r="G126" s="14">
        <v>4</v>
      </c>
      <c r="H126" s="11" t="s">
        <v>73</v>
      </c>
      <c r="I126" s="11" t="s">
        <v>74</v>
      </c>
      <c r="J126" s="11" t="s">
        <v>75</v>
      </c>
      <c r="K126" s="11" t="s">
        <v>447</v>
      </c>
      <c r="L126" s="11" t="s">
        <v>448</v>
      </c>
      <c r="M126" s="5" t="s">
        <v>822</v>
      </c>
      <c r="N126" s="5" t="s">
        <v>825</v>
      </c>
      <c r="O126" s="5" t="s">
        <v>601</v>
      </c>
      <c r="P126" s="5" t="s">
        <v>462</v>
      </c>
      <c r="Q126" s="11" t="s">
        <v>82</v>
      </c>
      <c r="R126" s="11" t="s">
        <v>82</v>
      </c>
      <c r="S126" s="11" t="s">
        <v>82</v>
      </c>
      <c r="T126" s="11" t="s">
        <v>211</v>
      </c>
      <c r="U126" s="5" t="s">
        <v>212</v>
      </c>
      <c r="V126" s="11" t="s">
        <v>463</v>
      </c>
      <c r="W126" s="11" t="s">
        <v>464</v>
      </c>
      <c r="X126" s="11" t="s">
        <v>465</v>
      </c>
      <c r="Y126" s="11" t="s">
        <v>213</v>
      </c>
      <c r="Z126" s="11" t="s">
        <v>826</v>
      </c>
    </row>
    <row r="127" spans="1:26">
      <c r="A127" s="11" t="s">
        <v>467</v>
      </c>
      <c r="B127" s="11" t="s">
        <v>208</v>
      </c>
      <c r="C127" s="12">
        <v>1101</v>
      </c>
      <c r="D127" s="12">
        <v>-921</v>
      </c>
      <c r="E127" s="11" t="s">
        <v>71</v>
      </c>
      <c r="F127" s="13" t="s">
        <v>468</v>
      </c>
      <c r="G127" s="14">
        <v>4</v>
      </c>
      <c r="H127" s="11" t="s">
        <v>73</v>
      </c>
      <c r="I127" s="11" t="s">
        <v>74</v>
      </c>
      <c r="J127" s="11" t="s">
        <v>75</v>
      </c>
      <c r="K127" s="11" t="s">
        <v>447</v>
      </c>
      <c r="L127" s="11" t="s">
        <v>448</v>
      </c>
      <c r="M127" s="5" t="s">
        <v>822</v>
      </c>
      <c r="N127" s="5" t="s">
        <v>827</v>
      </c>
      <c r="O127" s="5" t="s">
        <v>604</v>
      </c>
      <c r="P127" s="5" t="s">
        <v>471</v>
      </c>
      <c r="Q127" s="11" t="s">
        <v>82</v>
      </c>
      <c r="R127" s="11" t="s">
        <v>82</v>
      </c>
      <c r="S127" s="11" t="s">
        <v>82</v>
      </c>
      <c r="T127" s="11" t="s">
        <v>211</v>
      </c>
      <c r="U127" s="5" t="s">
        <v>212</v>
      </c>
      <c r="V127" s="11" t="s">
        <v>472</v>
      </c>
      <c r="W127" s="11" t="s">
        <v>473</v>
      </c>
      <c r="X127" s="11" t="s">
        <v>474</v>
      </c>
      <c r="Y127" s="11" t="s">
        <v>213</v>
      </c>
      <c r="Z127" s="11" t="s">
        <v>828</v>
      </c>
    </row>
    <row r="128" spans="1:26">
      <c r="A128" s="11" t="s">
        <v>476</v>
      </c>
      <c r="B128" s="11" t="s">
        <v>208</v>
      </c>
      <c r="C128" s="17">
        <v>989</v>
      </c>
      <c r="D128" s="17">
        <v>1137</v>
      </c>
      <c r="E128" s="11" t="s">
        <v>71</v>
      </c>
      <c r="F128" s="13" t="s">
        <v>477</v>
      </c>
      <c r="G128" s="18" t="s">
        <v>478</v>
      </c>
      <c r="H128" s="11" t="s">
        <v>73</v>
      </c>
      <c r="I128" s="11" t="s">
        <v>74</v>
      </c>
      <c r="J128" s="11" t="s">
        <v>75</v>
      </c>
      <c r="K128" s="11" t="s">
        <v>479</v>
      </c>
      <c r="L128" s="11" t="s">
        <v>77</v>
      </c>
      <c r="M128" s="5" t="s">
        <v>829</v>
      </c>
      <c r="N128" s="5" t="s">
        <v>830</v>
      </c>
      <c r="O128" s="5" t="s">
        <v>482</v>
      </c>
      <c r="P128" s="5" t="s">
        <v>483</v>
      </c>
      <c r="Q128" s="11" t="s">
        <v>82</v>
      </c>
      <c r="R128" s="11" t="s">
        <v>82</v>
      </c>
      <c r="S128" s="11" t="s">
        <v>82</v>
      </c>
      <c r="T128" s="11" t="s">
        <v>211</v>
      </c>
      <c r="U128" s="5" t="s">
        <v>212</v>
      </c>
      <c r="V128" s="11" t="s">
        <v>484</v>
      </c>
      <c r="W128" s="11" t="s">
        <v>86</v>
      </c>
      <c r="X128" s="11" t="s">
        <v>87</v>
      </c>
      <c r="Y128" s="11" t="s">
        <v>213</v>
      </c>
      <c r="Z128" s="11" t="s">
        <v>831</v>
      </c>
    </row>
    <row r="129" spans="1:26">
      <c r="A129" s="11" t="s">
        <v>486</v>
      </c>
      <c r="B129" s="11" t="s">
        <v>208</v>
      </c>
      <c r="C129" s="12">
        <v>1367</v>
      </c>
      <c r="D129" s="12">
        <v>1092</v>
      </c>
      <c r="E129" s="11" t="s">
        <v>71</v>
      </c>
      <c r="F129" s="13" t="s">
        <v>487</v>
      </c>
      <c r="G129" s="14">
        <v>1</v>
      </c>
      <c r="H129" s="11" t="s">
        <v>73</v>
      </c>
      <c r="I129" s="11" t="s">
        <v>74</v>
      </c>
      <c r="J129" s="11" t="s">
        <v>75</v>
      </c>
      <c r="K129" s="11" t="s">
        <v>447</v>
      </c>
      <c r="L129" s="11" t="s">
        <v>488</v>
      </c>
      <c r="M129" s="5" t="s">
        <v>822</v>
      </c>
      <c r="N129" s="5" t="s">
        <v>832</v>
      </c>
      <c r="O129" s="5" t="s">
        <v>610</v>
      </c>
      <c r="P129" s="5" t="s">
        <v>491</v>
      </c>
      <c r="Q129" s="11" t="s">
        <v>82</v>
      </c>
      <c r="R129" s="11" t="s">
        <v>82</v>
      </c>
      <c r="S129" s="11" t="s">
        <v>82</v>
      </c>
      <c r="T129" s="11" t="s">
        <v>211</v>
      </c>
      <c r="U129" s="5" t="s">
        <v>212</v>
      </c>
      <c r="V129" s="11" t="s">
        <v>492</v>
      </c>
      <c r="W129" s="11" t="s">
        <v>493</v>
      </c>
      <c r="X129" s="11" t="s">
        <v>494</v>
      </c>
      <c r="Y129" s="11" t="s">
        <v>213</v>
      </c>
      <c r="Z129" s="11" t="s">
        <v>833</v>
      </c>
    </row>
    <row r="130" spans="1:26">
      <c r="A130" s="11" t="s">
        <v>496</v>
      </c>
      <c r="B130" s="11" t="s">
        <v>208</v>
      </c>
      <c r="C130" s="12">
        <v>1115</v>
      </c>
      <c r="D130" s="12">
        <v>847</v>
      </c>
      <c r="E130" s="11" t="s">
        <v>71</v>
      </c>
      <c r="F130" s="13" t="s">
        <v>497</v>
      </c>
      <c r="G130" s="14">
        <v>1</v>
      </c>
      <c r="H130" s="11" t="s">
        <v>73</v>
      </c>
      <c r="I130" s="11" t="s">
        <v>74</v>
      </c>
      <c r="J130" s="11" t="s">
        <v>75</v>
      </c>
      <c r="K130" s="11" t="s">
        <v>447</v>
      </c>
      <c r="L130" s="11" t="s">
        <v>488</v>
      </c>
      <c r="M130" s="5" t="s">
        <v>822</v>
      </c>
      <c r="N130" s="5" t="s">
        <v>834</v>
      </c>
      <c r="O130" s="5" t="s">
        <v>613</v>
      </c>
      <c r="P130" s="5" t="s">
        <v>500</v>
      </c>
      <c r="Q130" s="11" t="s">
        <v>82</v>
      </c>
      <c r="R130" s="11" t="s">
        <v>82</v>
      </c>
      <c r="S130" s="11" t="s">
        <v>82</v>
      </c>
      <c r="T130" s="11" t="s">
        <v>211</v>
      </c>
      <c r="U130" s="5" t="s">
        <v>212</v>
      </c>
      <c r="V130" s="11" t="s">
        <v>501</v>
      </c>
      <c r="W130" s="11" t="s">
        <v>502</v>
      </c>
      <c r="X130" s="11" t="s">
        <v>503</v>
      </c>
      <c r="Y130" s="11" t="s">
        <v>213</v>
      </c>
      <c r="Z130" s="11" t="s">
        <v>835</v>
      </c>
    </row>
    <row r="131" spans="1:26">
      <c r="A131" s="11" t="s">
        <v>505</v>
      </c>
      <c r="B131" s="11" t="s">
        <v>208</v>
      </c>
      <c r="C131" s="12">
        <v>847</v>
      </c>
      <c r="D131" s="12">
        <v>1101</v>
      </c>
      <c r="E131" s="11" t="s">
        <v>71</v>
      </c>
      <c r="F131" s="13" t="s">
        <v>506</v>
      </c>
      <c r="G131" s="14">
        <v>1</v>
      </c>
      <c r="H131" s="11" t="s">
        <v>73</v>
      </c>
      <c r="I131" s="11" t="s">
        <v>74</v>
      </c>
      <c r="J131" s="11" t="s">
        <v>75</v>
      </c>
      <c r="K131" s="11" t="s">
        <v>447</v>
      </c>
      <c r="L131" s="11" t="s">
        <v>488</v>
      </c>
      <c r="M131" s="5" t="s">
        <v>822</v>
      </c>
      <c r="N131" s="5" t="s">
        <v>825</v>
      </c>
      <c r="O131" s="5" t="s">
        <v>616</v>
      </c>
      <c r="P131" s="5" t="s">
        <v>509</v>
      </c>
      <c r="Q131" s="11" t="s">
        <v>82</v>
      </c>
      <c r="R131" s="11" t="s">
        <v>82</v>
      </c>
      <c r="S131" s="11" t="s">
        <v>82</v>
      </c>
      <c r="T131" s="11" t="s">
        <v>211</v>
      </c>
      <c r="U131" s="5" t="s">
        <v>212</v>
      </c>
      <c r="V131" s="11" t="s">
        <v>510</v>
      </c>
      <c r="W131" s="11" t="s">
        <v>511</v>
      </c>
      <c r="X131" s="11" t="s">
        <v>512</v>
      </c>
      <c r="Y131" s="11" t="s">
        <v>213</v>
      </c>
      <c r="Z131" s="11" t="s">
        <v>836</v>
      </c>
    </row>
    <row r="132" spans="1:26">
      <c r="A132" s="11" t="s">
        <v>514</v>
      </c>
      <c r="B132" s="11" t="s">
        <v>208</v>
      </c>
      <c r="C132" s="17">
        <v>-790</v>
      </c>
      <c r="D132" s="17">
        <v>989</v>
      </c>
      <c r="E132" s="11" t="s">
        <v>71</v>
      </c>
      <c r="F132" s="13" t="s">
        <v>515</v>
      </c>
      <c r="G132" s="18" t="s">
        <v>516</v>
      </c>
      <c r="H132" s="11" t="s">
        <v>73</v>
      </c>
      <c r="I132" s="11" t="s">
        <v>74</v>
      </c>
      <c r="J132" s="11" t="s">
        <v>75</v>
      </c>
      <c r="K132" s="11" t="s">
        <v>479</v>
      </c>
      <c r="L132" s="11" t="s">
        <v>77</v>
      </c>
      <c r="M132" s="5" t="s">
        <v>837</v>
      </c>
      <c r="N132" s="5" t="s">
        <v>838</v>
      </c>
      <c r="O132" s="5" t="s">
        <v>519</v>
      </c>
      <c r="P132" s="5" t="s">
        <v>520</v>
      </c>
      <c r="Q132" s="11" t="s">
        <v>82</v>
      </c>
      <c r="R132" s="11" t="s">
        <v>82</v>
      </c>
      <c r="S132" s="11" t="s">
        <v>82</v>
      </c>
      <c r="T132" s="11" t="s">
        <v>211</v>
      </c>
      <c r="U132" s="5" t="s">
        <v>212</v>
      </c>
      <c r="V132" s="11" t="s">
        <v>521</v>
      </c>
      <c r="W132" s="11" t="s">
        <v>96</v>
      </c>
      <c r="X132" s="11" t="s">
        <v>97</v>
      </c>
      <c r="Y132" s="11" t="s">
        <v>213</v>
      </c>
      <c r="Z132" s="11" t="s">
        <v>839</v>
      </c>
    </row>
    <row r="133" spans="1:26">
      <c r="A133" s="11" t="s">
        <v>523</v>
      </c>
      <c r="B133" s="11" t="s">
        <v>208</v>
      </c>
      <c r="C133" s="12">
        <v>1518</v>
      </c>
      <c r="D133" s="12">
        <v>1367</v>
      </c>
      <c r="E133" s="11" t="s">
        <v>71</v>
      </c>
      <c r="F133" s="13" t="s">
        <v>524</v>
      </c>
      <c r="G133" s="14">
        <v>1</v>
      </c>
      <c r="H133" s="11" t="s">
        <v>73</v>
      </c>
      <c r="I133" s="11" t="s">
        <v>74</v>
      </c>
      <c r="J133" s="11" t="s">
        <v>75</v>
      </c>
      <c r="K133" s="11" t="s">
        <v>447</v>
      </c>
      <c r="L133" s="11" t="s">
        <v>488</v>
      </c>
      <c r="M133" s="5" t="s">
        <v>822</v>
      </c>
      <c r="N133" s="5" t="s">
        <v>840</v>
      </c>
      <c r="O133" s="5" t="s">
        <v>111</v>
      </c>
      <c r="P133" s="5" t="s">
        <v>527</v>
      </c>
      <c r="Q133" s="11" t="s">
        <v>82</v>
      </c>
      <c r="R133" s="11" t="s">
        <v>82</v>
      </c>
      <c r="S133" s="11" t="s">
        <v>82</v>
      </c>
      <c r="T133" s="11" t="s">
        <v>211</v>
      </c>
      <c r="U133" s="5" t="s">
        <v>212</v>
      </c>
      <c r="V133" s="11" t="s">
        <v>528</v>
      </c>
      <c r="W133" s="11" t="s">
        <v>529</v>
      </c>
      <c r="X133" s="11" t="s">
        <v>530</v>
      </c>
      <c r="Y133" s="11" t="s">
        <v>213</v>
      </c>
      <c r="Z133" s="11" t="s">
        <v>841</v>
      </c>
    </row>
    <row r="134" spans="1:26">
      <c r="A134" s="11" t="s">
        <v>532</v>
      </c>
      <c r="B134" s="11" t="s">
        <v>208</v>
      </c>
      <c r="C134" s="12">
        <v>1251</v>
      </c>
      <c r="D134" s="12">
        <v>1115</v>
      </c>
      <c r="E134" s="11" t="s">
        <v>71</v>
      </c>
      <c r="F134" s="13" t="s">
        <v>533</v>
      </c>
      <c r="G134" s="14">
        <v>1</v>
      </c>
      <c r="H134" s="11" t="s">
        <v>73</v>
      </c>
      <c r="I134" s="11" t="s">
        <v>74</v>
      </c>
      <c r="J134" s="11" t="s">
        <v>75</v>
      </c>
      <c r="K134" s="11" t="s">
        <v>447</v>
      </c>
      <c r="L134" s="11" t="s">
        <v>488</v>
      </c>
      <c r="M134" s="5" t="s">
        <v>822</v>
      </c>
      <c r="N134" s="5" t="s">
        <v>842</v>
      </c>
      <c r="O134" s="5" t="s">
        <v>588</v>
      </c>
      <c r="P134" s="5" t="s">
        <v>536</v>
      </c>
      <c r="Q134" s="11" t="s">
        <v>82</v>
      </c>
      <c r="R134" s="11" t="s">
        <v>82</v>
      </c>
      <c r="S134" s="11" t="s">
        <v>82</v>
      </c>
      <c r="T134" s="11" t="s">
        <v>211</v>
      </c>
      <c r="U134" s="5" t="s">
        <v>212</v>
      </c>
      <c r="V134" s="11" t="s">
        <v>537</v>
      </c>
      <c r="W134" s="11" t="s">
        <v>538</v>
      </c>
      <c r="X134" s="11" t="s">
        <v>539</v>
      </c>
      <c r="Y134" s="11" t="s">
        <v>213</v>
      </c>
      <c r="Z134" s="11" t="s">
        <v>843</v>
      </c>
    </row>
    <row r="135" spans="1:26">
      <c r="A135" s="11" t="s">
        <v>541</v>
      </c>
      <c r="B135" s="11" t="s">
        <v>208</v>
      </c>
      <c r="C135" s="12">
        <v>1449</v>
      </c>
      <c r="D135" s="12">
        <v>847</v>
      </c>
      <c r="E135" s="11" t="s">
        <v>71</v>
      </c>
      <c r="F135" s="13" t="s">
        <v>542</v>
      </c>
      <c r="G135" s="14">
        <v>1</v>
      </c>
      <c r="H135" s="11" t="s">
        <v>73</v>
      </c>
      <c r="I135" s="11" t="s">
        <v>74</v>
      </c>
      <c r="J135" s="11" t="s">
        <v>75</v>
      </c>
      <c r="K135" s="11" t="s">
        <v>447</v>
      </c>
      <c r="L135" s="11" t="s">
        <v>488</v>
      </c>
      <c r="M135" s="5" t="s">
        <v>822</v>
      </c>
      <c r="N135" s="5" t="s">
        <v>844</v>
      </c>
      <c r="O135" s="5" t="s">
        <v>591</v>
      </c>
      <c r="P135" s="5" t="s">
        <v>545</v>
      </c>
      <c r="Q135" s="11" t="s">
        <v>82</v>
      </c>
      <c r="R135" s="11" t="s">
        <v>82</v>
      </c>
      <c r="S135" s="11" t="s">
        <v>82</v>
      </c>
      <c r="T135" s="11" t="s">
        <v>211</v>
      </c>
      <c r="U135" s="5" t="s">
        <v>212</v>
      </c>
      <c r="V135" s="11" t="s">
        <v>546</v>
      </c>
      <c r="W135" s="11" t="s">
        <v>547</v>
      </c>
      <c r="X135" s="11" t="s">
        <v>548</v>
      </c>
      <c r="Y135" s="11" t="s">
        <v>213</v>
      </c>
      <c r="Z135" s="11" t="s">
        <v>845</v>
      </c>
    </row>
    <row r="136" spans="1:26">
      <c r="A136" s="11" t="s">
        <v>550</v>
      </c>
      <c r="B136" s="11" t="s">
        <v>208</v>
      </c>
      <c r="C136" s="17">
        <v>1509</v>
      </c>
      <c r="D136" s="17">
        <v>-790</v>
      </c>
      <c r="E136" s="11" t="s">
        <v>71</v>
      </c>
      <c r="F136" s="13" t="s">
        <v>551</v>
      </c>
      <c r="G136" s="18" t="s">
        <v>552</v>
      </c>
      <c r="H136" s="11" t="s">
        <v>73</v>
      </c>
      <c r="I136" s="11" t="s">
        <v>74</v>
      </c>
      <c r="J136" s="11" t="s">
        <v>75</v>
      </c>
      <c r="K136" s="11" t="s">
        <v>479</v>
      </c>
      <c r="L136" s="11" t="s">
        <v>77</v>
      </c>
      <c r="M136" s="5" t="s">
        <v>846</v>
      </c>
      <c r="N136" s="5" t="s">
        <v>847</v>
      </c>
      <c r="O136" s="5" t="s">
        <v>555</v>
      </c>
      <c r="P136" s="5" t="s">
        <v>556</v>
      </c>
      <c r="Q136" s="11" t="s">
        <v>82</v>
      </c>
      <c r="R136" s="11" t="s">
        <v>82</v>
      </c>
      <c r="S136" s="11" t="s">
        <v>82</v>
      </c>
      <c r="T136" s="11" t="s">
        <v>211</v>
      </c>
      <c r="U136" s="5" t="s">
        <v>212</v>
      </c>
      <c r="V136" s="11" t="s">
        <v>557</v>
      </c>
      <c r="W136" s="11" t="s">
        <v>105</v>
      </c>
      <c r="X136" s="11" t="s">
        <v>106</v>
      </c>
      <c r="Y136" s="11" t="s">
        <v>213</v>
      </c>
      <c r="Z136" s="11" t="s">
        <v>848</v>
      </c>
    </row>
    <row r="137" spans="1:26">
      <c r="A137" s="11" t="s">
        <v>445</v>
      </c>
      <c r="B137" s="11" t="s">
        <v>219</v>
      </c>
      <c r="C137" s="12">
        <v>5227</v>
      </c>
      <c r="D137" s="12"/>
      <c r="E137" s="11" t="s">
        <v>71</v>
      </c>
      <c r="F137" s="13" t="s">
        <v>446</v>
      </c>
      <c r="G137" s="14">
        <v>3</v>
      </c>
      <c r="H137" s="11" t="s">
        <v>73</v>
      </c>
      <c r="I137" s="11" t="s">
        <v>74</v>
      </c>
      <c r="J137" s="11" t="s">
        <v>75</v>
      </c>
      <c r="K137" s="11" t="s">
        <v>447</v>
      </c>
      <c r="L137" s="11" t="s">
        <v>448</v>
      </c>
      <c r="M137" s="5" t="s">
        <v>849</v>
      </c>
      <c r="N137" s="5" t="s">
        <v>850</v>
      </c>
      <c r="O137" s="5" t="s">
        <v>851</v>
      </c>
      <c r="P137" s="5" t="s">
        <v>852</v>
      </c>
      <c r="Q137" s="11" t="s">
        <v>82</v>
      </c>
      <c r="R137" s="11" t="s">
        <v>82</v>
      </c>
      <c r="S137" s="11" t="s">
        <v>82</v>
      </c>
      <c r="T137" s="11" t="s">
        <v>225</v>
      </c>
      <c r="U137" s="5" t="s">
        <v>226</v>
      </c>
      <c r="V137" s="11" t="s">
        <v>853</v>
      </c>
      <c r="W137" s="11" t="s">
        <v>455</v>
      </c>
      <c r="X137" s="11" t="s">
        <v>456</v>
      </c>
      <c r="Y137" s="11" t="s">
        <v>228</v>
      </c>
      <c r="Z137" s="11" t="s">
        <v>854</v>
      </c>
    </row>
    <row r="138" spans="1:26">
      <c r="A138" s="11" t="s">
        <v>458</v>
      </c>
      <c r="B138" s="11" t="s">
        <v>219</v>
      </c>
      <c r="C138" s="12">
        <v>5388</v>
      </c>
      <c r="D138" s="12"/>
      <c r="E138" s="11" t="s">
        <v>71</v>
      </c>
      <c r="F138" s="13" t="s">
        <v>459</v>
      </c>
      <c r="G138" s="14">
        <v>3</v>
      </c>
      <c r="H138" s="11" t="s">
        <v>73</v>
      </c>
      <c r="I138" s="11" t="s">
        <v>74</v>
      </c>
      <c r="J138" s="11" t="s">
        <v>75</v>
      </c>
      <c r="K138" s="11" t="s">
        <v>447</v>
      </c>
      <c r="L138" s="11" t="s">
        <v>448</v>
      </c>
      <c r="M138" s="5" t="s">
        <v>849</v>
      </c>
      <c r="N138" s="5" t="s">
        <v>855</v>
      </c>
      <c r="O138" s="5" t="s">
        <v>856</v>
      </c>
      <c r="P138" s="5" t="s">
        <v>852</v>
      </c>
      <c r="Q138" s="11" t="s">
        <v>82</v>
      </c>
      <c r="R138" s="11" t="s">
        <v>82</v>
      </c>
      <c r="S138" s="11" t="s">
        <v>82</v>
      </c>
      <c r="T138" s="11" t="s">
        <v>225</v>
      </c>
      <c r="U138" s="5" t="s">
        <v>226</v>
      </c>
      <c r="V138" s="11" t="s">
        <v>857</v>
      </c>
      <c r="W138" s="11" t="s">
        <v>464</v>
      </c>
      <c r="X138" s="11" t="s">
        <v>465</v>
      </c>
      <c r="Y138" s="11" t="s">
        <v>228</v>
      </c>
      <c r="Z138" s="11" t="s">
        <v>858</v>
      </c>
    </row>
    <row r="139" spans="1:26">
      <c r="A139" s="11" t="s">
        <v>467</v>
      </c>
      <c r="B139" s="11" t="s">
        <v>219</v>
      </c>
      <c r="C139" s="12">
        <v>5415</v>
      </c>
      <c r="D139" s="12"/>
      <c r="E139" s="11" t="s">
        <v>71</v>
      </c>
      <c r="F139" s="13" t="s">
        <v>468</v>
      </c>
      <c r="G139" s="14">
        <v>3</v>
      </c>
      <c r="H139" s="11" t="s">
        <v>73</v>
      </c>
      <c r="I139" s="11" t="s">
        <v>74</v>
      </c>
      <c r="J139" s="11" t="s">
        <v>75</v>
      </c>
      <c r="K139" s="11" t="s">
        <v>447</v>
      </c>
      <c r="L139" s="11" t="s">
        <v>448</v>
      </c>
      <c r="M139" s="5" t="s">
        <v>849</v>
      </c>
      <c r="N139" s="5" t="s">
        <v>859</v>
      </c>
      <c r="O139" s="5" t="s">
        <v>856</v>
      </c>
      <c r="P139" s="5" t="s">
        <v>852</v>
      </c>
      <c r="Q139" s="11" t="s">
        <v>82</v>
      </c>
      <c r="R139" s="11" t="s">
        <v>82</v>
      </c>
      <c r="S139" s="11" t="s">
        <v>82</v>
      </c>
      <c r="T139" s="11" t="s">
        <v>225</v>
      </c>
      <c r="U139" s="5" t="s">
        <v>226</v>
      </c>
      <c r="V139" s="11" t="s">
        <v>860</v>
      </c>
      <c r="W139" s="11" t="s">
        <v>473</v>
      </c>
      <c r="X139" s="11" t="s">
        <v>474</v>
      </c>
      <c r="Y139" s="11" t="s">
        <v>228</v>
      </c>
      <c r="Z139" s="11" t="s">
        <v>861</v>
      </c>
    </row>
    <row r="140" spans="1:26">
      <c r="A140" s="11" t="s">
        <v>476</v>
      </c>
      <c r="B140" s="11" t="s">
        <v>219</v>
      </c>
      <c r="C140" s="12">
        <v>5622</v>
      </c>
      <c r="D140" s="12">
        <v>5261</v>
      </c>
      <c r="E140" s="11" t="s">
        <v>71</v>
      </c>
      <c r="F140" s="13" t="s">
        <v>72</v>
      </c>
      <c r="G140" s="14">
        <v>52</v>
      </c>
      <c r="H140" s="11" t="s">
        <v>73</v>
      </c>
      <c r="I140" s="11" t="s">
        <v>74</v>
      </c>
      <c r="J140" s="11" t="s">
        <v>75</v>
      </c>
      <c r="K140" s="11" t="s">
        <v>76</v>
      </c>
      <c r="L140" s="11" t="s">
        <v>220</v>
      </c>
      <c r="M140" s="5" t="s">
        <v>221</v>
      </c>
      <c r="N140" s="5" t="s">
        <v>222</v>
      </c>
      <c r="O140" s="5" t="s">
        <v>111</v>
      </c>
      <c r="P140" s="5" t="s">
        <v>224</v>
      </c>
      <c r="Q140" s="11" t="s">
        <v>82</v>
      </c>
      <c r="R140" s="11" t="s">
        <v>82</v>
      </c>
      <c r="S140" s="11" t="s">
        <v>82</v>
      </c>
      <c r="T140" s="11" t="s">
        <v>225</v>
      </c>
      <c r="U140" s="5" t="s">
        <v>226</v>
      </c>
      <c r="V140" s="11" t="s">
        <v>227</v>
      </c>
      <c r="W140" s="11" t="s">
        <v>86</v>
      </c>
      <c r="X140" s="11" t="s">
        <v>87</v>
      </c>
      <c r="Y140" s="11" t="s">
        <v>228</v>
      </c>
      <c r="Z140" s="11" t="s">
        <v>862</v>
      </c>
    </row>
    <row r="141" spans="1:26">
      <c r="A141" s="11" t="s">
        <v>486</v>
      </c>
      <c r="B141" s="11" t="s">
        <v>219</v>
      </c>
      <c r="C141" s="12">
        <v>5835</v>
      </c>
      <c r="D141" s="12">
        <v>5227</v>
      </c>
      <c r="E141" s="11" t="s">
        <v>71</v>
      </c>
      <c r="F141" s="13" t="s">
        <v>487</v>
      </c>
      <c r="G141" s="14">
        <v>3</v>
      </c>
      <c r="H141" s="11" t="s">
        <v>73</v>
      </c>
      <c r="I141" s="11" t="s">
        <v>74</v>
      </c>
      <c r="J141" s="11" t="s">
        <v>75</v>
      </c>
      <c r="K141" s="11" t="s">
        <v>447</v>
      </c>
      <c r="L141" s="11" t="s">
        <v>863</v>
      </c>
      <c r="M141" s="5" t="s">
        <v>849</v>
      </c>
      <c r="N141" s="5" t="s">
        <v>864</v>
      </c>
      <c r="O141" s="5" t="s">
        <v>865</v>
      </c>
      <c r="P141" s="5" t="s">
        <v>852</v>
      </c>
      <c r="Q141" s="11" t="s">
        <v>82</v>
      </c>
      <c r="R141" s="11" t="s">
        <v>82</v>
      </c>
      <c r="S141" s="11" t="s">
        <v>82</v>
      </c>
      <c r="T141" s="11" t="s">
        <v>225</v>
      </c>
      <c r="U141" s="5" t="s">
        <v>226</v>
      </c>
      <c r="V141" s="11" t="s">
        <v>866</v>
      </c>
      <c r="W141" s="11" t="s">
        <v>493</v>
      </c>
      <c r="X141" s="11" t="s">
        <v>494</v>
      </c>
      <c r="Y141" s="11" t="s">
        <v>228</v>
      </c>
      <c r="Z141" s="11" t="s">
        <v>867</v>
      </c>
    </row>
    <row r="142" spans="1:26">
      <c r="A142" s="11" t="s">
        <v>496</v>
      </c>
      <c r="B142" s="11" t="s">
        <v>219</v>
      </c>
      <c r="C142" s="12">
        <v>6199</v>
      </c>
      <c r="D142" s="12">
        <v>5388</v>
      </c>
      <c r="E142" s="11" t="s">
        <v>71</v>
      </c>
      <c r="F142" s="13" t="s">
        <v>497</v>
      </c>
      <c r="G142" s="14">
        <v>3</v>
      </c>
      <c r="H142" s="11" t="s">
        <v>73</v>
      </c>
      <c r="I142" s="11" t="s">
        <v>74</v>
      </c>
      <c r="J142" s="11" t="s">
        <v>75</v>
      </c>
      <c r="K142" s="11" t="s">
        <v>447</v>
      </c>
      <c r="L142" s="11" t="s">
        <v>863</v>
      </c>
      <c r="M142" s="5" t="s">
        <v>849</v>
      </c>
      <c r="N142" s="5" t="s">
        <v>868</v>
      </c>
      <c r="O142" s="5" t="s">
        <v>865</v>
      </c>
      <c r="P142" s="5" t="s">
        <v>852</v>
      </c>
      <c r="Q142" s="11" t="s">
        <v>82</v>
      </c>
      <c r="R142" s="11" t="s">
        <v>82</v>
      </c>
      <c r="S142" s="11" t="s">
        <v>82</v>
      </c>
      <c r="T142" s="11" t="s">
        <v>225</v>
      </c>
      <c r="U142" s="5" t="s">
        <v>226</v>
      </c>
      <c r="V142" s="11" t="s">
        <v>869</v>
      </c>
      <c r="W142" s="11" t="s">
        <v>502</v>
      </c>
      <c r="X142" s="11" t="s">
        <v>503</v>
      </c>
      <c r="Y142" s="11" t="s">
        <v>228</v>
      </c>
      <c r="Z142" s="11" t="s">
        <v>870</v>
      </c>
    </row>
    <row r="143" spans="1:26">
      <c r="A143" s="11" t="s">
        <v>505</v>
      </c>
      <c r="B143" s="11" t="s">
        <v>219</v>
      </c>
      <c r="C143" s="12">
        <v>5807</v>
      </c>
      <c r="D143" s="12">
        <v>5415</v>
      </c>
      <c r="E143" s="11" t="s">
        <v>71</v>
      </c>
      <c r="F143" s="13" t="s">
        <v>506</v>
      </c>
      <c r="G143" s="14">
        <v>3</v>
      </c>
      <c r="H143" s="11" t="s">
        <v>73</v>
      </c>
      <c r="I143" s="11" t="s">
        <v>74</v>
      </c>
      <c r="J143" s="11" t="s">
        <v>75</v>
      </c>
      <c r="K143" s="11" t="s">
        <v>447</v>
      </c>
      <c r="L143" s="11" t="s">
        <v>863</v>
      </c>
      <c r="M143" s="5" t="s">
        <v>849</v>
      </c>
      <c r="N143" s="5" t="s">
        <v>871</v>
      </c>
      <c r="O143" s="5" t="s">
        <v>865</v>
      </c>
      <c r="P143" s="5" t="s">
        <v>852</v>
      </c>
      <c r="Q143" s="11" t="s">
        <v>82</v>
      </c>
      <c r="R143" s="11" t="s">
        <v>82</v>
      </c>
      <c r="S143" s="11" t="s">
        <v>82</v>
      </c>
      <c r="T143" s="11" t="s">
        <v>225</v>
      </c>
      <c r="U143" s="5" t="s">
        <v>226</v>
      </c>
      <c r="V143" s="11" t="s">
        <v>872</v>
      </c>
      <c r="W143" s="11" t="s">
        <v>511</v>
      </c>
      <c r="X143" s="11" t="s">
        <v>512</v>
      </c>
      <c r="Y143" s="11" t="s">
        <v>228</v>
      </c>
      <c r="Z143" s="11" t="s">
        <v>873</v>
      </c>
    </row>
    <row r="144" spans="1:26">
      <c r="A144" s="11" t="s">
        <v>514</v>
      </c>
      <c r="B144" s="11" t="s">
        <v>219</v>
      </c>
      <c r="C144" s="12">
        <v>7367</v>
      </c>
      <c r="D144" s="12">
        <v>5622</v>
      </c>
      <c r="E144" s="11" t="s">
        <v>71</v>
      </c>
      <c r="F144" s="13" t="s">
        <v>91</v>
      </c>
      <c r="G144" s="14">
        <v>58</v>
      </c>
      <c r="H144" s="11" t="s">
        <v>73</v>
      </c>
      <c r="I144" s="11" t="s">
        <v>74</v>
      </c>
      <c r="J144" s="11" t="s">
        <v>75</v>
      </c>
      <c r="K144" s="11" t="s">
        <v>76</v>
      </c>
      <c r="L144" s="11" t="s">
        <v>220</v>
      </c>
      <c r="M144" s="5" t="s">
        <v>221</v>
      </c>
      <c r="N144" s="5" t="s">
        <v>230</v>
      </c>
      <c r="O144" s="5" t="s">
        <v>111</v>
      </c>
      <c r="P144" s="5" t="s">
        <v>232</v>
      </c>
      <c r="Q144" s="11" t="s">
        <v>82</v>
      </c>
      <c r="R144" s="11" t="s">
        <v>82</v>
      </c>
      <c r="S144" s="11" t="s">
        <v>82</v>
      </c>
      <c r="T144" s="11" t="s">
        <v>225</v>
      </c>
      <c r="U144" s="5" t="s">
        <v>226</v>
      </c>
      <c r="V144" s="11" t="s">
        <v>233</v>
      </c>
      <c r="W144" s="11" t="s">
        <v>96</v>
      </c>
      <c r="X144" s="11" t="s">
        <v>97</v>
      </c>
      <c r="Y144" s="11" t="s">
        <v>228</v>
      </c>
      <c r="Z144" s="11" t="s">
        <v>874</v>
      </c>
    </row>
    <row r="145" spans="1:26">
      <c r="A145" s="11" t="s">
        <v>523</v>
      </c>
      <c r="B145" s="11" t="s">
        <v>219</v>
      </c>
      <c r="C145" s="12">
        <v>6705</v>
      </c>
      <c r="D145" s="12">
        <v>5835</v>
      </c>
      <c r="E145" s="11" t="s">
        <v>71</v>
      </c>
      <c r="F145" s="13" t="s">
        <v>524</v>
      </c>
      <c r="G145" s="14">
        <v>3</v>
      </c>
      <c r="H145" s="11" t="s">
        <v>73</v>
      </c>
      <c r="I145" s="11" t="s">
        <v>74</v>
      </c>
      <c r="J145" s="11" t="s">
        <v>75</v>
      </c>
      <c r="K145" s="11" t="s">
        <v>447</v>
      </c>
      <c r="L145" s="11" t="s">
        <v>863</v>
      </c>
      <c r="M145" s="5" t="s">
        <v>849</v>
      </c>
      <c r="N145" s="5" t="s">
        <v>875</v>
      </c>
      <c r="O145" s="5" t="s">
        <v>876</v>
      </c>
      <c r="P145" s="5" t="s">
        <v>852</v>
      </c>
      <c r="Q145" s="11" t="s">
        <v>82</v>
      </c>
      <c r="R145" s="11" t="s">
        <v>82</v>
      </c>
      <c r="S145" s="11" t="s">
        <v>82</v>
      </c>
      <c r="T145" s="11" t="s">
        <v>225</v>
      </c>
      <c r="U145" s="5" t="s">
        <v>226</v>
      </c>
      <c r="V145" s="11" t="s">
        <v>877</v>
      </c>
      <c r="W145" s="11" t="s">
        <v>529</v>
      </c>
      <c r="X145" s="11" t="s">
        <v>530</v>
      </c>
      <c r="Y145" s="11" t="s">
        <v>228</v>
      </c>
      <c r="Z145" s="11" t="s">
        <v>878</v>
      </c>
    </row>
    <row r="146" spans="1:26">
      <c r="A146" s="11" t="s">
        <v>532</v>
      </c>
      <c r="B146" s="11" t="s">
        <v>219</v>
      </c>
      <c r="C146" s="12">
        <v>6090</v>
      </c>
      <c r="D146" s="12">
        <v>6199</v>
      </c>
      <c r="E146" s="11" t="s">
        <v>71</v>
      </c>
      <c r="F146" s="13" t="s">
        <v>533</v>
      </c>
      <c r="G146" s="14">
        <v>3</v>
      </c>
      <c r="H146" s="11" t="s">
        <v>73</v>
      </c>
      <c r="I146" s="11" t="s">
        <v>74</v>
      </c>
      <c r="J146" s="11" t="s">
        <v>75</v>
      </c>
      <c r="K146" s="11" t="s">
        <v>447</v>
      </c>
      <c r="L146" s="11" t="s">
        <v>863</v>
      </c>
      <c r="M146" s="5" t="s">
        <v>849</v>
      </c>
      <c r="N146" s="5" t="s">
        <v>879</v>
      </c>
      <c r="O146" s="5" t="s">
        <v>865</v>
      </c>
      <c r="P146" s="5" t="s">
        <v>852</v>
      </c>
      <c r="Q146" s="11" t="s">
        <v>82</v>
      </c>
      <c r="R146" s="11" t="s">
        <v>82</v>
      </c>
      <c r="S146" s="11" t="s">
        <v>82</v>
      </c>
      <c r="T146" s="11" t="s">
        <v>225</v>
      </c>
      <c r="U146" s="5" t="s">
        <v>226</v>
      </c>
      <c r="V146" s="11" t="s">
        <v>880</v>
      </c>
      <c r="W146" s="11" t="s">
        <v>538</v>
      </c>
      <c r="X146" s="11" t="s">
        <v>539</v>
      </c>
      <c r="Y146" s="11" t="s">
        <v>228</v>
      </c>
      <c r="Z146" s="11" t="s">
        <v>881</v>
      </c>
    </row>
    <row r="147" spans="1:26">
      <c r="A147" s="11" t="s">
        <v>541</v>
      </c>
      <c r="B147" s="11" t="s">
        <v>219</v>
      </c>
      <c r="C147" s="12">
        <v>6693</v>
      </c>
      <c r="D147" s="12">
        <v>5807</v>
      </c>
      <c r="E147" s="11" t="s">
        <v>71</v>
      </c>
      <c r="F147" s="13" t="s">
        <v>542</v>
      </c>
      <c r="G147" s="14">
        <v>3</v>
      </c>
      <c r="H147" s="11" t="s">
        <v>73</v>
      </c>
      <c r="I147" s="11" t="s">
        <v>74</v>
      </c>
      <c r="J147" s="11" t="s">
        <v>75</v>
      </c>
      <c r="K147" s="11" t="s">
        <v>447</v>
      </c>
      <c r="L147" s="11" t="s">
        <v>863</v>
      </c>
      <c r="M147" s="5" t="s">
        <v>849</v>
      </c>
      <c r="N147" s="5" t="s">
        <v>882</v>
      </c>
      <c r="O147" s="5" t="s">
        <v>865</v>
      </c>
      <c r="P147" s="5" t="s">
        <v>852</v>
      </c>
      <c r="Q147" s="11" t="s">
        <v>82</v>
      </c>
      <c r="R147" s="11" t="s">
        <v>82</v>
      </c>
      <c r="S147" s="11" t="s">
        <v>82</v>
      </c>
      <c r="T147" s="11" t="s">
        <v>225</v>
      </c>
      <c r="U147" s="5" t="s">
        <v>226</v>
      </c>
      <c r="V147" s="11" t="s">
        <v>883</v>
      </c>
      <c r="W147" s="11" t="s">
        <v>547</v>
      </c>
      <c r="X147" s="11" t="s">
        <v>548</v>
      </c>
      <c r="Y147" s="11" t="s">
        <v>228</v>
      </c>
      <c r="Z147" s="11" t="s">
        <v>884</v>
      </c>
    </row>
    <row r="148" spans="1:26">
      <c r="A148" s="11" t="s">
        <v>550</v>
      </c>
      <c r="B148" s="11" t="s">
        <v>219</v>
      </c>
      <c r="C148" s="12">
        <v>6854</v>
      </c>
      <c r="D148" s="12">
        <v>7367</v>
      </c>
      <c r="E148" s="11" t="s">
        <v>71</v>
      </c>
      <c r="F148" s="13" t="s">
        <v>100</v>
      </c>
      <c r="G148" s="14">
        <v>59</v>
      </c>
      <c r="H148" s="11" t="s">
        <v>73</v>
      </c>
      <c r="I148" s="11" t="s">
        <v>74</v>
      </c>
      <c r="J148" s="11" t="s">
        <v>75</v>
      </c>
      <c r="K148" s="11" t="s">
        <v>76</v>
      </c>
      <c r="L148" s="11" t="s">
        <v>220</v>
      </c>
      <c r="M148" s="5" t="s">
        <v>221</v>
      </c>
      <c r="N148" s="5" t="s">
        <v>235</v>
      </c>
      <c r="O148" s="5" t="s">
        <v>111</v>
      </c>
      <c r="P148" s="5" t="s">
        <v>236</v>
      </c>
      <c r="Q148" s="11" t="s">
        <v>82</v>
      </c>
      <c r="R148" s="11" t="s">
        <v>82</v>
      </c>
      <c r="S148" s="11" t="s">
        <v>82</v>
      </c>
      <c r="T148" s="11" t="s">
        <v>225</v>
      </c>
      <c r="U148" s="5" t="s">
        <v>226</v>
      </c>
      <c r="V148" s="11" t="s">
        <v>237</v>
      </c>
      <c r="W148" s="11" t="s">
        <v>105</v>
      </c>
      <c r="X148" s="11" t="s">
        <v>106</v>
      </c>
      <c r="Y148" s="11" t="s">
        <v>228</v>
      </c>
      <c r="Z148" s="11" t="s">
        <v>885</v>
      </c>
    </row>
    <row r="149" spans="1:26">
      <c r="A149" s="11" t="s">
        <v>445</v>
      </c>
      <c r="B149" s="11" t="s">
        <v>239</v>
      </c>
      <c r="C149" s="12">
        <v>1281</v>
      </c>
      <c r="D149" s="12">
        <v>1088</v>
      </c>
      <c r="E149" s="11" t="s">
        <v>71</v>
      </c>
      <c r="F149" s="13" t="s">
        <v>446</v>
      </c>
      <c r="G149" s="14">
        <v>25</v>
      </c>
      <c r="H149" s="11" t="s">
        <v>73</v>
      </c>
      <c r="I149" s="11" t="s">
        <v>74</v>
      </c>
      <c r="J149" s="11" t="s">
        <v>75</v>
      </c>
      <c r="K149" s="11" t="s">
        <v>240</v>
      </c>
      <c r="L149" s="11" t="s">
        <v>886</v>
      </c>
      <c r="M149" s="5" t="s">
        <v>887</v>
      </c>
      <c r="N149" s="5" t="s">
        <v>888</v>
      </c>
      <c r="O149" s="5" t="s">
        <v>244</v>
      </c>
      <c r="P149" s="5" t="s">
        <v>452</v>
      </c>
      <c r="Q149" s="11" t="s">
        <v>82</v>
      </c>
      <c r="R149" s="11" t="s">
        <v>82</v>
      </c>
      <c r="S149" s="11" t="s">
        <v>82</v>
      </c>
      <c r="T149" s="11" t="s">
        <v>245</v>
      </c>
      <c r="U149" s="5" t="s">
        <v>246</v>
      </c>
      <c r="V149" s="11" t="s">
        <v>454</v>
      </c>
      <c r="W149" s="11" t="s">
        <v>455</v>
      </c>
      <c r="X149" s="11" t="s">
        <v>456</v>
      </c>
      <c r="Y149" s="11" t="s">
        <v>247</v>
      </c>
      <c r="Z149" s="11" t="s">
        <v>889</v>
      </c>
    </row>
    <row r="150" spans="1:26">
      <c r="A150" s="11" t="s">
        <v>458</v>
      </c>
      <c r="B150" s="11" t="s">
        <v>239</v>
      </c>
      <c r="C150" s="12">
        <v>1011</v>
      </c>
      <c r="D150" s="12">
        <v>892</v>
      </c>
      <c r="E150" s="11" t="s">
        <v>71</v>
      </c>
      <c r="F150" s="13" t="s">
        <v>459</v>
      </c>
      <c r="G150" s="14">
        <v>30</v>
      </c>
      <c r="H150" s="11" t="s">
        <v>73</v>
      </c>
      <c r="I150" s="11" t="s">
        <v>74</v>
      </c>
      <c r="J150" s="11" t="s">
        <v>75</v>
      </c>
      <c r="K150" s="11" t="s">
        <v>240</v>
      </c>
      <c r="L150" s="11" t="s">
        <v>886</v>
      </c>
      <c r="M150" s="5" t="s">
        <v>887</v>
      </c>
      <c r="N150" s="5" t="s">
        <v>890</v>
      </c>
      <c r="O150" s="5" t="s">
        <v>891</v>
      </c>
      <c r="P150" s="5" t="s">
        <v>462</v>
      </c>
      <c r="Q150" s="11" t="s">
        <v>82</v>
      </c>
      <c r="R150" s="11" t="s">
        <v>82</v>
      </c>
      <c r="S150" s="11" t="s">
        <v>82</v>
      </c>
      <c r="T150" s="11" t="s">
        <v>245</v>
      </c>
      <c r="U150" s="5" t="s">
        <v>246</v>
      </c>
      <c r="V150" s="11" t="s">
        <v>463</v>
      </c>
      <c r="W150" s="11" t="s">
        <v>464</v>
      </c>
      <c r="X150" s="11" t="s">
        <v>465</v>
      </c>
      <c r="Y150" s="11" t="s">
        <v>247</v>
      </c>
      <c r="Z150" s="11" t="s">
        <v>892</v>
      </c>
    </row>
    <row r="151" spans="1:26">
      <c r="A151" s="11" t="s">
        <v>467</v>
      </c>
      <c r="B151" s="11" t="s">
        <v>239</v>
      </c>
      <c r="C151" s="12">
        <v>1303</v>
      </c>
      <c r="D151" s="12">
        <v>1172</v>
      </c>
      <c r="E151" s="11" t="s">
        <v>71</v>
      </c>
      <c r="F151" s="13" t="s">
        <v>468</v>
      </c>
      <c r="G151" s="14">
        <v>30</v>
      </c>
      <c r="H151" s="11" t="s">
        <v>73</v>
      </c>
      <c r="I151" s="11" t="s">
        <v>74</v>
      </c>
      <c r="J151" s="11" t="s">
        <v>75</v>
      </c>
      <c r="K151" s="11" t="s">
        <v>240</v>
      </c>
      <c r="L151" s="11" t="s">
        <v>886</v>
      </c>
      <c r="M151" s="5" t="s">
        <v>887</v>
      </c>
      <c r="N151" s="5" t="s">
        <v>893</v>
      </c>
      <c r="O151" s="5" t="s">
        <v>894</v>
      </c>
      <c r="P151" s="5" t="s">
        <v>471</v>
      </c>
      <c r="Q151" s="11" t="s">
        <v>82</v>
      </c>
      <c r="R151" s="11" t="s">
        <v>82</v>
      </c>
      <c r="S151" s="11" t="s">
        <v>82</v>
      </c>
      <c r="T151" s="11" t="s">
        <v>245</v>
      </c>
      <c r="U151" s="5" t="s">
        <v>246</v>
      </c>
      <c r="V151" s="11" t="s">
        <v>472</v>
      </c>
      <c r="W151" s="11" t="s">
        <v>473</v>
      </c>
      <c r="X151" s="11" t="s">
        <v>474</v>
      </c>
      <c r="Y151" s="11" t="s">
        <v>247</v>
      </c>
      <c r="Z151" s="11" t="s">
        <v>895</v>
      </c>
    </row>
    <row r="152" spans="1:26">
      <c r="A152" s="11" t="s">
        <v>476</v>
      </c>
      <c r="B152" s="11" t="s">
        <v>239</v>
      </c>
      <c r="C152" s="17">
        <v>1255</v>
      </c>
      <c r="D152" s="17">
        <v>1227</v>
      </c>
      <c r="E152" s="11" t="s">
        <v>71</v>
      </c>
      <c r="F152" s="13" t="s">
        <v>477</v>
      </c>
      <c r="G152" s="18" t="s">
        <v>896</v>
      </c>
      <c r="H152" s="11" t="s">
        <v>73</v>
      </c>
      <c r="I152" s="11" t="s">
        <v>74</v>
      </c>
      <c r="J152" s="11" t="s">
        <v>75</v>
      </c>
      <c r="K152" s="11" t="s">
        <v>479</v>
      </c>
      <c r="L152" s="11" t="s">
        <v>241</v>
      </c>
      <c r="M152" s="5" t="s">
        <v>897</v>
      </c>
      <c r="N152" s="5" t="s">
        <v>898</v>
      </c>
      <c r="O152" s="5" t="s">
        <v>899</v>
      </c>
      <c r="P152" s="5" t="s">
        <v>483</v>
      </c>
      <c r="Q152" s="11" t="s">
        <v>82</v>
      </c>
      <c r="R152" s="11" t="s">
        <v>82</v>
      </c>
      <c r="S152" s="11" t="s">
        <v>82</v>
      </c>
      <c r="T152" s="11" t="s">
        <v>245</v>
      </c>
      <c r="U152" s="5" t="s">
        <v>246</v>
      </c>
      <c r="V152" s="11" t="s">
        <v>484</v>
      </c>
      <c r="W152" s="11" t="s">
        <v>86</v>
      </c>
      <c r="X152" s="11" t="s">
        <v>87</v>
      </c>
      <c r="Y152" s="11" t="s">
        <v>247</v>
      </c>
      <c r="Z152" s="11" t="s">
        <v>900</v>
      </c>
    </row>
    <row r="153" spans="1:26">
      <c r="A153" s="11" t="s">
        <v>486</v>
      </c>
      <c r="B153" s="11" t="s">
        <v>239</v>
      </c>
      <c r="C153" s="12">
        <v>1576</v>
      </c>
      <c r="D153" s="12">
        <v>1281</v>
      </c>
      <c r="E153" s="11" t="s">
        <v>71</v>
      </c>
      <c r="F153" s="13" t="s">
        <v>487</v>
      </c>
      <c r="G153" s="14">
        <v>27</v>
      </c>
      <c r="H153" s="11" t="s">
        <v>73</v>
      </c>
      <c r="I153" s="11" t="s">
        <v>74</v>
      </c>
      <c r="J153" s="11" t="s">
        <v>75</v>
      </c>
      <c r="K153" s="11" t="s">
        <v>240</v>
      </c>
      <c r="L153" s="11" t="s">
        <v>886</v>
      </c>
      <c r="M153" s="5" t="s">
        <v>887</v>
      </c>
      <c r="N153" s="5" t="s">
        <v>901</v>
      </c>
      <c r="O153" s="5" t="s">
        <v>244</v>
      </c>
      <c r="P153" s="5" t="s">
        <v>491</v>
      </c>
      <c r="Q153" s="11" t="s">
        <v>82</v>
      </c>
      <c r="R153" s="11" t="s">
        <v>82</v>
      </c>
      <c r="S153" s="11" t="s">
        <v>82</v>
      </c>
      <c r="T153" s="11" t="s">
        <v>245</v>
      </c>
      <c r="U153" s="5" t="s">
        <v>246</v>
      </c>
      <c r="V153" s="11" t="s">
        <v>492</v>
      </c>
      <c r="W153" s="11" t="s">
        <v>493</v>
      </c>
      <c r="X153" s="11" t="s">
        <v>494</v>
      </c>
      <c r="Y153" s="11" t="s">
        <v>247</v>
      </c>
      <c r="Z153" s="11" t="s">
        <v>902</v>
      </c>
    </row>
    <row r="154" spans="1:26">
      <c r="A154" s="11" t="s">
        <v>496</v>
      </c>
      <c r="B154" s="11" t="s">
        <v>239</v>
      </c>
      <c r="C154" s="12">
        <v>1261</v>
      </c>
      <c r="D154" s="12">
        <v>1011</v>
      </c>
      <c r="E154" s="11" t="s">
        <v>71</v>
      </c>
      <c r="F154" s="13" t="s">
        <v>497</v>
      </c>
      <c r="G154" s="14">
        <v>32</v>
      </c>
      <c r="H154" s="11" t="s">
        <v>73</v>
      </c>
      <c r="I154" s="11" t="s">
        <v>74</v>
      </c>
      <c r="J154" s="11" t="s">
        <v>75</v>
      </c>
      <c r="K154" s="11" t="s">
        <v>240</v>
      </c>
      <c r="L154" s="11" t="s">
        <v>886</v>
      </c>
      <c r="M154" s="5" t="s">
        <v>887</v>
      </c>
      <c r="N154" s="5" t="s">
        <v>903</v>
      </c>
      <c r="O154" s="5" t="s">
        <v>904</v>
      </c>
      <c r="P154" s="5" t="s">
        <v>500</v>
      </c>
      <c r="Q154" s="11" t="s">
        <v>82</v>
      </c>
      <c r="R154" s="11" t="s">
        <v>82</v>
      </c>
      <c r="S154" s="11" t="s">
        <v>82</v>
      </c>
      <c r="T154" s="11" t="s">
        <v>245</v>
      </c>
      <c r="U154" s="5" t="s">
        <v>246</v>
      </c>
      <c r="V154" s="11" t="s">
        <v>501</v>
      </c>
      <c r="W154" s="11" t="s">
        <v>502</v>
      </c>
      <c r="X154" s="11" t="s">
        <v>503</v>
      </c>
      <c r="Y154" s="11" t="s">
        <v>247</v>
      </c>
      <c r="Z154" s="11" t="s">
        <v>905</v>
      </c>
    </row>
    <row r="155" spans="1:26">
      <c r="A155" s="11" t="s">
        <v>505</v>
      </c>
      <c r="B155" s="11" t="s">
        <v>239</v>
      </c>
      <c r="C155" s="12">
        <v>893</v>
      </c>
      <c r="D155" s="12">
        <v>1303</v>
      </c>
      <c r="E155" s="11" t="s">
        <v>71</v>
      </c>
      <c r="F155" s="13" t="s">
        <v>506</v>
      </c>
      <c r="G155" s="14">
        <v>36</v>
      </c>
      <c r="H155" s="11" t="s">
        <v>73</v>
      </c>
      <c r="I155" s="11" t="s">
        <v>74</v>
      </c>
      <c r="J155" s="11" t="s">
        <v>75</v>
      </c>
      <c r="K155" s="11" t="s">
        <v>240</v>
      </c>
      <c r="L155" s="11" t="s">
        <v>886</v>
      </c>
      <c r="M155" s="5" t="s">
        <v>887</v>
      </c>
      <c r="N155" s="5" t="s">
        <v>906</v>
      </c>
      <c r="O155" s="5" t="s">
        <v>907</v>
      </c>
      <c r="P155" s="5" t="s">
        <v>509</v>
      </c>
      <c r="Q155" s="11" t="s">
        <v>82</v>
      </c>
      <c r="R155" s="11" t="s">
        <v>82</v>
      </c>
      <c r="S155" s="11" t="s">
        <v>82</v>
      </c>
      <c r="T155" s="11" t="s">
        <v>245</v>
      </c>
      <c r="U155" s="5" t="s">
        <v>246</v>
      </c>
      <c r="V155" s="11" t="s">
        <v>510</v>
      </c>
      <c r="W155" s="11" t="s">
        <v>511</v>
      </c>
      <c r="X155" s="11" t="s">
        <v>512</v>
      </c>
      <c r="Y155" s="11" t="s">
        <v>247</v>
      </c>
      <c r="Z155" s="11" t="s">
        <v>908</v>
      </c>
    </row>
    <row r="156" spans="1:26">
      <c r="A156" s="11" t="s">
        <v>514</v>
      </c>
      <c r="B156" s="11" t="s">
        <v>239</v>
      </c>
      <c r="C156" s="17">
        <v>-754</v>
      </c>
      <c r="D156" s="17">
        <v>1255</v>
      </c>
      <c r="E156" s="11" t="s">
        <v>71</v>
      </c>
      <c r="F156" s="13" t="s">
        <v>515</v>
      </c>
      <c r="G156" s="18" t="s">
        <v>909</v>
      </c>
      <c r="H156" s="11" t="s">
        <v>73</v>
      </c>
      <c r="I156" s="11" t="s">
        <v>74</v>
      </c>
      <c r="J156" s="11" t="s">
        <v>75</v>
      </c>
      <c r="K156" s="11" t="s">
        <v>479</v>
      </c>
      <c r="L156" s="11" t="s">
        <v>241</v>
      </c>
      <c r="M156" s="5" t="s">
        <v>910</v>
      </c>
      <c r="N156" s="5" t="s">
        <v>911</v>
      </c>
      <c r="O156" s="5" t="s">
        <v>912</v>
      </c>
      <c r="P156" s="5" t="s">
        <v>520</v>
      </c>
      <c r="Q156" s="11" t="s">
        <v>82</v>
      </c>
      <c r="R156" s="11" t="s">
        <v>82</v>
      </c>
      <c r="S156" s="11" t="s">
        <v>82</v>
      </c>
      <c r="T156" s="11" t="s">
        <v>245</v>
      </c>
      <c r="U156" s="5" t="s">
        <v>246</v>
      </c>
      <c r="V156" s="11" t="s">
        <v>521</v>
      </c>
      <c r="W156" s="11" t="s">
        <v>96</v>
      </c>
      <c r="X156" s="11" t="s">
        <v>97</v>
      </c>
      <c r="Y156" s="11" t="s">
        <v>247</v>
      </c>
      <c r="Z156" s="11" t="s">
        <v>913</v>
      </c>
    </row>
    <row r="157" spans="1:26">
      <c r="A157" s="11" t="s">
        <v>523</v>
      </c>
      <c r="B157" s="11" t="s">
        <v>239</v>
      </c>
      <c r="C157" s="12">
        <v>1780</v>
      </c>
      <c r="D157" s="12">
        <v>1576</v>
      </c>
      <c r="E157" s="11" t="s">
        <v>71</v>
      </c>
      <c r="F157" s="13" t="s">
        <v>524</v>
      </c>
      <c r="G157" s="14">
        <v>28</v>
      </c>
      <c r="H157" s="11" t="s">
        <v>73</v>
      </c>
      <c r="I157" s="11" t="s">
        <v>74</v>
      </c>
      <c r="J157" s="11" t="s">
        <v>75</v>
      </c>
      <c r="K157" s="11" t="s">
        <v>240</v>
      </c>
      <c r="L157" s="11" t="s">
        <v>886</v>
      </c>
      <c r="M157" s="5" t="s">
        <v>887</v>
      </c>
      <c r="N157" s="5" t="s">
        <v>914</v>
      </c>
      <c r="O157" s="5" t="s">
        <v>244</v>
      </c>
      <c r="P157" s="5" t="s">
        <v>527</v>
      </c>
      <c r="Q157" s="11" t="s">
        <v>82</v>
      </c>
      <c r="R157" s="11" t="s">
        <v>82</v>
      </c>
      <c r="S157" s="11" t="s">
        <v>82</v>
      </c>
      <c r="T157" s="11" t="s">
        <v>245</v>
      </c>
      <c r="U157" s="5" t="s">
        <v>246</v>
      </c>
      <c r="V157" s="11" t="s">
        <v>528</v>
      </c>
      <c r="W157" s="11" t="s">
        <v>529</v>
      </c>
      <c r="X157" s="11" t="s">
        <v>530</v>
      </c>
      <c r="Y157" s="11" t="s">
        <v>247</v>
      </c>
      <c r="Z157" s="11" t="s">
        <v>915</v>
      </c>
    </row>
    <row r="158" spans="1:26">
      <c r="A158" s="11" t="s">
        <v>532</v>
      </c>
      <c r="B158" s="11" t="s">
        <v>239</v>
      </c>
      <c r="C158" s="12">
        <v>1526</v>
      </c>
      <c r="D158" s="12">
        <v>1261</v>
      </c>
      <c r="E158" s="11" t="s">
        <v>71</v>
      </c>
      <c r="F158" s="13" t="s">
        <v>533</v>
      </c>
      <c r="G158" s="14">
        <v>33</v>
      </c>
      <c r="H158" s="11" t="s">
        <v>73</v>
      </c>
      <c r="I158" s="11" t="s">
        <v>74</v>
      </c>
      <c r="J158" s="11" t="s">
        <v>75</v>
      </c>
      <c r="K158" s="11" t="s">
        <v>240</v>
      </c>
      <c r="L158" s="11" t="s">
        <v>886</v>
      </c>
      <c r="M158" s="5" t="s">
        <v>887</v>
      </c>
      <c r="N158" s="5" t="s">
        <v>916</v>
      </c>
      <c r="O158" s="5" t="s">
        <v>917</v>
      </c>
      <c r="P158" s="5" t="s">
        <v>536</v>
      </c>
      <c r="Q158" s="11" t="s">
        <v>82</v>
      </c>
      <c r="R158" s="11" t="s">
        <v>82</v>
      </c>
      <c r="S158" s="11" t="s">
        <v>82</v>
      </c>
      <c r="T158" s="11" t="s">
        <v>245</v>
      </c>
      <c r="U158" s="5" t="s">
        <v>246</v>
      </c>
      <c r="V158" s="11" t="s">
        <v>537</v>
      </c>
      <c r="W158" s="11" t="s">
        <v>538</v>
      </c>
      <c r="X158" s="11" t="s">
        <v>539</v>
      </c>
      <c r="Y158" s="11" t="s">
        <v>247</v>
      </c>
      <c r="Z158" s="11" t="s">
        <v>918</v>
      </c>
    </row>
    <row r="159" spans="1:26">
      <c r="A159" s="11" t="s">
        <v>541</v>
      </c>
      <c r="B159" s="11" t="s">
        <v>239</v>
      </c>
      <c r="C159" s="12">
        <v>1700</v>
      </c>
      <c r="D159" s="12">
        <v>893</v>
      </c>
      <c r="E159" s="11" t="s">
        <v>71</v>
      </c>
      <c r="F159" s="13" t="s">
        <v>542</v>
      </c>
      <c r="G159" s="14">
        <v>33</v>
      </c>
      <c r="H159" s="11" t="s">
        <v>73</v>
      </c>
      <c r="I159" s="11" t="s">
        <v>74</v>
      </c>
      <c r="J159" s="11" t="s">
        <v>75</v>
      </c>
      <c r="K159" s="11" t="s">
        <v>240</v>
      </c>
      <c r="L159" s="11" t="s">
        <v>886</v>
      </c>
      <c r="M159" s="5" t="s">
        <v>887</v>
      </c>
      <c r="N159" s="5" t="s">
        <v>919</v>
      </c>
      <c r="O159" s="5" t="s">
        <v>920</v>
      </c>
      <c r="P159" s="5" t="s">
        <v>545</v>
      </c>
      <c r="Q159" s="11" t="s">
        <v>82</v>
      </c>
      <c r="R159" s="11" t="s">
        <v>82</v>
      </c>
      <c r="S159" s="11" t="s">
        <v>82</v>
      </c>
      <c r="T159" s="11" t="s">
        <v>245</v>
      </c>
      <c r="U159" s="5" t="s">
        <v>246</v>
      </c>
      <c r="V159" s="11" t="s">
        <v>546</v>
      </c>
      <c r="W159" s="11" t="s">
        <v>547</v>
      </c>
      <c r="X159" s="11" t="s">
        <v>548</v>
      </c>
      <c r="Y159" s="11" t="s">
        <v>247</v>
      </c>
      <c r="Z159" s="11" t="s">
        <v>921</v>
      </c>
    </row>
    <row r="160" spans="1:26">
      <c r="A160" s="11" t="s">
        <v>550</v>
      </c>
      <c r="B160" s="11" t="s">
        <v>239</v>
      </c>
      <c r="C160" s="17">
        <v>1917</v>
      </c>
      <c r="D160" s="17">
        <v>-754</v>
      </c>
      <c r="E160" s="11" t="s">
        <v>71</v>
      </c>
      <c r="F160" s="13" t="s">
        <v>551</v>
      </c>
      <c r="G160" s="18" t="s">
        <v>922</v>
      </c>
      <c r="H160" s="11" t="s">
        <v>73</v>
      </c>
      <c r="I160" s="11" t="s">
        <v>74</v>
      </c>
      <c r="J160" s="11" t="s">
        <v>75</v>
      </c>
      <c r="K160" s="11" t="s">
        <v>479</v>
      </c>
      <c r="L160" s="11" t="s">
        <v>241</v>
      </c>
      <c r="M160" s="5" t="s">
        <v>923</v>
      </c>
      <c r="N160" s="5" t="s">
        <v>924</v>
      </c>
      <c r="O160" s="5" t="s">
        <v>925</v>
      </c>
      <c r="P160" s="5" t="s">
        <v>556</v>
      </c>
      <c r="Q160" s="11" t="s">
        <v>82</v>
      </c>
      <c r="R160" s="11" t="s">
        <v>82</v>
      </c>
      <c r="S160" s="11" t="s">
        <v>82</v>
      </c>
      <c r="T160" s="11" t="s">
        <v>245</v>
      </c>
      <c r="U160" s="5" t="s">
        <v>246</v>
      </c>
      <c r="V160" s="11" t="s">
        <v>557</v>
      </c>
      <c r="W160" s="11" t="s">
        <v>105</v>
      </c>
      <c r="X160" s="11" t="s">
        <v>106</v>
      </c>
      <c r="Y160" s="11" t="s">
        <v>247</v>
      </c>
      <c r="Z160" s="11" t="s">
        <v>926</v>
      </c>
    </row>
    <row r="161" spans="1:26">
      <c r="A161" s="11" t="s">
        <v>445</v>
      </c>
      <c r="B161" s="11" t="s">
        <v>253</v>
      </c>
      <c r="C161" s="15">
        <v>0.1</v>
      </c>
      <c r="D161" s="15"/>
      <c r="E161" s="11" t="s">
        <v>254</v>
      </c>
      <c r="F161" s="13" t="s">
        <v>446</v>
      </c>
      <c r="G161" s="14">
        <v>22</v>
      </c>
      <c r="H161" s="11" t="s">
        <v>73</v>
      </c>
      <c r="I161" s="11" t="s">
        <v>74</v>
      </c>
      <c r="J161" s="11" t="s">
        <v>75</v>
      </c>
      <c r="K161" s="11" t="s">
        <v>255</v>
      </c>
      <c r="L161" s="11" t="s">
        <v>886</v>
      </c>
      <c r="M161" s="5" t="s">
        <v>927</v>
      </c>
      <c r="N161" s="5" t="s">
        <v>928</v>
      </c>
      <c r="O161" s="5" t="s">
        <v>929</v>
      </c>
      <c r="P161" s="5" t="s">
        <v>852</v>
      </c>
      <c r="Q161" s="11" t="s">
        <v>82</v>
      </c>
      <c r="R161" s="11" t="s">
        <v>82</v>
      </c>
      <c r="S161" s="11" t="s">
        <v>82</v>
      </c>
      <c r="T161" s="11" t="s">
        <v>260</v>
      </c>
      <c r="U161" s="5" t="s">
        <v>246</v>
      </c>
      <c r="V161" s="11" t="s">
        <v>454</v>
      </c>
      <c r="W161" s="11" t="s">
        <v>455</v>
      </c>
      <c r="X161" s="11" t="s">
        <v>456</v>
      </c>
      <c r="Y161" s="11" t="s">
        <v>261</v>
      </c>
      <c r="Z161" s="11" t="s">
        <v>930</v>
      </c>
    </row>
    <row r="162" spans="1:26">
      <c r="A162" s="11" t="s">
        <v>458</v>
      </c>
      <c r="B162" s="11" t="s">
        <v>253</v>
      </c>
      <c r="C162" s="15">
        <v>0.1</v>
      </c>
      <c r="D162" s="15"/>
      <c r="E162" s="11" t="s">
        <v>254</v>
      </c>
      <c r="F162" s="13" t="s">
        <v>459</v>
      </c>
      <c r="G162" s="14">
        <v>27</v>
      </c>
      <c r="H162" s="11" t="s">
        <v>73</v>
      </c>
      <c r="I162" s="11" t="s">
        <v>74</v>
      </c>
      <c r="J162" s="11" t="s">
        <v>75</v>
      </c>
      <c r="K162" s="11" t="s">
        <v>255</v>
      </c>
      <c r="L162" s="11" t="s">
        <v>886</v>
      </c>
      <c r="M162" s="5" t="s">
        <v>927</v>
      </c>
      <c r="N162" s="5" t="s">
        <v>931</v>
      </c>
      <c r="O162" s="5" t="s">
        <v>932</v>
      </c>
      <c r="P162" s="5" t="s">
        <v>852</v>
      </c>
      <c r="Q162" s="11" t="s">
        <v>82</v>
      </c>
      <c r="R162" s="11" t="s">
        <v>82</v>
      </c>
      <c r="S162" s="11" t="s">
        <v>82</v>
      </c>
      <c r="T162" s="11" t="s">
        <v>260</v>
      </c>
      <c r="U162" s="5" t="s">
        <v>246</v>
      </c>
      <c r="V162" s="11" t="s">
        <v>463</v>
      </c>
      <c r="W162" s="11" t="s">
        <v>464</v>
      </c>
      <c r="X162" s="11" t="s">
        <v>465</v>
      </c>
      <c r="Y162" s="11" t="s">
        <v>261</v>
      </c>
      <c r="Z162" s="11" t="s">
        <v>933</v>
      </c>
    </row>
    <row r="163" spans="1:26">
      <c r="A163" s="11" t="s">
        <v>467</v>
      </c>
      <c r="B163" s="11" t="s">
        <v>253</v>
      </c>
      <c r="C163" s="15">
        <v>0.07000000000000001</v>
      </c>
      <c r="D163" s="15"/>
      <c r="E163" s="11" t="s">
        <v>254</v>
      </c>
      <c r="F163" s="13" t="s">
        <v>468</v>
      </c>
      <c r="G163" s="14">
        <v>27</v>
      </c>
      <c r="H163" s="11" t="s">
        <v>73</v>
      </c>
      <c r="I163" s="11" t="s">
        <v>74</v>
      </c>
      <c r="J163" s="11" t="s">
        <v>75</v>
      </c>
      <c r="K163" s="11" t="s">
        <v>255</v>
      </c>
      <c r="L163" s="11" t="s">
        <v>886</v>
      </c>
      <c r="M163" s="5" t="s">
        <v>927</v>
      </c>
      <c r="N163" s="5" t="s">
        <v>934</v>
      </c>
      <c r="O163" s="5" t="s">
        <v>935</v>
      </c>
      <c r="P163" s="5" t="s">
        <v>852</v>
      </c>
      <c r="Q163" s="11" t="s">
        <v>82</v>
      </c>
      <c r="R163" s="11" t="s">
        <v>82</v>
      </c>
      <c r="S163" s="11" t="s">
        <v>82</v>
      </c>
      <c r="T163" s="11" t="s">
        <v>260</v>
      </c>
      <c r="U163" s="5" t="s">
        <v>246</v>
      </c>
      <c r="V163" s="11" t="s">
        <v>472</v>
      </c>
      <c r="W163" s="11" t="s">
        <v>473</v>
      </c>
      <c r="X163" s="11" t="s">
        <v>474</v>
      </c>
      <c r="Y163" s="11" t="s">
        <v>261</v>
      </c>
      <c r="Z163" s="11" t="s">
        <v>936</v>
      </c>
    </row>
    <row r="164" spans="1:26">
      <c r="A164" s="11" t="s">
        <v>476</v>
      </c>
      <c r="B164" s="11" t="s">
        <v>253</v>
      </c>
      <c r="C164" s="15">
        <v>0.04</v>
      </c>
      <c r="D164" s="15"/>
      <c r="E164" s="11" t="s">
        <v>254</v>
      </c>
      <c r="F164" s="13" t="s">
        <v>937</v>
      </c>
      <c r="G164" s="11"/>
      <c r="H164" s="11" t="s">
        <v>73</v>
      </c>
      <c r="I164" s="11" t="s">
        <v>74</v>
      </c>
      <c r="J164" s="11" t="s">
        <v>75</v>
      </c>
      <c r="K164" s="11" t="s">
        <v>938</v>
      </c>
      <c r="L164" s="11" t="s">
        <v>939</v>
      </c>
      <c r="M164" s="5" t="s">
        <v>940</v>
      </c>
      <c r="N164" s="5" t="s">
        <v>941</v>
      </c>
      <c r="O164" s="5" t="s">
        <v>942</v>
      </c>
      <c r="P164" s="5" t="s">
        <v>852</v>
      </c>
      <c r="Q164" s="11" t="s">
        <v>82</v>
      </c>
      <c r="R164" s="11" t="s">
        <v>82</v>
      </c>
      <c r="S164" s="11" t="s">
        <v>82</v>
      </c>
      <c r="T164" s="11" t="s">
        <v>260</v>
      </c>
      <c r="U164" s="5" t="s">
        <v>943</v>
      </c>
      <c r="V164" s="11" t="s">
        <v>484</v>
      </c>
      <c r="W164" s="11" t="s">
        <v>944</v>
      </c>
      <c r="X164" s="11" t="s">
        <v>945</v>
      </c>
      <c r="Y164" s="11" t="s">
        <v>261</v>
      </c>
      <c r="Z164" s="11" t="s">
        <v>946</v>
      </c>
    </row>
    <row r="165" spans="1:26">
      <c r="A165" s="11" t="s">
        <v>486</v>
      </c>
      <c r="B165" s="11" t="s">
        <v>253</v>
      </c>
      <c r="C165" s="15">
        <v>0.07000000000000001</v>
      </c>
      <c r="D165" s="15"/>
      <c r="E165" s="11" t="s">
        <v>254</v>
      </c>
      <c r="F165" s="13" t="s">
        <v>487</v>
      </c>
      <c r="G165" s="14">
        <v>24</v>
      </c>
      <c r="H165" s="11" t="s">
        <v>73</v>
      </c>
      <c r="I165" s="11" t="s">
        <v>74</v>
      </c>
      <c r="J165" s="11" t="s">
        <v>75</v>
      </c>
      <c r="K165" s="11" t="s">
        <v>255</v>
      </c>
      <c r="L165" s="11" t="s">
        <v>886</v>
      </c>
      <c r="M165" s="5" t="s">
        <v>927</v>
      </c>
      <c r="N165" s="5" t="s">
        <v>947</v>
      </c>
      <c r="O165" s="5" t="s">
        <v>948</v>
      </c>
      <c r="P165" s="5" t="s">
        <v>852</v>
      </c>
      <c r="Q165" s="11" t="s">
        <v>82</v>
      </c>
      <c r="R165" s="11" t="s">
        <v>82</v>
      </c>
      <c r="S165" s="11" t="s">
        <v>82</v>
      </c>
      <c r="T165" s="11" t="s">
        <v>260</v>
      </c>
      <c r="U165" s="5" t="s">
        <v>246</v>
      </c>
      <c r="V165" s="11" t="s">
        <v>492</v>
      </c>
      <c r="W165" s="11" t="s">
        <v>493</v>
      </c>
      <c r="X165" s="11" t="s">
        <v>494</v>
      </c>
      <c r="Y165" s="11" t="s">
        <v>261</v>
      </c>
      <c r="Z165" s="11" t="s">
        <v>949</v>
      </c>
    </row>
    <row r="166" spans="1:26">
      <c r="A166" s="11" t="s">
        <v>496</v>
      </c>
      <c r="B166" s="11" t="s">
        <v>253</v>
      </c>
      <c r="C166" s="15">
        <v>0.1</v>
      </c>
      <c r="D166" s="15"/>
      <c r="E166" s="11" t="s">
        <v>254</v>
      </c>
      <c r="F166" s="13" t="s">
        <v>497</v>
      </c>
      <c r="G166" s="14">
        <v>28</v>
      </c>
      <c r="H166" s="11" t="s">
        <v>73</v>
      </c>
      <c r="I166" s="11" t="s">
        <v>74</v>
      </c>
      <c r="J166" s="11" t="s">
        <v>75</v>
      </c>
      <c r="K166" s="11" t="s">
        <v>255</v>
      </c>
      <c r="L166" s="11" t="s">
        <v>886</v>
      </c>
      <c r="M166" s="5" t="s">
        <v>927</v>
      </c>
      <c r="N166" s="5" t="s">
        <v>950</v>
      </c>
      <c r="O166" s="5" t="s">
        <v>951</v>
      </c>
      <c r="P166" s="5" t="s">
        <v>852</v>
      </c>
      <c r="Q166" s="11" t="s">
        <v>82</v>
      </c>
      <c r="R166" s="11" t="s">
        <v>82</v>
      </c>
      <c r="S166" s="11" t="s">
        <v>82</v>
      </c>
      <c r="T166" s="11" t="s">
        <v>260</v>
      </c>
      <c r="U166" s="5" t="s">
        <v>246</v>
      </c>
      <c r="V166" s="11" t="s">
        <v>501</v>
      </c>
      <c r="W166" s="11" t="s">
        <v>502</v>
      </c>
      <c r="X166" s="11" t="s">
        <v>503</v>
      </c>
      <c r="Y166" s="11" t="s">
        <v>261</v>
      </c>
      <c r="Z166" s="11" t="s">
        <v>952</v>
      </c>
    </row>
    <row r="167" spans="1:26">
      <c r="A167" s="11" t="s">
        <v>505</v>
      </c>
      <c r="B167" s="11" t="s">
        <v>253</v>
      </c>
      <c r="C167" s="15">
        <v>0.05</v>
      </c>
      <c r="D167" s="15"/>
      <c r="E167" s="11" t="s">
        <v>254</v>
      </c>
      <c r="F167" s="13" t="s">
        <v>506</v>
      </c>
      <c r="G167" s="14">
        <v>31</v>
      </c>
      <c r="H167" s="11" t="s">
        <v>73</v>
      </c>
      <c r="I167" s="11" t="s">
        <v>74</v>
      </c>
      <c r="J167" s="11" t="s">
        <v>75</v>
      </c>
      <c r="K167" s="11" t="s">
        <v>255</v>
      </c>
      <c r="L167" s="11" t="s">
        <v>886</v>
      </c>
      <c r="M167" s="5" t="s">
        <v>927</v>
      </c>
      <c r="N167" s="5" t="s">
        <v>953</v>
      </c>
      <c r="O167" s="5" t="s">
        <v>954</v>
      </c>
      <c r="P167" s="5" t="s">
        <v>852</v>
      </c>
      <c r="Q167" s="11" t="s">
        <v>82</v>
      </c>
      <c r="R167" s="11" t="s">
        <v>82</v>
      </c>
      <c r="S167" s="11" t="s">
        <v>82</v>
      </c>
      <c r="T167" s="11" t="s">
        <v>260</v>
      </c>
      <c r="U167" s="5" t="s">
        <v>246</v>
      </c>
      <c r="V167" s="11" t="s">
        <v>510</v>
      </c>
      <c r="W167" s="11" t="s">
        <v>511</v>
      </c>
      <c r="X167" s="11" t="s">
        <v>512</v>
      </c>
      <c r="Y167" s="11" t="s">
        <v>261</v>
      </c>
      <c r="Z167" s="11" t="s">
        <v>955</v>
      </c>
    </row>
    <row r="168" spans="1:26">
      <c r="A168" s="11" t="s">
        <v>514</v>
      </c>
      <c r="B168" s="11" t="s">
        <v>253</v>
      </c>
      <c r="C168" s="15">
        <v>-0.38</v>
      </c>
      <c r="D168" s="15"/>
      <c r="E168" s="11" t="s">
        <v>254</v>
      </c>
      <c r="F168" s="13" t="s">
        <v>956</v>
      </c>
      <c r="G168" s="11"/>
      <c r="H168" s="11" t="s">
        <v>73</v>
      </c>
      <c r="I168" s="11" t="s">
        <v>74</v>
      </c>
      <c r="J168" s="11" t="s">
        <v>75</v>
      </c>
      <c r="K168" s="11" t="s">
        <v>938</v>
      </c>
      <c r="L168" s="11" t="s">
        <v>939</v>
      </c>
      <c r="M168" s="5" t="s">
        <v>940</v>
      </c>
      <c r="N168" s="5" t="s">
        <v>957</v>
      </c>
      <c r="O168" s="5" t="s">
        <v>958</v>
      </c>
      <c r="P168" s="5" t="s">
        <v>852</v>
      </c>
      <c r="Q168" s="11" t="s">
        <v>82</v>
      </c>
      <c r="R168" s="11" t="s">
        <v>82</v>
      </c>
      <c r="S168" s="11" t="s">
        <v>82</v>
      </c>
      <c r="T168" s="11" t="s">
        <v>260</v>
      </c>
      <c r="U168" s="5" t="s">
        <v>943</v>
      </c>
      <c r="V168" s="11" t="s">
        <v>521</v>
      </c>
      <c r="W168" s="11" t="s">
        <v>959</v>
      </c>
      <c r="X168" s="11" t="s">
        <v>960</v>
      </c>
      <c r="Y168" s="11" t="s">
        <v>261</v>
      </c>
      <c r="Z168" s="11" t="s">
        <v>961</v>
      </c>
    </row>
    <row r="169" spans="1:26">
      <c r="A169" s="11" t="s">
        <v>523</v>
      </c>
      <c r="B169" s="11" t="s">
        <v>253</v>
      </c>
      <c r="C169" s="15">
        <v>-0.01</v>
      </c>
      <c r="D169" s="15"/>
      <c r="E169" s="11" t="s">
        <v>254</v>
      </c>
      <c r="F169" s="13" t="s">
        <v>524</v>
      </c>
      <c r="G169" s="14">
        <v>24</v>
      </c>
      <c r="H169" s="11" t="s">
        <v>73</v>
      </c>
      <c r="I169" s="11" t="s">
        <v>74</v>
      </c>
      <c r="J169" s="11" t="s">
        <v>75</v>
      </c>
      <c r="K169" s="11" t="s">
        <v>255</v>
      </c>
      <c r="L169" s="11" t="s">
        <v>886</v>
      </c>
      <c r="M169" s="5" t="s">
        <v>927</v>
      </c>
      <c r="N169" s="5" t="s">
        <v>962</v>
      </c>
      <c r="O169" s="5" t="s">
        <v>963</v>
      </c>
      <c r="P169" s="5" t="s">
        <v>852</v>
      </c>
      <c r="Q169" s="11" t="s">
        <v>82</v>
      </c>
      <c r="R169" s="11" t="s">
        <v>82</v>
      </c>
      <c r="S169" s="11" t="s">
        <v>82</v>
      </c>
      <c r="T169" s="11" t="s">
        <v>260</v>
      </c>
      <c r="U169" s="5" t="s">
        <v>246</v>
      </c>
      <c r="V169" s="11" t="s">
        <v>528</v>
      </c>
      <c r="W169" s="11" t="s">
        <v>529</v>
      </c>
      <c r="X169" s="11" t="s">
        <v>530</v>
      </c>
      <c r="Y169" s="11" t="s">
        <v>261</v>
      </c>
      <c r="Z169" s="11" t="s">
        <v>964</v>
      </c>
    </row>
    <row r="170" spans="1:26">
      <c r="A170" s="11" t="s">
        <v>532</v>
      </c>
      <c r="B170" s="11" t="s">
        <v>253</v>
      </c>
      <c r="C170" s="15">
        <v>0.09</v>
      </c>
      <c r="D170" s="15"/>
      <c r="E170" s="11" t="s">
        <v>254</v>
      </c>
      <c r="F170" s="13" t="s">
        <v>533</v>
      </c>
      <c r="G170" s="14">
        <v>28</v>
      </c>
      <c r="H170" s="11" t="s">
        <v>73</v>
      </c>
      <c r="I170" s="11" t="s">
        <v>74</v>
      </c>
      <c r="J170" s="11" t="s">
        <v>75</v>
      </c>
      <c r="K170" s="11" t="s">
        <v>255</v>
      </c>
      <c r="L170" s="11" t="s">
        <v>886</v>
      </c>
      <c r="M170" s="5" t="s">
        <v>927</v>
      </c>
      <c r="N170" s="5" t="s">
        <v>965</v>
      </c>
      <c r="O170" s="5" t="s">
        <v>966</v>
      </c>
      <c r="P170" s="5" t="s">
        <v>852</v>
      </c>
      <c r="Q170" s="11" t="s">
        <v>82</v>
      </c>
      <c r="R170" s="11" t="s">
        <v>82</v>
      </c>
      <c r="S170" s="11" t="s">
        <v>82</v>
      </c>
      <c r="T170" s="11" t="s">
        <v>260</v>
      </c>
      <c r="U170" s="5" t="s">
        <v>246</v>
      </c>
      <c r="V170" s="11" t="s">
        <v>537</v>
      </c>
      <c r="W170" s="11" t="s">
        <v>538</v>
      </c>
      <c r="X170" s="11" t="s">
        <v>539</v>
      </c>
      <c r="Y170" s="11" t="s">
        <v>261</v>
      </c>
      <c r="Z170" s="11" t="s">
        <v>967</v>
      </c>
    </row>
    <row r="171" spans="1:26">
      <c r="A171" s="11" t="s">
        <v>541</v>
      </c>
      <c r="B171" s="11" t="s">
        <v>253</v>
      </c>
      <c r="C171" s="15">
        <v>0.03</v>
      </c>
      <c r="D171" s="15"/>
      <c r="E171" s="11" t="s">
        <v>254</v>
      </c>
      <c r="F171" s="13" t="s">
        <v>542</v>
      </c>
      <c r="G171" s="14">
        <v>28</v>
      </c>
      <c r="H171" s="11" t="s">
        <v>73</v>
      </c>
      <c r="I171" s="11" t="s">
        <v>74</v>
      </c>
      <c r="J171" s="11" t="s">
        <v>75</v>
      </c>
      <c r="K171" s="11" t="s">
        <v>255</v>
      </c>
      <c r="L171" s="11" t="s">
        <v>886</v>
      </c>
      <c r="M171" s="5" t="s">
        <v>927</v>
      </c>
      <c r="N171" s="5" t="s">
        <v>968</v>
      </c>
      <c r="O171" s="5" t="s">
        <v>969</v>
      </c>
      <c r="P171" s="5" t="s">
        <v>852</v>
      </c>
      <c r="Q171" s="11" t="s">
        <v>82</v>
      </c>
      <c r="R171" s="11" t="s">
        <v>82</v>
      </c>
      <c r="S171" s="11" t="s">
        <v>82</v>
      </c>
      <c r="T171" s="11" t="s">
        <v>260</v>
      </c>
      <c r="U171" s="5" t="s">
        <v>246</v>
      </c>
      <c r="V171" s="11" t="s">
        <v>546</v>
      </c>
      <c r="W171" s="11" t="s">
        <v>547</v>
      </c>
      <c r="X171" s="11" t="s">
        <v>548</v>
      </c>
      <c r="Y171" s="11" t="s">
        <v>261</v>
      </c>
      <c r="Z171" s="11" t="s">
        <v>970</v>
      </c>
    </row>
    <row r="172" spans="1:26">
      <c r="A172" s="11" t="s">
        <v>550</v>
      </c>
      <c r="B172" s="11" t="s">
        <v>253</v>
      </c>
      <c r="C172" s="15">
        <v>0.96</v>
      </c>
      <c r="D172" s="15"/>
      <c r="E172" s="11" t="s">
        <v>254</v>
      </c>
      <c r="F172" s="13" t="s">
        <v>971</v>
      </c>
      <c r="G172" s="11"/>
      <c r="H172" s="11" t="s">
        <v>73</v>
      </c>
      <c r="I172" s="11" t="s">
        <v>74</v>
      </c>
      <c r="J172" s="11" t="s">
        <v>75</v>
      </c>
      <c r="K172" s="11" t="s">
        <v>938</v>
      </c>
      <c r="L172" s="11" t="s">
        <v>939</v>
      </c>
      <c r="M172" s="5" t="s">
        <v>940</v>
      </c>
      <c r="N172" s="5" t="s">
        <v>972</v>
      </c>
      <c r="O172" s="5" t="s">
        <v>973</v>
      </c>
      <c r="P172" s="5" t="s">
        <v>852</v>
      </c>
      <c r="Q172" s="11" t="s">
        <v>82</v>
      </c>
      <c r="R172" s="11" t="s">
        <v>82</v>
      </c>
      <c r="S172" s="11" t="s">
        <v>82</v>
      </c>
      <c r="T172" s="11" t="s">
        <v>260</v>
      </c>
      <c r="U172" s="5" t="s">
        <v>943</v>
      </c>
      <c r="V172" s="11" t="s">
        <v>557</v>
      </c>
      <c r="W172" s="11" t="s">
        <v>974</v>
      </c>
      <c r="X172" s="11" t="s">
        <v>975</v>
      </c>
      <c r="Y172" s="11" t="s">
        <v>261</v>
      </c>
      <c r="Z172" s="11" t="s">
        <v>976</v>
      </c>
    </row>
    <row r="173" spans="1:26">
      <c r="A173" s="11" t="s">
        <v>445</v>
      </c>
      <c r="B173" s="11" t="s">
        <v>271</v>
      </c>
      <c r="C173" s="15">
        <v>0.09</v>
      </c>
      <c r="D173" s="15"/>
      <c r="E173" s="11" t="s">
        <v>254</v>
      </c>
      <c r="F173" s="13" t="s">
        <v>446</v>
      </c>
      <c r="G173" s="14">
        <v>22</v>
      </c>
      <c r="H173" s="11" t="s">
        <v>73</v>
      </c>
      <c r="I173" s="11" t="s">
        <v>74</v>
      </c>
      <c r="J173" s="11" t="s">
        <v>75</v>
      </c>
      <c r="K173" s="11" t="s">
        <v>240</v>
      </c>
      <c r="L173" s="11" t="s">
        <v>886</v>
      </c>
      <c r="M173" s="5" t="s">
        <v>977</v>
      </c>
      <c r="N173" s="5" t="s">
        <v>928</v>
      </c>
      <c r="O173" s="5" t="s">
        <v>978</v>
      </c>
      <c r="P173" s="5" t="s">
        <v>852</v>
      </c>
      <c r="Q173" s="11" t="s">
        <v>82</v>
      </c>
      <c r="R173" s="11" t="s">
        <v>82</v>
      </c>
      <c r="S173" s="11" t="s">
        <v>82</v>
      </c>
      <c r="T173" s="11" t="s">
        <v>274</v>
      </c>
      <c r="U173" s="5" t="s">
        <v>246</v>
      </c>
      <c r="V173" s="11" t="s">
        <v>454</v>
      </c>
      <c r="W173" s="11" t="s">
        <v>455</v>
      </c>
      <c r="X173" s="11" t="s">
        <v>456</v>
      </c>
      <c r="Y173" s="11" t="s">
        <v>275</v>
      </c>
      <c r="Z173" s="11" t="s">
        <v>979</v>
      </c>
    </row>
    <row r="174" spans="1:26">
      <c r="A174" s="11" t="s">
        <v>458</v>
      </c>
      <c r="B174" s="11" t="s">
        <v>271</v>
      </c>
      <c r="C174" s="15">
        <v>0.14</v>
      </c>
      <c r="D174" s="15"/>
      <c r="E174" s="11" t="s">
        <v>254</v>
      </c>
      <c r="F174" s="13" t="s">
        <v>459</v>
      </c>
      <c r="G174" s="14">
        <v>27</v>
      </c>
      <c r="H174" s="11" t="s">
        <v>73</v>
      </c>
      <c r="I174" s="11" t="s">
        <v>74</v>
      </c>
      <c r="J174" s="11" t="s">
        <v>75</v>
      </c>
      <c r="K174" s="11" t="s">
        <v>240</v>
      </c>
      <c r="L174" s="11" t="s">
        <v>886</v>
      </c>
      <c r="M174" s="5" t="s">
        <v>977</v>
      </c>
      <c r="N174" s="5" t="s">
        <v>931</v>
      </c>
      <c r="O174" s="5" t="s">
        <v>980</v>
      </c>
      <c r="P174" s="5" t="s">
        <v>852</v>
      </c>
      <c r="Q174" s="11" t="s">
        <v>82</v>
      </c>
      <c r="R174" s="11" t="s">
        <v>82</v>
      </c>
      <c r="S174" s="11" t="s">
        <v>82</v>
      </c>
      <c r="T174" s="11" t="s">
        <v>274</v>
      </c>
      <c r="U174" s="5" t="s">
        <v>246</v>
      </c>
      <c r="V174" s="11" t="s">
        <v>463</v>
      </c>
      <c r="W174" s="11" t="s">
        <v>464</v>
      </c>
      <c r="X174" s="11" t="s">
        <v>465</v>
      </c>
      <c r="Y174" s="11" t="s">
        <v>275</v>
      </c>
      <c r="Z174" s="11" t="s">
        <v>981</v>
      </c>
    </row>
    <row r="175" spans="1:26">
      <c r="A175" s="11" t="s">
        <v>467</v>
      </c>
      <c r="B175" s="11" t="s">
        <v>271</v>
      </c>
      <c r="C175" s="15">
        <v>0.11</v>
      </c>
      <c r="D175" s="15"/>
      <c r="E175" s="11" t="s">
        <v>254</v>
      </c>
      <c r="F175" s="13" t="s">
        <v>468</v>
      </c>
      <c r="G175" s="14">
        <v>27</v>
      </c>
      <c r="H175" s="11" t="s">
        <v>73</v>
      </c>
      <c r="I175" s="11" t="s">
        <v>74</v>
      </c>
      <c r="J175" s="11" t="s">
        <v>75</v>
      </c>
      <c r="K175" s="11" t="s">
        <v>240</v>
      </c>
      <c r="L175" s="11" t="s">
        <v>886</v>
      </c>
      <c r="M175" s="5" t="s">
        <v>977</v>
      </c>
      <c r="N175" s="5" t="s">
        <v>934</v>
      </c>
      <c r="O175" s="5" t="s">
        <v>982</v>
      </c>
      <c r="P175" s="5" t="s">
        <v>852</v>
      </c>
      <c r="Q175" s="11" t="s">
        <v>82</v>
      </c>
      <c r="R175" s="11" t="s">
        <v>82</v>
      </c>
      <c r="S175" s="11" t="s">
        <v>82</v>
      </c>
      <c r="T175" s="11" t="s">
        <v>274</v>
      </c>
      <c r="U175" s="5" t="s">
        <v>246</v>
      </c>
      <c r="V175" s="11" t="s">
        <v>472</v>
      </c>
      <c r="W175" s="11" t="s">
        <v>473</v>
      </c>
      <c r="X175" s="11" t="s">
        <v>474</v>
      </c>
      <c r="Y175" s="11" t="s">
        <v>275</v>
      </c>
      <c r="Z175" s="11" t="s">
        <v>983</v>
      </c>
    </row>
    <row r="176" spans="1:26">
      <c r="A176" s="11" t="s">
        <v>476</v>
      </c>
      <c r="B176" s="11" t="s">
        <v>271</v>
      </c>
      <c r="C176" s="15">
        <v>0.1</v>
      </c>
      <c r="D176" s="15"/>
      <c r="E176" s="11" t="s">
        <v>254</v>
      </c>
      <c r="F176" s="13" t="s">
        <v>937</v>
      </c>
      <c r="G176" s="11"/>
      <c r="H176" s="11" t="s">
        <v>73</v>
      </c>
      <c r="I176" s="11" t="s">
        <v>74</v>
      </c>
      <c r="J176" s="11" t="s">
        <v>75</v>
      </c>
      <c r="K176" s="11" t="s">
        <v>938</v>
      </c>
      <c r="L176" s="11" t="s">
        <v>939</v>
      </c>
      <c r="M176" s="5" t="s">
        <v>940</v>
      </c>
      <c r="N176" s="5" t="s">
        <v>941</v>
      </c>
      <c r="O176" s="5" t="s">
        <v>984</v>
      </c>
      <c r="P176" s="5" t="s">
        <v>852</v>
      </c>
      <c r="Q176" s="11" t="s">
        <v>82</v>
      </c>
      <c r="R176" s="11" t="s">
        <v>82</v>
      </c>
      <c r="S176" s="11" t="s">
        <v>82</v>
      </c>
      <c r="T176" s="11" t="s">
        <v>274</v>
      </c>
      <c r="U176" s="5" t="s">
        <v>943</v>
      </c>
      <c r="V176" s="11" t="s">
        <v>484</v>
      </c>
      <c r="W176" s="11" t="s">
        <v>944</v>
      </c>
      <c r="X176" s="11" t="s">
        <v>945</v>
      </c>
      <c r="Y176" s="11" t="s">
        <v>275</v>
      </c>
      <c r="Z176" s="11" t="s">
        <v>985</v>
      </c>
    </row>
    <row r="177" spans="1:26">
      <c r="A177" s="11" t="s">
        <v>486</v>
      </c>
      <c r="B177" s="11" t="s">
        <v>271</v>
      </c>
      <c r="C177" s="15">
        <v>0.1</v>
      </c>
      <c r="D177" s="15"/>
      <c r="E177" s="11" t="s">
        <v>254</v>
      </c>
      <c r="F177" s="13" t="s">
        <v>487</v>
      </c>
      <c r="G177" s="14">
        <v>24</v>
      </c>
      <c r="H177" s="11" t="s">
        <v>73</v>
      </c>
      <c r="I177" s="11" t="s">
        <v>74</v>
      </c>
      <c r="J177" s="11" t="s">
        <v>75</v>
      </c>
      <c r="K177" s="11" t="s">
        <v>240</v>
      </c>
      <c r="L177" s="11" t="s">
        <v>886</v>
      </c>
      <c r="M177" s="5" t="s">
        <v>977</v>
      </c>
      <c r="N177" s="5" t="s">
        <v>947</v>
      </c>
      <c r="O177" s="5" t="s">
        <v>986</v>
      </c>
      <c r="P177" s="5" t="s">
        <v>852</v>
      </c>
      <c r="Q177" s="11" t="s">
        <v>82</v>
      </c>
      <c r="R177" s="11" t="s">
        <v>82</v>
      </c>
      <c r="S177" s="11" t="s">
        <v>82</v>
      </c>
      <c r="T177" s="11" t="s">
        <v>274</v>
      </c>
      <c r="U177" s="5" t="s">
        <v>246</v>
      </c>
      <c r="V177" s="11" t="s">
        <v>492</v>
      </c>
      <c r="W177" s="11" t="s">
        <v>493</v>
      </c>
      <c r="X177" s="11" t="s">
        <v>494</v>
      </c>
      <c r="Y177" s="11" t="s">
        <v>275</v>
      </c>
      <c r="Z177" s="11" t="s">
        <v>987</v>
      </c>
    </row>
    <row r="178" spans="1:26">
      <c r="A178" s="11" t="s">
        <v>496</v>
      </c>
      <c r="B178" s="11" t="s">
        <v>271</v>
      </c>
      <c r="C178" s="15">
        <v>0.13</v>
      </c>
      <c r="D178" s="15"/>
      <c r="E178" s="11" t="s">
        <v>254</v>
      </c>
      <c r="F178" s="13" t="s">
        <v>497</v>
      </c>
      <c r="G178" s="14">
        <v>28</v>
      </c>
      <c r="H178" s="11" t="s">
        <v>73</v>
      </c>
      <c r="I178" s="11" t="s">
        <v>74</v>
      </c>
      <c r="J178" s="11" t="s">
        <v>75</v>
      </c>
      <c r="K178" s="11" t="s">
        <v>240</v>
      </c>
      <c r="L178" s="11" t="s">
        <v>886</v>
      </c>
      <c r="M178" s="5" t="s">
        <v>977</v>
      </c>
      <c r="N178" s="5" t="s">
        <v>950</v>
      </c>
      <c r="O178" s="5" t="s">
        <v>988</v>
      </c>
      <c r="P178" s="5" t="s">
        <v>852</v>
      </c>
      <c r="Q178" s="11" t="s">
        <v>82</v>
      </c>
      <c r="R178" s="11" t="s">
        <v>82</v>
      </c>
      <c r="S178" s="11" t="s">
        <v>82</v>
      </c>
      <c r="T178" s="11" t="s">
        <v>274</v>
      </c>
      <c r="U178" s="5" t="s">
        <v>246</v>
      </c>
      <c r="V178" s="11" t="s">
        <v>501</v>
      </c>
      <c r="W178" s="11" t="s">
        <v>502</v>
      </c>
      <c r="X178" s="11" t="s">
        <v>503</v>
      </c>
      <c r="Y178" s="11" t="s">
        <v>275</v>
      </c>
      <c r="Z178" s="11" t="s">
        <v>989</v>
      </c>
    </row>
    <row r="179" spans="1:26">
      <c r="A179" s="11" t="s">
        <v>505</v>
      </c>
      <c r="B179" s="11" t="s">
        <v>271</v>
      </c>
      <c r="C179" s="15">
        <v>0.07000000000000001</v>
      </c>
      <c r="D179" s="15"/>
      <c r="E179" s="11" t="s">
        <v>254</v>
      </c>
      <c r="F179" s="13" t="s">
        <v>506</v>
      </c>
      <c r="G179" s="14">
        <v>31</v>
      </c>
      <c r="H179" s="11" t="s">
        <v>73</v>
      </c>
      <c r="I179" s="11" t="s">
        <v>74</v>
      </c>
      <c r="J179" s="11" t="s">
        <v>75</v>
      </c>
      <c r="K179" s="11" t="s">
        <v>240</v>
      </c>
      <c r="L179" s="11" t="s">
        <v>886</v>
      </c>
      <c r="M179" s="5" t="s">
        <v>977</v>
      </c>
      <c r="N179" s="5" t="s">
        <v>953</v>
      </c>
      <c r="O179" s="5" t="s">
        <v>990</v>
      </c>
      <c r="P179" s="5" t="s">
        <v>852</v>
      </c>
      <c r="Q179" s="11" t="s">
        <v>82</v>
      </c>
      <c r="R179" s="11" t="s">
        <v>82</v>
      </c>
      <c r="S179" s="11" t="s">
        <v>82</v>
      </c>
      <c r="T179" s="11" t="s">
        <v>274</v>
      </c>
      <c r="U179" s="5" t="s">
        <v>246</v>
      </c>
      <c r="V179" s="11" t="s">
        <v>510</v>
      </c>
      <c r="W179" s="11" t="s">
        <v>511</v>
      </c>
      <c r="X179" s="11" t="s">
        <v>512</v>
      </c>
      <c r="Y179" s="11" t="s">
        <v>275</v>
      </c>
      <c r="Z179" s="11" t="s">
        <v>991</v>
      </c>
    </row>
    <row r="180" spans="1:26">
      <c r="A180" s="11" t="s">
        <v>514</v>
      </c>
      <c r="B180" s="11" t="s">
        <v>271</v>
      </c>
      <c r="C180" s="15">
        <v>-0.36</v>
      </c>
      <c r="D180" s="15"/>
      <c r="E180" s="11" t="s">
        <v>254</v>
      </c>
      <c r="F180" s="13" t="s">
        <v>956</v>
      </c>
      <c r="G180" s="11"/>
      <c r="H180" s="11" t="s">
        <v>73</v>
      </c>
      <c r="I180" s="11" t="s">
        <v>74</v>
      </c>
      <c r="J180" s="11" t="s">
        <v>75</v>
      </c>
      <c r="K180" s="11" t="s">
        <v>938</v>
      </c>
      <c r="L180" s="11" t="s">
        <v>939</v>
      </c>
      <c r="M180" s="5" t="s">
        <v>940</v>
      </c>
      <c r="N180" s="5" t="s">
        <v>957</v>
      </c>
      <c r="O180" s="5" t="s">
        <v>984</v>
      </c>
      <c r="P180" s="5" t="s">
        <v>852</v>
      </c>
      <c r="Q180" s="11" t="s">
        <v>82</v>
      </c>
      <c r="R180" s="11" t="s">
        <v>82</v>
      </c>
      <c r="S180" s="11" t="s">
        <v>82</v>
      </c>
      <c r="T180" s="11" t="s">
        <v>274</v>
      </c>
      <c r="U180" s="5" t="s">
        <v>943</v>
      </c>
      <c r="V180" s="11" t="s">
        <v>521</v>
      </c>
      <c r="W180" s="11" t="s">
        <v>959</v>
      </c>
      <c r="X180" s="11" t="s">
        <v>960</v>
      </c>
      <c r="Y180" s="11" t="s">
        <v>275</v>
      </c>
      <c r="Z180" s="11" t="s">
        <v>992</v>
      </c>
    </row>
    <row r="181" spans="1:26">
      <c r="A181" s="11" t="s">
        <v>523</v>
      </c>
      <c r="B181" s="11" t="s">
        <v>271</v>
      </c>
      <c r="C181" s="15">
        <v>0</v>
      </c>
      <c r="D181" s="15"/>
      <c r="E181" s="11" t="s">
        <v>254</v>
      </c>
      <c r="F181" s="13" t="s">
        <v>524</v>
      </c>
      <c r="G181" s="14">
        <v>24</v>
      </c>
      <c r="H181" s="11" t="s">
        <v>73</v>
      </c>
      <c r="I181" s="11" t="s">
        <v>74</v>
      </c>
      <c r="J181" s="11" t="s">
        <v>75</v>
      </c>
      <c r="K181" s="11" t="s">
        <v>240</v>
      </c>
      <c r="L181" s="11" t="s">
        <v>886</v>
      </c>
      <c r="M181" s="5" t="s">
        <v>977</v>
      </c>
      <c r="N181" s="5" t="s">
        <v>962</v>
      </c>
      <c r="O181" s="5" t="s">
        <v>993</v>
      </c>
      <c r="P181" s="5" t="s">
        <v>852</v>
      </c>
      <c r="Q181" s="11" t="s">
        <v>82</v>
      </c>
      <c r="R181" s="11" t="s">
        <v>82</v>
      </c>
      <c r="S181" s="11" t="s">
        <v>82</v>
      </c>
      <c r="T181" s="11" t="s">
        <v>274</v>
      </c>
      <c r="U181" s="5" t="s">
        <v>246</v>
      </c>
      <c r="V181" s="11" t="s">
        <v>528</v>
      </c>
      <c r="W181" s="11" t="s">
        <v>529</v>
      </c>
      <c r="X181" s="11" t="s">
        <v>530</v>
      </c>
      <c r="Y181" s="11" t="s">
        <v>275</v>
      </c>
      <c r="Z181" s="11" t="s">
        <v>994</v>
      </c>
    </row>
    <row r="182" spans="1:26">
      <c r="A182" s="11" t="s">
        <v>532</v>
      </c>
      <c r="B182" s="11" t="s">
        <v>271</v>
      </c>
      <c r="C182" s="15">
        <v>0.07000000000000001</v>
      </c>
      <c r="D182" s="15"/>
      <c r="E182" s="11" t="s">
        <v>254</v>
      </c>
      <c r="F182" s="13" t="s">
        <v>533</v>
      </c>
      <c r="G182" s="14">
        <v>28</v>
      </c>
      <c r="H182" s="11" t="s">
        <v>73</v>
      </c>
      <c r="I182" s="11" t="s">
        <v>74</v>
      </c>
      <c r="J182" s="11" t="s">
        <v>75</v>
      </c>
      <c r="K182" s="11" t="s">
        <v>240</v>
      </c>
      <c r="L182" s="11" t="s">
        <v>886</v>
      </c>
      <c r="M182" s="5" t="s">
        <v>977</v>
      </c>
      <c r="N182" s="5" t="s">
        <v>965</v>
      </c>
      <c r="O182" s="5" t="s">
        <v>995</v>
      </c>
      <c r="P182" s="5" t="s">
        <v>852</v>
      </c>
      <c r="Q182" s="11" t="s">
        <v>82</v>
      </c>
      <c r="R182" s="11" t="s">
        <v>82</v>
      </c>
      <c r="S182" s="11" t="s">
        <v>82</v>
      </c>
      <c r="T182" s="11" t="s">
        <v>274</v>
      </c>
      <c r="U182" s="5" t="s">
        <v>246</v>
      </c>
      <c r="V182" s="11" t="s">
        <v>537</v>
      </c>
      <c r="W182" s="11" t="s">
        <v>538</v>
      </c>
      <c r="X182" s="11" t="s">
        <v>539</v>
      </c>
      <c r="Y182" s="11" t="s">
        <v>275</v>
      </c>
      <c r="Z182" s="11" t="s">
        <v>996</v>
      </c>
    </row>
    <row r="183" spans="1:26">
      <c r="A183" s="11" t="s">
        <v>541</v>
      </c>
      <c r="B183" s="11" t="s">
        <v>271</v>
      </c>
      <c r="C183" s="15">
        <v>-0.01</v>
      </c>
      <c r="D183" s="15"/>
      <c r="E183" s="11" t="s">
        <v>254</v>
      </c>
      <c r="F183" s="13" t="s">
        <v>542</v>
      </c>
      <c r="G183" s="14">
        <v>28</v>
      </c>
      <c r="H183" s="11" t="s">
        <v>73</v>
      </c>
      <c r="I183" s="11" t="s">
        <v>74</v>
      </c>
      <c r="J183" s="11" t="s">
        <v>75</v>
      </c>
      <c r="K183" s="11" t="s">
        <v>240</v>
      </c>
      <c r="L183" s="11" t="s">
        <v>886</v>
      </c>
      <c r="M183" s="5" t="s">
        <v>977</v>
      </c>
      <c r="N183" s="5" t="s">
        <v>968</v>
      </c>
      <c r="O183" s="5" t="s">
        <v>997</v>
      </c>
      <c r="P183" s="5" t="s">
        <v>852</v>
      </c>
      <c r="Q183" s="11" t="s">
        <v>82</v>
      </c>
      <c r="R183" s="11" t="s">
        <v>82</v>
      </c>
      <c r="S183" s="11" t="s">
        <v>82</v>
      </c>
      <c r="T183" s="11" t="s">
        <v>274</v>
      </c>
      <c r="U183" s="5" t="s">
        <v>246</v>
      </c>
      <c r="V183" s="11" t="s">
        <v>546</v>
      </c>
      <c r="W183" s="11" t="s">
        <v>547</v>
      </c>
      <c r="X183" s="11" t="s">
        <v>548</v>
      </c>
      <c r="Y183" s="11" t="s">
        <v>275</v>
      </c>
      <c r="Z183" s="11" t="s">
        <v>998</v>
      </c>
    </row>
    <row r="184" spans="1:26">
      <c r="A184" s="11" t="s">
        <v>550</v>
      </c>
      <c r="B184" s="11" t="s">
        <v>271</v>
      </c>
      <c r="C184" s="15">
        <v>0.88</v>
      </c>
      <c r="D184" s="15"/>
      <c r="E184" s="11" t="s">
        <v>254</v>
      </c>
      <c r="F184" s="13" t="s">
        <v>971</v>
      </c>
      <c r="G184" s="11"/>
      <c r="H184" s="11" t="s">
        <v>73</v>
      </c>
      <c r="I184" s="11" t="s">
        <v>74</v>
      </c>
      <c r="J184" s="11" t="s">
        <v>75</v>
      </c>
      <c r="K184" s="11" t="s">
        <v>938</v>
      </c>
      <c r="L184" s="11" t="s">
        <v>939</v>
      </c>
      <c r="M184" s="5" t="s">
        <v>940</v>
      </c>
      <c r="N184" s="5" t="s">
        <v>972</v>
      </c>
      <c r="O184" s="5" t="s">
        <v>984</v>
      </c>
      <c r="P184" s="5" t="s">
        <v>852</v>
      </c>
      <c r="Q184" s="11" t="s">
        <v>82</v>
      </c>
      <c r="R184" s="11" t="s">
        <v>82</v>
      </c>
      <c r="S184" s="11" t="s">
        <v>82</v>
      </c>
      <c r="T184" s="11" t="s">
        <v>274</v>
      </c>
      <c r="U184" s="5" t="s">
        <v>943</v>
      </c>
      <c r="V184" s="11" t="s">
        <v>557</v>
      </c>
      <c r="W184" s="11" t="s">
        <v>974</v>
      </c>
      <c r="X184" s="11" t="s">
        <v>975</v>
      </c>
      <c r="Y184" s="11" t="s">
        <v>275</v>
      </c>
      <c r="Z184" s="11" t="s">
        <v>999</v>
      </c>
    </row>
    <row r="185" spans="1:26">
      <c r="A185" s="11" t="s">
        <v>445</v>
      </c>
      <c r="B185" s="11" t="s">
        <v>281</v>
      </c>
      <c r="C185" s="12">
        <v>2851</v>
      </c>
      <c r="D185" s="12">
        <v>2535</v>
      </c>
      <c r="E185" s="11" t="s">
        <v>71</v>
      </c>
      <c r="F185" s="13" t="s">
        <v>446</v>
      </c>
      <c r="G185" s="14">
        <v>18</v>
      </c>
      <c r="H185" s="11" t="s">
        <v>73</v>
      </c>
      <c r="I185" s="11" t="s">
        <v>282</v>
      </c>
      <c r="J185" s="11" t="s">
        <v>283</v>
      </c>
      <c r="K185" s="11" t="s">
        <v>447</v>
      </c>
      <c r="L185" s="11" t="s">
        <v>1000</v>
      </c>
      <c r="M185" s="5" t="s">
        <v>1001</v>
      </c>
      <c r="N185" s="5" t="s">
        <v>1002</v>
      </c>
      <c r="O185" s="5" t="s">
        <v>1003</v>
      </c>
      <c r="P185" s="5" t="s">
        <v>452</v>
      </c>
      <c r="Q185" s="11" t="s">
        <v>82</v>
      </c>
      <c r="R185" s="11" t="s">
        <v>82</v>
      </c>
      <c r="S185" s="11" t="s">
        <v>82</v>
      </c>
      <c r="T185" s="11" t="s">
        <v>287</v>
      </c>
      <c r="U185" s="5" t="s">
        <v>1004</v>
      </c>
      <c r="V185" s="11" t="s">
        <v>454</v>
      </c>
      <c r="W185" s="11" t="s">
        <v>455</v>
      </c>
      <c r="X185" s="11" t="s">
        <v>456</v>
      </c>
      <c r="Y185" s="11" t="s">
        <v>289</v>
      </c>
      <c r="Z185" s="11" t="s">
        <v>1005</v>
      </c>
    </row>
    <row r="186" spans="1:26">
      <c r="A186" s="11" t="s">
        <v>458</v>
      </c>
      <c r="B186" s="11" t="s">
        <v>281</v>
      </c>
      <c r="C186" s="12">
        <v>2831</v>
      </c>
      <c r="D186" s="12">
        <v>2484</v>
      </c>
      <c r="E186" s="11" t="s">
        <v>71</v>
      </c>
      <c r="F186" s="13" t="s">
        <v>459</v>
      </c>
      <c r="G186" s="14">
        <v>22</v>
      </c>
      <c r="H186" s="11" t="s">
        <v>73</v>
      </c>
      <c r="I186" s="11" t="s">
        <v>282</v>
      </c>
      <c r="J186" s="11" t="s">
        <v>283</v>
      </c>
      <c r="K186" s="11" t="s">
        <v>447</v>
      </c>
      <c r="L186" s="11" t="s">
        <v>1000</v>
      </c>
      <c r="M186" s="5" t="s">
        <v>1001</v>
      </c>
      <c r="N186" s="5" t="s">
        <v>1006</v>
      </c>
      <c r="O186" s="5" t="s">
        <v>1007</v>
      </c>
      <c r="P186" s="5" t="s">
        <v>462</v>
      </c>
      <c r="Q186" s="11" t="s">
        <v>82</v>
      </c>
      <c r="R186" s="11" t="s">
        <v>82</v>
      </c>
      <c r="S186" s="11" t="s">
        <v>82</v>
      </c>
      <c r="T186" s="11" t="s">
        <v>287</v>
      </c>
      <c r="U186" s="5" t="s">
        <v>1004</v>
      </c>
      <c r="V186" s="11" t="s">
        <v>463</v>
      </c>
      <c r="W186" s="11" t="s">
        <v>464</v>
      </c>
      <c r="X186" s="11" t="s">
        <v>465</v>
      </c>
      <c r="Y186" s="11" t="s">
        <v>289</v>
      </c>
      <c r="Z186" s="11" t="s">
        <v>1008</v>
      </c>
    </row>
    <row r="187" spans="1:26">
      <c r="A187" s="11" t="s">
        <v>467</v>
      </c>
      <c r="B187" s="11" t="s">
        <v>281</v>
      </c>
      <c r="C187" s="12">
        <v>2966</v>
      </c>
      <c r="D187" s="12">
        <v>2611</v>
      </c>
      <c r="E187" s="11" t="s">
        <v>71</v>
      </c>
      <c r="F187" s="13" t="s">
        <v>468</v>
      </c>
      <c r="G187" s="14">
        <v>22</v>
      </c>
      <c r="H187" s="11" t="s">
        <v>73</v>
      </c>
      <c r="I187" s="11" t="s">
        <v>282</v>
      </c>
      <c r="J187" s="11" t="s">
        <v>283</v>
      </c>
      <c r="K187" s="11" t="s">
        <v>447</v>
      </c>
      <c r="L187" s="11" t="s">
        <v>1000</v>
      </c>
      <c r="M187" s="5" t="s">
        <v>1001</v>
      </c>
      <c r="N187" s="5" t="s">
        <v>1009</v>
      </c>
      <c r="O187" s="5" t="s">
        <v>1010</v>
      </c>
      <c r="P187" s="5" t="s">
        <v>471</v>
      </c>
      <c r="Q187" s="11" t="s">
        <v>82</v>
      </c>
      <c r="R187" s="11" t="s">
        <v>82</v>
      </c>
      <c r="S187" s="11" t="s">
        <v>82</v>
      </c>
      <c r="T187" s="11" t="s">
        <v>287</v>
      </c>
      <c r="U187" s="5" t="s">
        <v>288</v>
      </c>
      <c r="V187" s="11" t="s">
        <v>472</v>
      </c>
      <c r="W187" s="11" t="s">
        <v>473</v>
      </c>
      <c r="X187" s="11" t="s">
        <v>474</v>
      </c>
      <c r="Y187" s="11" t="s">
        <v>289</v>
      </c>
      <c r="Z187" s="11" t="s">
        <v>1011</v>
      </c>
    </row>
    <row r="188" spans="1:26">
      <c r="A188" s="11" t="s">
        <v>476</v>
      </c>
      <c r="B188" s="11" t="s">
        <v>281</v>
      </c>
      <c r="C188" s="17">
        <v>3105</v>
      </c>
      <c r="D188" s="17">
        <v>2798</v>
      </c>
      <c r="E188" s="11" t="s">
        <v>71</v>
      </c>
      <c r="F188" s="13" t="s">
        <v>477</v>
      </c>
      <c r="G188" s="18" t="s">
        <v>1012</v>
      </c>
      <c r="H188" s="11" t="s">
        <v>73</v>
      </c>
      <c r="I188" s="11" t="s">
        <v>282</v>
      </c>
      <c r="J188" s="11" t="s">
        <v>283</v>
      </c>
      <c r="K188" s="11" t="s">
        <v>479</v>
      </c>
      <c r="L188" s="11" t="s">
        <v>284</v>
      </c>
      <c r="M188" s="5" t="s">
        <v>1013</v>
      </c>
      <c r="N188" s="5" t="s">
        <v>1014</v>
      </c>
      <c r="O188" s="5" t="s">
        <v>1015</v>
      </c>
      <c r="P188" s="5" t="s">
        <v>483</v>
      </c>
      <c r="Q188" s="11" t="s">
        <v>82</v>
      </c>
      <c r="R188" s="11" t="s">
        <v>82</v>
      </c>
      <c r="S188" s="11" t="s">
        <v>82</v>
      </c>
      <c r="T188" s="11" t="s">
        <v>287</v>
      </c>
      <c r="U188" s="5" t="s">
        <v>288</v>
      </c>
      <c r="V188" s="11" t="s">
        <v>484</v>
      </c>
      <c r="W188" s="11" t="s">
        <v>86</v>
      </c>
      <c r="X188" s="11" t="s">
        <v>87</v>
      </c>
      <c r="Y188" s="11" t="s">
        <v>289</v>
      </c>
      <c r="Z188" s="11" t="s">
        <v>1016</v>
      </c>
    </row>
    <row r="189" spans="1:26">
      <c r="A189" s="11" t="s">
        <v>486</v>
      </c>
      <c r="B189" s="11" t="s">
        <v>281</v>
      </c>
      <c r="C189" s="12">
        <v>3248</v>
      </c>
      <c r="D189" s="12">
        <v>2851</v>
      </c>
      <c r="E189" s="11" t="s">
        <v>71</v>
      </c>
      <c r="F189" s="13" t="s">
        <v>487</v>
      </c>
      <c r="G189" s="14">
        <v>17</v>
      </c>
      <c r="H189" s="11" t="s">
        <v>73</v>
      </c>
      <c r="I189" s="11" t="s">
        <v>282</v>
      </c>
      <c r="J189" s="11" t="s">
        <v>283</v>
      </c>
      <c r="K189" s="11" t="s">
        <v>447</v>
      </c>
      <c r="L189" s="11" t="s">
        <v>1017</v>
      </c>
      <c r="M189" s="5" t="s">
        <v>1001</v>
      </c>
      <c r="N189" s="5" t="s">
        <v>1018</v>
      </c>
      <c r="O189" s="5" t="s">
        <v>526</v>
      </c>
      <c r="P189" s="5" t="s">
        <v>491</v>
      </c>
      <c r="Q189" s="11" t="s">
        <v>82</v>
      </c>
      <c r="R189" s="11" t="s">
        <v>82</v>
      </c>
      <c r="S189" s="11" t="s">
        <v>82</v>
      </c>
      <c r="T189" s="11" t="s">
        <v>287</v>
      </c>
      <c r="U189" s="5" t="s">
        <v>288</v>
      </c>
      <c r="V189" s="11" t="s">
        <v>492</v>
      </c>
      <c r="W189" s="11" t="s">
        <v>493</v>
      </c>
      <c r="X189" s="11" t="s">
        <v>494</v>
      </c>
      <c r="Y189" s="11" t="s">
        <v>289</v>
      </c>
      <c r="Z189" s="11" t="s">
        <v>1019</v>
      </c>
    </row>
    <row r="190" spans="1:26">
      <c r="A190" s="11" t="s">
        <v>496</v>
      </c>
      <c r="B190" s="11" t="s">
        <v>281</v>
      </c>
      <c r="C190" s="12">
        <v>3256</v>
      </c>
      <c r="D190" s="12">
        <v>2831</v>
      </c>
      <c r="E190" s="11" t="s">
        <v>71</v>
      </c>
      <c r="F190" s="13" t="s">
        <v>497</v>
      </c>
      <c r="G190" s="14">
        <v>20</v>
      </c>
      <c r="H190" s="11" t="s">
        <v>73</v>
      </c>
      <c r="I190" s="11" t="s">
        <v>282</v>
      </c>
      <c r="J190" s="11" t="s">
        <v>283</v>
      </c>
      <c r="K190" s="11" t="s">
        <v>447</v>
      </c>
      <c r="L190" s="11" t="s">
        <v>1017</v>
      </c>
      <c r="M190" s="5" t="s">
        <v>1001</v>
      </c>
      <c r="N190" s="5" t="s">
        <v>1020</v>
      </c>
      <c r="O190" s="5" t="s">
        <v>1021</v>
      </c>
      <c r="P190" s="5" t="s">
        <v>500</v>
      </c>
      <c r="Q190" s="11" t="s">
        <v>82</v>
      </c>
      <c r="R190" s="11" t="s">
        <v>82</v>
      </c>
      <c r="S190" s="11" t="s">
        <v>82</v>
      </c>
      <c r="T190" s="11" t="s">
        <v>287</v>
      </c>
      <c r="U190" s="5" t="s">
        <v>288</v>
      </c>
      <c r="V190" s="11" t="s">
        <v>501</v>
      </c>
      <c r="W190" s="11" t="s">
        <v>502</v>
      </c>
      <c r="X190" s="11" t="s">
        <v>503</v>
      </c>
      <c r="Y190" s="11" t="s">
        <v>289</v>
      </c>
      <c r="Z190" s="11" t="s">
        <v>1022</v>
      </c>
    </row>
    <row r="191" spans="1:26">
      <c r="A191" s="11" t="s">
        <v>505</v>
      </c>
      <c r="B191" s="11" t="s">
        <v>281</v>
      </c>
      <c r="C191" s="12">
        <v>3297</v>
      </c>
      <c r="D191" s="12">
        <v>2966</v>
      </c>
      <c r="E191" s="11" t="s">
        <v>71</v>
      </c>
      <c r="F191" s="13" t="s">
        <v>506</v>
      </c>
      <c r="G191" s="14">
        <v>20</v>
      </c>
      <c r="H191" s="11" t="s">
        <v>73</v>
      </c>
      <c r="I191" s="11" t="s">
        <v>282</v>
      </c>
      <c r="J191" s="11" t="s">
        <v>283</v>
      </c>
      <c r="K191" s="11" t="s">
        <v>447</v>
      </c>
      <c r="L191" s="11" t="s">
        <v>1017</v>
      </c>
      <c r="M191" s="5" t="s">
        <v>1001</v>
      </c>
      <c r="N191" s="5" t="s">
        <v>1023</v>
      </c>
      <c r="O191" s="5" t="s">
        <v>1024</v>
      </c>
      <c r="P191" s="5" t="s">
        <v>509</v>
      </c>
      <c r="Q191" s="11" t="s">
        <v>82</v>
      </c>
      <c r="R191" s="11" t="s">
        <v>82</v>
      </c>
      <c r="S191" s="11" t="s">
        <v>82</v>
      </c>
      <c r="T191" s="11" t="s">
        <v>287</v>
      </c>
      <c r="U191" s="5" t="s">
        <v>288</v>
      </c>
      <c r="V191" s="11" t="s">
        <v>510</v>
      </c>
      <c r="W191" s="11" t="s">
        <v>511</v>
      </c>
      <c r="X191" s="11" t="s">
        <v>512</v>
      </c>
      <c r="Y191" s="11" t="s">
        <v>289</v>
      </c>
      <c r="Z191" s="11" t="s">
        <v>1025</v>
      </c>
    </row>
    <row r="192" spans="1:26">
      <c r="A192" s="11" t="s">
        <v>514</v>
      </c>
      <c r="B192" s="11" t="s">
        <v>281</v>
      </c>
      <c r="C192" s="17">
        <v>2581</v>
      </c>
      <c r="D192" s="17">
        <v>3105</v>
      </c>
      <c r="E192" s="11" t="s">
        <v>71</v>
      </c>
      <c r="F192" s="13" t="s">
        <v>515</v>
      </c>
      <c r="G192" s="18" t="s">
        <v>1026</v>
      </c>
      <c r="H192" s="11" t="s">
        <v>73</v>
      </c>
      <c r="I192" s="11" t="s">
        <v>282</v>
      </c>
      <c r="J192" s="11" t="s">
        <v>283</v>
      </c>
      <c r="K192" s="11" t="s">
        <v>479</v>
      </c>
      <c r="L192" s="11" t="s">
        <v>284</v>
      </c>
      <c r="M192" s="5" t="s">
        <v>1027</v>
      </c>
      <c r="N192" s="5" t="s">
        <v>1028</v>
      </c>
      <c r="O192" s="5" t="s">
        <v>1015</v>
      </c>
      <c r="P192" s="5" t="s">
        <v>520</v>
      </c>
      <c r="Q192" s="11" t="s">
        <v>82</v>
      </c>
      <c r="R192" s="11" t="s">
        <v>82</v>
      </c>
      <c r="S192" s="11" t="s">
        <v>82</v>
      </c>
      <c r="T192" s="11" t="s">
        <v>287</v>
      </c>
      <c r="U192" s="5" t="s">
        <v>288</v>
      </c>
      <c r="V192" s="11" t="s">
        <v>521</v>
      </c>
      <c r="W192" s="11" t="s">
        <v>96</v>
      </c>
      <c r="X192" s="11" t="s">
        <v>97</v>
      </c>
      <c r="Y192" s="11" t="s">
        <v>289</v>
      </c>
      <c r="Z192" s="11" t="s">
        <v>1029</v>
      </c>
    </row>
    <row r="193" spans="1:26">
      <c r="A193" s="11" t="s">
        <v>523</v>
      </c>
      <c r="B193" s="11" t="s">
        <v>281</v>
      </c>
      <c r="C193" s="12">
        <v>3650</v>
      </c>
      <c r="D193" s="12">
        <v>3248</v>
      </c>
      <c r="E193" s="11" t="s">
        <v>71</v>
      </c>
      <c r="F193" s="13" t="s">
        <v>524</v>
      </c>
      <c r="G193" s="14">
        <v>17</v>
      </c>
      <c r="H193" s="11" t="s">
        <v>73</v>
      </c>
      <c r="I193" s="11" t="s">
        <v>282</v>
      </c>
      <c r="J193" s="11" t="s">
        <v>283</v>
      </c>
      <c r="K193" s="11" t="s">
        <v>447</v>
      </c>
      <c r="L193" s="11" t="s">
        <v>1017</v>
      </c>
      <c r="M193" s="5" t="s">
        <v>1001</v>
      </c>
      <c r="N193" s="5" t="s">
        <v>1030</v>
      </c>
      <c r="O193" s="5" t="s">
        <v>526</v>
      </c>
      <c r="P193" s="5" t="s">
        <v>527</v>
      </c>
      <c r="Q193" s="11" t="s">
        <v>82</v>
      </c>
      <c r="R193" s="11" t="s">
        <v>82</v>
      </c>
      <c r="S193" s="11" t="s">
        <v>82</v>
      </c>
      <c r="T193" s="11" t="s">
        <v>287</v>
      </c>
      <c r="U193" s="5" t="s">
        <v>288</v>
      </c>
      <c r="V193" s="11" t="s">
        <v>528</v>
      </c>
      <c r="W193" s="11" t="s">
        <v>529</v>
      </c>
      <c r="X193" s="11" t="s">
        <v>530</v>
      </c>
      <c r="Y193" s="11" t="s">
        <v>289</v>
      </c>
      <c r="Z193" s="11" t="s">
        <v>1031</v>
      </c>
    </row>
    <row r="194" spans="1:26">
      <c r="A194" s="11" t="s">
        <v>532</v>
      </c>
      <c r="B194" s="11" t="s">
        <v>281</v>
      </c>
      <c r="C194" s="12">
        <v>4310</v>
      </c>
      <c r="D194" s="12">
        <v>3256</v>
      </c>
      <c r="E194" s="11" t="s">
        <v>71</v>
      </c>
      <c r="F194" s="13" t="s">
        <v>533</v>
      </c>
      <c r="G194" s="14">
        <v>19</v>
      </c>
      <c r="H194" s="11" t="s">
        <v>73</v>
      </c>
      <c r="I194" s="11" t="s">
        <v>282</v>
      </c>
      <c r="J194" s="11" t="s">
        <v>283</v>
      </c>
      <c r="K194" s="11" t="s">
        <v>447</v>
      </c>
      <c r="L194" s="11" t="s">
        <v>1017</v>
      </c>
      <c r="M194" s="5" t="s">
        <v>1001</v>
      </c>
      <c r="N194" s="5" t="s">
        <v>1032</v>
      </c>
      <c r="O194" s="5" t="s">
        <v>1033</v>
      </c>
      <c r="P194" s="5" t="s">
        <v>536</v>
      </c>
      <c r="Q194" s="11" t="s">
        <v>82</v>
      </c>
      <c r="R194" s="11" t="s">
        <v>82</v>
      </c>
      <c r="S194" s="11" t="s">
        <v>82</v>
      </c>
      <c r="T194" s="11" t="s">
        <v>287</v>
      </c>
      <c r="U194" s="5" t="s">
        <v>288</v>
      </c>
      <c r="V194" s="11" t="s">
        <v>537</v>
      </c>
      <c r="W194" s="11" t="s">
        <v>538</v>
      </c>
      <c r="X194" s="11" t="s">
        <v>539</v>
      </c>
      <c r="Y194" s="11" t="s">
        <v>289</v>
      </c>
      <c r="Z194" s="11" t="s">
        <v>1034</v>
      </c>
    </row>
    <row r="195" spans="1:26">
      <c r="A195" s="11" t="s">
        <v>541</v>
      </c>
      <c r="B195" s="11" t="s">
        <v>281</v>
      </c>
      <c r="C195" s="12">
        <v>3953</v>
      </c>
      <c r="D195" s="12">
        <v>3297</v>
      </c>
      <c r="E195" s="11" t="s">
        <v>71</v>
      </c>
      <c r="F195" s="13" t="s">
        <v>542</v>
      </c>
      <c r="G195" s="14">
        <v>19</v>
      </c>
      <c r="H195" s="11" t="s">
        <v>73</v>
      </c>
      <c r="I195" s="11" t="s">
        <v>282</v>
      </c>
      <c r="J195" s="11" t="s">
        <v>283</v>
      </c>
      <c r="K195" s="11" t="s">
        <v>447</v>
      </c>
      <c r="L195" s="11" t="s">
        <v>1017</v>
      </c>
      <c r="M195" s="5" t="s">
        <v>1001</v>
      </c>
      <c r="N195" s="5" t="s">
        <v>1035</v>
      </c>
      <c r="O195" s="5" t="s">
        <v>1036</v>
      </c>
      <c r="P195" s="5" t="s">
        <v>545</v>
      </c>
      <c r="Q195" s="11" t="s">
        <v>82</v>
      </c>
      <c r="R195" s="11" t="s">
        <v>82</v>
      </c>
      <c r="S195" s="11" t="s">
        <v>82</v>
      </c>
      <c r="T195" s="11" t="s">
        <v>287</v>
      </c>
      <c r="U195" s="5" t="s">
        <v>288</v>
      </c>
      <c r="V195" s="11" t="s">
        <v>546</v>
      </c>
      <c r="W195" s="11" t="s">
        <v>547</v>
      </c>
      <c r="X195" s="11" t="s">
        <v>548</v>
      </c>
      <c r="Y195" s="11" t="s">
        <v>289</v>
      </c>
      <c r="Z195" s="11" t="s">
        <v>1037</v>
      </c>
    </row>
    <row r="196" spans="1:26">
      <c r="A196" s="11" t="s">
        <v>550</v>
      </c>
      <c r="B196" s="11" t="s">
        <v>281</v>
      </c>
      <c r="C196" s="17">
        <v>4457</v>
      </c>
      <c r="D196" s="17">
        <v>2581</v>
      </c>
      <c r="E196" s="11" t="s">
        <v>71</v>
      </c>
      <c r="F196" s="13" t="s">
        <v>551</v>
      </c>
      <c r="G196" s="18" t="s">
        <v>1038</v>
      </c>
      <c r="H196" s="11" t="s">
        <v>73</v>
      </c>
      <c r="I196" s="11" t="s">
        <v>282</v>
      </c>
      <c r="J196" s="11" t="s">
        <v>283</v>
      </c>
      <c r="K196" s="11" t="s">
        <v>479</v>
      </c>
      <c r="L196" s="11" t="s">
        <v>284</v>
      </c>
      <c r="M196" s="5" t="s">
        <v>1039</v>
      </c>
      <c r="N196" s="5" t="s">
        <v>1040</v>
      </c>
      <c r="O196" s="5" t="s">
        <v>1015</v>
      </c>
      <c r="P196" s="5" t="s">
        <v>556</v>
      </c>
      <c r="Q196" s="11" t="s">
        <v>82</v>
      </c>
      <c r="R196" s="11" t="s">
        <v>82</v>
      </c>
      <c r="S196" s="11" t="s">
        <v>82</v>
      </c>
      <c r="T196" s="11" t="s">
        <v>287</v>
      </c>
      <c r="U196" s="5" t="s">
        <v>288</v>
      </c>
      <c r="V196" s="11" t="s">
        <v>557</v>
      </c>
      <c r="W196" s="11" t="s">
        <v>105</v>
      </c>
      <c r="X196" s="11" t="s">
        <v>106</v>
      </c>
      <c r="Y196" s="11" t="s">
        <v>289</v>
      </c>
      <c r="Z196" s="11" t="s">
        <v>1041</v>
      </c>
    </row>
    <row r="197" spans="1:26">
      <c r="A197" s="11" t="s">
        <v>445</v>
      </c>
      <c r="B197" s="11" t="s">
        <v>295</v>
      </c>
      <c r="C197" s="12">
        <v>6550</v>
      </c>
      <c r="D197" s="12">
        <v>6030</v>
      </c>
      <c r="E197" s="11" t="s">
        <v>71</v>
      </c>
      <c r="F197" s="13" t="s">
        <v>446</v>
      </c>
      <c r="G197" s="14">
        <v>18</v>
      </c>
      <c r="H197" s="11" t="s">
        <v>73</v>
      </c>
      <c r="I197" s="11" t="s">
        <v>282</v>
      </c>
      <c r="J197" s="11" t="s">
        <v>296</v>
      </c>
      <c r="K197" s="11" t="s">
        <v>447</v>
      </c>
      <c r="L197" s="11" t="s">
        <v>1000</v>
      </c>
      <c r="M197" s="5" t="s">
        <v>1042</v>
      </c>
      <c r="N197" s="5" t="s">
        <v>1043</v>
      </c>
      <c r="O197" s="5" t="s">
        <v>1003</v>
      </c>
      <c r="P197" s="5" t="s">
        <v>452</v>
      </c>
      <c r="Q197" s="11" t="s">
        <v>82</v>
      </c>
      <c r="R197" s="11" t="s">
        <v>82</v>
      </c>
      <c r="S197" s="11" t="s">
        <v>82</v>
      </c>
      <c r="T197" s="11" t="s">
        <v>299</v>
      </c>
      <c r="U197" s="5" t="s">
        <v>1044</v>
      </c>
      <c r="V197" s="11" t="s">
        <v>454</v>
      </c>
      <c r="W197" s="11" t="s">
        <v>455</v>
      </c>
      <c r="X197" s="11" t="s">
        <v>456</v>
      </c>
      <c r="Y197" s="11" t="s">
        <v>301</v>
      </c>
      <c r="Z197" s="11" t="s">
        <v>1045</v>
      </c>
    </row>
    <row r="198" spans="1:26">
      <c r="A198" s="11" t="s">
        <v>458</v>
      </c>
      <c r="B198" s="11" t="s">
        <v>295</v>
      </c>
      <c r="C198" s="12">
        <v>6106</v>
      </c>
      <c r="D198" s="12">
        <v>5629</v>
      </c>
      <c r="E198" s="11" t="s">
        <v>71</v>
      </c>
      <c r="F198" s="13" t="s">
        <v>459</v>
      </c>
      <c r="G198" s="14">
        <v>22</v>
      </c>
      <c r="H198" s="11" t="s">
        <v>73</v>
      </c>
      <c r="I198" s="11" t="s">
        <v>282</v>
      </c>
      <c r="J198" s="11" t="s">
        <v>296</v>
      </c>
      <c r="K198" s="11" t="s">
        <v>447</v>
      </c>
      <c r="L198" s="11" t="s">
        <v>1000</v>
      </c>
      <c r="M198" s="5" t="s">
        <v>1042</v>
      </c>
      <c r="N198" s="5" t="s">
        <v>1046</v>
      </c>
      <c r="O198" s="5" t="s">
        <v>1007</v>
      </c>
      <c r="P198" s="5" t="s">
        <v>462</v>
      </c>
      <c r="Q198" s="11" t="s">
        <v>82</v>
      </c>
      <c r="R198" s="11" t="s">
        <v>82</v>
      </c>
      <c r="S198" s="11" t="s">
        <v>82</v>
      </c>
      <c r="T198" s="11" t="s">
        <v>299</v>
      </c>
      <c r="U198" s="5" t="s">
        <v>1044</v>
      </c>
      <c r="V198" s="11" t="s">
        <v>463</v>
      </c>
      <c r="W198" s="11" t="s">
        <v>464</v>
      </c>
      <c r="X198" s="11" t="s">
        <v>465</v>
      </c>
      <c r="Y198" s="11" t="s">
        <v>301</v>
      </c>
      <c r="Z198" s="11" t="s">
        <v>1047</v>
      </c>
    </row>
    <row r="199" spans="1:26">
      <c r="A199" s="11" t="s">
        <v>467</v>
      </c>
      <c r="B199" s="11" t="s">
        <v>295</v>
      </c>
      <c r="C199" s="12">
        <v>6174</v>
      </c>
      <c r="D199" s="12">
        <v>5863</v>
      </c>
      <c r="E199" s="11" t="s">
        <v>71</v>
      </c>
      <c r="F199" s="13" t="s">
        <v>468</v>
      </c>
      <c r="G199" s="14">
        <v>22</v>
      </c>
      <c r="H199" s="11" t="s">
        <v>73</v>
      </c>
      <c r="I199" s="11" t="s">
        <v>282</v>
      </c>
      <c r="J199" s="11" t="s">
        <v>296</v>
      </c>
      <c r="K199" s="11" t="s">
        <v>447</v>
      </c>
      <c r="L199" s="11" t="s">
        <v>1000</v>
      </c>
      <c r="M199" s="5" t="s">
        <v>1042</v>
      </c>
      <c r="N199" s="5" t="s">
        <v>1048</v>
      </c>
      <c r="O199" s="5" t="s">
        <v>1010</v>
      </c>
      <c r="P199" s="5" t="s">
        <v>471</v>
      </c>
      <c r="Q199" s="11" t="s">
        <v>82</v>
      </c>
      <c r="R199" s="11" t="s">
        <v>82</v>
      </c>
      <c r="S199" s="11" t="s">
        <v>82</v>
      </c>
      <c r="T199" s="11" t="s">
        <v>299</v>
      </c>
      <c r="U199" s="5" t="s">
        <v>300</v>
      </c>
      <c r="V199" s="11" t="s">
        <v>472</v>
      </c>
      <c r="W199" s="11" t="s">
        <v>473</v>
      </c>
      <c r="X199" s="11" t="s">
        <v>474</v>
      </c>
      <c r="Y199" s="11" t="s">
        <v>301</v>
      </c>
      <c r="Z199" s="11" t="s">
        <v>1049</v>
      </c>
    </row>
    <row r="200" spans="1:26">
      <c r="A200" s="11" t="s">
        <v>476</v>
      </c>
      <c r="B200" s="11" t="s">
        <v>295</v>
      </c>
      <c r="C200" s="17">
        <v>6593</v>
      </c>
      <c r="D200" s="17">
        <v>6447</v>
      </c>
      <c r="E200" s="11" t="s">
        <v>71</v>
      </c>
      <c r="F200" s="13" t="s">
        <v>477</v>
      </c>
      <c r="G200" s="18" t="s">
        <v>1012</v>
      </c>
      <c r="H200" s="11" t="s">
        <v>73</v>
      </c>
      <c r="I200" s="11" t="s">
        <v>282</v>
      </c>
      <c r="J200" s="11" t="s">
        <v>296</v>
      </c>
      <c r="K200" s="11" t="s">
        <v>479</v>
      </c>
      <c r="L200" s="11" t="s">
        <v>284</v>
      </c>
      <c r="M200" s="5" t="s">
        <v>1050</v>
      </c>
      <c r="N200" s="5" t="s">
        <v>1051</v>
      </c>
      <c r="O200" s="5" t="s">
        <v>1015</v>
      </c>
      <c r="P200" s="5" t="s">
        <v>483</v>
      </c>
      <c r="Q200" s="11" t="s">
        <v>82</v>
      </c>
      <c r="R200" s="11" t="s">
        <v>82</v>
      </c>
      <c r="S200" s="11" t="s">
        <v>82</v>
      </c>
      <c r="T200" s="11" t="s">
        <v>299</v>
      </c>
      <c r="U200" s="5" t="s">
        <v>300</v>
      </c>
      <c r="V200" s="11" t="s">
        <v>484</v>
      </c>
      <c r="W200" s="11" t="s">
        <v>86</v>
      </c>
      <c r="X200" s="11" t="s">
        <v>87</v>
      </c>
      <c r="Y200" s="11" t="s">
        <v>301</v>
      </c>
      <c r="Z200" s="11" t="s">
        <v>1052</v>
      </c>
    </row>
    <row r="201" spans="1:26">
      <c r="A201" s="11" t="s">
        <v>486</v>
      </c>
      <c r="B201" s="11" t="s">
        <v>295</v>
      </c>
      <c r="C201" s="12">
        <v>6842</v>
      </c>
      <c r="D201" s="12">
        <v>6550</v>
      </c>
      <c r="E201" s="11" t="s">
        <v>71</v>
      </c>
      <c r="F201" s="13" t="s">
        <v>487</v>
      </c>
      <c r="G201" s="14">
        <v>17</v>
      </c>
      <c r="H201" s="11" t="s">
        <v>73</v>
      </c>
      <c r="I201" s="11" t="s">
        <v>282</v>
      </c>
      <c r="J201" s="11" t="s">
        <v>296</v>
      </c>
      <c r="K201" s="11" t="s">
        <v>447</v>
      </c>
      <c r="L201" s="11" t="s">
        <v>1017</v>
      </c>
      <c r="M201" s="5" t="s">
        <v>1042</v>
      </c>
      <c r="N201" s="5" t="s">
        <v>1053</v>
      </c>
      <c r="O201" s="5" t="s">
        <v>526</v>
      </c>
      <c r="P201" s="5" t="s">
        <v>491</v>
      </c>
      <c r="Q201" s="11" t="s">
        <v>82</v>
      </c>
      <c r="R201" s="11" t="s">
        <v>82</v>
      </c>
      <c r="S201" s="11" t="s">
        <v>82</v>
      </c>
      <c r="T201" s="11" t="s">
        <v>299</v>
      </c>
      <c r="U201" s="5" t="s">
        <v>300</v>
      </c>
      <c r="V201" s="11" t="s">
        <v>492</v>
      </c>
      <c r="W201" s="11" t="s">
        <v>493</v>
      </c>
      <c r="X201" s="11" t="s">
        <v>494</v>
      </c>
      <c r="Y201" s="11" t="s">
        <v>301</v>
      </c>
      <c r="Z201" s="11" t="s">
        <v>1054</v>
      </c>
    </row>
    <row r="202" spans="1:26">
      <c r="A202" s="11" t="s">
        <v>496</v>
      </c>
      <c r="B202" s="11" t="s">
        <v>295</v>
      </c>
      <c r="C202" s="12">
        <v>6578</v>
      </c>
      <c r="D202" s="12">
        <v>6106</v>
      </c>
      <c r="E202" s="11" t="s">
        <v>71</v>
      </c>
      <c r="F202" s="13" t="s">
        <v>497</v>
      </c>
      <c r="G202" s="14">
        <v>20</v>
      </c>
      <c r="H202" s="11" t="s">
        <v>73</v>
      </c>
      <c r="I202" s="11" t="s">
        <v>282</v>
      </c>
      <c r="J202" s="11" t="s">
        <v>296</v>
      </c>
      <c r="K202" s="11" t="s">
        <v>447</v>
      </c>
      <c r="L202" s="11" t="s">
        <v>1017</v>
      </c>
      <c r="M202" s="5" t="s">
        <v>1042</v>
      </c>
      <c r="N202" s="5" t="s">
        <v>1055</v>
      </c>
      <c r="O202" s="5" t="s">
        <v>1021</v>
      </c>
      <c r="P202" s="5" t="s">
        <v>500</v>
      </c>
      <c r="Q202" s="11" t="s">
        <v>82</v>
      </c>
      <c r="R202" s="11" t="s">
        <v>82</v>
      </c>
      <c r="S202" s="11" t="s">
        <v>82</v>
      </c>
      <c r="T202" s="11" t="s">
        <v>299</v>
      </c>
      <c r="U202" s="5" t="s">
        <v>300</v>
      </c>
      <c r="V202" s="11" t="s">
        <v>501</v>
      </c>
      <c r="W202" s="11" t="s">
        <v>502</v>
      </c>
      <c r="X202" s="11" t="s">
        <v>503</v>
      </c>
      <c r="Y202" s="11" t="s">
        <v>301</v>
      </c>
      <c r="Z202" s="11" t="s">
        <v>1056</v>
      </c>
    </row>
    <row r="203" spans="1:26">
      <c r="A203" s="11" t="s">
        <v>505</v>
      </c>
      <c r="B203" s="11" t="s">
        <v>295</v>
      </c>
      <c r="C203" s="12">
        <v>6311</v>
      </c>
      <c r="D203" s="12">
        <v>6174</v>
      </c>
      <c r="E203" s="11" t="s">
        <v>71</v>
      </c>
      <c r="F203" s="13" t="s">
        <v>506</v>
      </c>
      <c r="G203" s="14">
        <v>20</v>
      </c>
      <c r="H203" s="11" t="s">
        <v>73</v>
      </c>
      <c r="I203" s="11" t="s">
        <v>282</v>
      </c>
      <c r="J203" s="11" t="s">
        <v>296</v>
      </c>
      <c r="K203" s="11" t="s">
        <v>447</v>
      </c>
      <c r="L203" s="11" t="s">
        <v>1017</v>
      </c>
      <c r="M203" s="5" t="s">
        <v>1042</v>
      </c>
      <c r="N203" s="5" t="s">
        <v>1057</v>
      </c>
      <c r="O203" s="5" t="s">
        <v>1024</v>
      </c>
      <c r="P203" s="5" t="s">
        <v>509</v>
      </c>
      <c r="Q203" s="11" t="s">
        <v>82</v>
      </c>
      <c r="R203" s="11" t="s">
        <v>82</v>
      </c>
      <c r="S203" s="11" t="s">
        <v>82</v>
      </c>
      <c r="T203" s="11" t="s">
        <v>299</v>
      </c>
      <c r="U203" s="5" t="s">
        <v>300</v>
      </c>
      <c r="V203" s="11" t="s">
        <v>510</v>
      </c>
      <c r="W203" s="11" t="s">
        <v>511</v>
      </c>
      <c r="X203" s="11" t="s">
        <v>512</v>
      </c>
      <c r="Y203" s="11" t="s">
        <v>301</v>
      </c>
      <c r="Z203" s="11" t="s">
        <v>1058</v>
      </c>
    </row>
    <row r="204" spans="1:26">
      <c r="A204" s="11" t="s">
        <v>514</v>
      </c>
      <c r="B204" s="11" t="s">
        <v>295</v>
      </c>
      <c r="C204" s="17">
        <v>3425</v>
      </c>
      <c r="D204" s="17">
        <v>6593</v>
      </c>
      <c r="E204" s="11" t="s">
        <v>71</v>
      </c>
      <c r="F204" s="13" t="s">
        <v>515</v>
      </c>
      <c r="G204" s="18" t="s">
        <v>1026</v>
      </c>
      <c r="H204" s="11" t="s">
        <v>73</v>
      </c>
      <c r="I204" s="11" t="s">
        <v>282</v>
      </c>
      <c r="J204" s="11" t="s">
        <v>296</v>
      </c>
      <c r="K204" s="11" t="s">
        <v>479</v>
      </c>
      <c r="L204" s="11" t="s">
        <v>284</v>
      </c>
      <c r="M204" s="5" t="s">
        <v>1059</v>
      </c>
      <c r="N204" s="5" t="s">
        <v>1060</v>
      </c>
      <c r="O204" s="5" t="s">
        <v>1015</v>
      </c>
      <c r="P204" s="5" t="s">
        <v>520</v>
      </c>
      <c r="Q204" s="11" t="s">
        <v>82</v>
      </c>
      <c r="R204" s="11" t="s">
        <v>82</v>
      </c>
      <c r="S204" s="11" t="s">
        <v>82</v>
      </c>
      <c r="T204" s="11" t="s">
        <v>299</v>
      </c>
      <c r="U204" s="5" t="s">
        <v>300</v>
      </c>
      <c r="V204" s="11" t="s">
        <v>521</v>
      </c>
      <c r="W204" s="11" t="s">
        <v>96</v>
      </c>
      <c r="X204" s="11" t="s">
        <v>97</v>
      </c>
      <c r="Y204" s="11" t="s">
        <v>301</v>
      </c>
      <c r="Z204" s="11" t="s">
        <v>1061</v>
      </c>
    </row>
    <row r="205" spans="1:26">
      <c r="A205" s="11" t="s">
        <v>523</v>
      </c>
      <c r="B205" s="11" t="s">
        <v>295</v>
      </c>
      <c r="C205" s="12">
        <v>6364</v>
      </c>
      <c r="D205" s="12">
        <v>6842</v>
      </c>
      <c r="E205" s="11" t="s">
        <v>71</v>
      </c>
      <c r="F205" s="13" t="s">
        <v>524</v>
      </c>
      <c r="G205" s="14">
        <v>17</v>
      </c>
      <c r="H205" s="11" t="s">
        <v>73</v>
      </c>
      <c r="I205" s="11" t="s">
        <v>282</v>
      </c>
      <c r="J205" s="11" t="s">
        <v>296</v>
      </c>
      <c r="K205" s="11" t="s">
        <v>447</v>
      </c>
      <c r="L205" s="11" t="s">
        <v>1017</v>
      </c>
      <c r="M205" s="5" t="s">
        <v>1042</v>
      </c>
      <c r="N205" s="5" t="s">
        <v>1062</v>
      </c>
      <c r="O205" s="5" t="s">
        <v>526</v>
      </c>
      <c r="P205" s="5" t="s">
        <v>527</v>
      </c>
      <c r="Q205" s="11" t="s">
        <v>82</v>
      </c>
      <c r="R205" s="11" t="s">
        <v>82</v>
      </c>
      <c r="S205" s="11" t="s">
        <v>82</v>
      </c>
      <c r="T205" s="11" t="s">
        <v>299</v>
      </c>
      <c r="U205" s="5" t="s">
        <v>300</v>
      </c>
      <c r="V205" s="11" t="s">
        <v>528</v>
      </c>
      <c r="W205" s="11" t="s">
        <v>529</v>
      </c>
      <c r="X205" s="11" t="s">
        <v>530</v>
      </c>
      <c r="Y205" s="11" t="s">
        <v>301</v>
      </c>
      <c r="Z205" s="11" t="s">
        <v>1063</v>
      </c>
    </row>
    <row r="206" spans="1:26">
      <c r="A206" s="11" t="s">
        <v>532</v>
      </c>
      <c r="B206" s="11" t="s">
        <v>295</v>
      </c>
      <c r="C206" s="12">
        <v>6423</v>
      </c>
      <c r="D206" s="12">
        <v>6578</v>
      </c>
      <c r="E206" s="11" t="s">
        <v>71</v>
      </c>
      <c r="F206" s="13" t="s">
        <v>533</v>
      </c>
      <c r="G206" s="14">
        <v>19</v>
      </c>
      <c r="H206" s="11" t="s">
        <v>73</v>
      </c>
      <c r="I206" s="11" t="s">
        <v>282</v>
      </c>
      <c r="J206" s="11" t="s">
        <v>296</v>
      </c>
      <c r="K206" s="11" t="s">
        <v>447</v>
      </c>
      <c r="L206" s="11" t="s">
        <v>1017</v>
      </c>
      <c r="M206" s="5" t="s">
        <v>1042</v>
      </c>
      <c r="N206" s="5" t="s">
        <v>1064</v>
      </c>
      <c r="O206" s="5" t="s">
        <v>1033</v>
      </c>
      <c r="P206" s="5" t="s">
        <v>536</v>
      </c>
      <c r="Q206" s="11" t="s">
        <v>82</v>
      </c>
      <c r="R206" s="11" t="s">
        <v>82</v>
      </c>
      <c r="S206" s="11" t="s">
        <v>82</v>
      </c>
      <c r="T206" s="11" t="s">
        <v>299</v>
      </c>
      <c r="U206" s="5" t="s">
        <v>300</v>
      </c>
      <c r="V206" s="11" t="s">
        <v>537</v>
      </c>
      <c r="W206" s="11" t="s">
        <v>538</v>
      </c>
      <c r="X206" s="11" t="s">
        <v>539</v>
      </c>
      <c r="Y206" s="11" t="s">
        <v>301</v>
      </c>
      <c r="Z206" s="11" t="s">
        <v>1065</v>
      </c>
    </row>
    <row r="207" spans="1:26">
      <c r="A207" s="11" t="s">
        <v>541</v>
      </c>
      <c r="B207" s="11" t="s">
        <v>295</v>
      </c>
      <c r="C207" s="12">
        <v>5814</v>
      </c>
      <c r="D207" s="12">
        <v>6311</v>
      </c>
      <c r="E207" s="11" t="s">
        <v>71</v>
      </c>
      <c r="F207" s="13" t="s">
        <v>542</v>
      </c>
      <c r="G207" s="14">
        <v>19</v>
      </c>
      <c r="H207" s="11" t="s">
        <v>73</v>
      </c>
      <c r="I207" s="11" t="s">
        <v>282</v>
      </c>
      <c r="J207" s="11" t="s">
        <v>296</v>
      </c>
      <c r="K207" s="11" t="s">
        <v>447</v>
      </c>
      <c r="L207" s="11" t="s">
        <v>1017</v>
      </c>
      <c r="M207" s="5" t="s">
        <v>1042</v>
      </c>
      <c r="N207" s="5" t="s">
        <v>1066</v>
      </c>
      <c r="O207" s="5" t="s">
        <v>1036</v>
      </c>
      <c r="P207" s="5" t="s">
        <v>545</v>
      </c>
      <c r="Q207" s="11" t="s">
        <v>82</v>
      </c>
      <c r="R207" s="11" t="s">
        <v>82</v>
      </c>
      <c r="S207" s="11" t="s">
        <v>82</v>
      </c>
      <c r="T207" s="11" t="s">
        <v>299</v>
      </c>
      <c r="U207" s="5" t="s">
        <v>300</v>
      </c>
      <c r="V207" s="11" t="s">
        <v>546</v>
      </c>
      <c r="W207" s="11" t="s">
        <v>547</v>
      </c>
      <c r="X207" s="11" t="s">
        <v>548</v>
      </c>
      <c r="Y207" s="11" t="s">
        <v>301</v>
      </c>
      <c r="Z207" s="11" t="s">
        <v>1067</v>
      </c>
    </row>
    <row r="208" spans="1:26">
      <c r="A208" s="11" t="s">
        <v>550</v>
      </c>
      <c r="B208" s="11" t="s">
        <v>295</v>
      </c>
      <c r="C208" s="17">
        <v>7297</v>
      </c>
      <c r="D208" s="17">
        <v>3425</v>
      </c>
      <c r="E208" s="11" t="s">
        <v>71</v>
      </c>
      <c r="F208" s="13" t="s">
        <v>551</v>
      </c>
      <c r="G208" s="18" t="s">
        <v>1038</v>
      </c>
      <c r="H208" s="11" t="s">
        <v>73</v>
      </c>
      <c r="I208" s="11" t="s">
        <v>282</v>
      </c>
      <c r="J208" s="11" t="s">
        <v>296</v>
      </c>
      <c r="K208" s="11" t="s">
        <v>479</v>
      </c>
      <c r="L208" s="11" t="s">
        <v>284</v>
      </c>
      <c r="M208" s="5" t="s">
        <v>1068</v>
      </c>
      <c r="N208" s="5" t="s">
        <v>1069</v>
      </c>
      <c r="O208" s="5" t="s">
        <v>1015</v>
      </c>
      <c r="P208" s="5" t="s">
        <v>556</v>
      </c>
      <c r="Q208" s="11" t="s">
        <v>82</v>
      </c>
      <c r="R208" s="11" t="s">
        <v>82</v>
      </c>
      <c r="S208" s="11" t="s">
        <v>82</v>
      </c>
      <c r="T208" s="11" t="s">
        <v>299</v>
      </c>
      <c r="U208" s="5" t="s">
        <v>300</v>
      </c>
      <c r="V208" s="11" t="s">
        <v>557</v>
      </c>
      <c r="W208" s="11" t="s">
        <v>105</v>
      </c>
      <c r="X208" s="11" t="s">
        <v>106</v>
      </c>
      <c r="Y208" s="11" t="s">
        <v>301</v>
      </c>
      <c r="Z208" s="11" t="s">
        <v>1070</v>
      </c>
    </row>
    <row r="209" spans="1:26">
      <c r="A209" s="11" t="s">
        <v>445</v>
      </c>
      <c r="B209" s="11" t="s">
        <v>307</v>
      </c>
      <c r="C209" s="12">
        <v>16</v>
      </c>
      <c r="D209" s="12">
        <v>20</v>
      </c>
      <c r="E209" s="11" t="s">
        <v>71</v>
      </c>
      <c r="F209" s="13" t="s">
        <v>446</v>
      </c>
      <c r="G209" s="14">
        <v>18</v>
      </c>
      <c r="H209" s="11" t="s">
        <v>73</v>
      </c>
      <c r="I209" s="11" t="s">
        <v>282</v>
      </c>
      <c r="J209" s="11" t="s">
        <v>308</v>
      </c>
      <c r="K209" s="11" t="s">
        <v>447</v>
      </c>
      <c r="L209" s="11" t="s">
        <v>1000</v>
      </c>
      <c r="M209" s="5" t="s">
        <v>1071</v>
      </c>
      <c r="N209" s="5" t="s">
        <v>1072</v>
      </c>
      <c r="O209" s="5" t="s">
        <v>1003</v>
      </c>
      <c r="P209" s="5" t="s">
        <v>452</v>
      </c>
      <c r="Q209" s="11" t="s">
        <v>82</v>
      </c>
      <c r="R209" s="11" t="s">
        <v>82</v>
      </c>
      <c r="S209" s="11" t="s">
        <v>82</v>
      </c>
      <c r="T209" s="11" t="s">
        <v>311</v>
      </c>
      <c r="U209" s="5" t="s">
        <v>1073</v>
      </c>
      <c r="V209" s="11" t="s">
        <v>454</v>
      </c>
      <c r="W209" s="11" t="s">
        <v>455</v>
      </c>
      <c r="X209" s="11" t="s">
        <v>456</v>
      </c>
      <c r="Y209" s="11" t="s">
        <v>313</v>
      </c>
      <c r="Z209" s="11" t="s">
        <v>1074</v>
      </c>
    </row>
    <row r="210" spans="1:26">
      <c r="A210" s="11" t="s">
        <v>458</v>
      </c>
      <c r="B210" s="11" t="s">
        <v>307</v>
      </c>
      <c r="C210" s="12">
        <v>9</v>
      </c>
      <c r="D210" s="12">
        <v>23</v>
      </c>
      <c r="E210" s="11" t="s">
        <v>71</v>
      </c>
      <c r="F210" s="13" t="s">
        <v>459</v>
      </c>
      <c r="G210" s="14">
        <v>22</v>
      </c>
      <c r="H210" s="11" t="s">
        <v>73</v>
      </c>
      <c r="I210" s="11" t="s">
        <v>282</v>
      </c>
      <c r="J210" s="11" t="s">
        <v>308</v>
      </c>
      <c r="K210" s="11" t="s">
        <v>447</v>
      </c>
      <c r="L210" s="11" t="s">
        <v>1000</v>
      </c>
      <c r="M210" s="5" t="s">
        <v>1071</v>
      </c>
      <c r="N210" s="5" t="s">
        <v>1075</v>
      </c>
      <c r="O210" s="5" t="s">
        <v>1007</v>
      </c>
      <c r="P210" s="5" t="s">
        <v>462</v>
      </c>
      <c r="Q210" s="11" t="s">
        <v>82</v>
      </c>
      <c r="R210" s="11" t="s">
        <v>82</v>
      </c>
      <c r="S210" s="11" t="s">
        <v>82</v>
      </c>
      <c r="T210" s="11" t="s">
        <v>311</v>
      </c>
      <c r="U210" s="5" t="s">
        <v>1073</v>
      </c>
      <c r="V210" s="11" t="s">
        <v>463</v>
      </c>
      <c r="W210" s="11" t="s">
        <v>464</v>
      </c>
      <c r="X210" s="11" t="s">
        <v>465</v>
      </c>
      <c r="Y210" s="11" t="s">
        <v>313</v>
      </c>
      <c r="Z210" s="11" t="s">
        <v>1076</v>
      </c>
    </row>
    <row r="211" spans="1:26">
      <c r="A211" s="11" t="s">
        <v>467</v>
      </c>
      <c r="B211" s="11" t="s">
        <v>307</v>
      </c>
      <c r="C211" s="12">
        <v>8</v>
      </c>
      <c r="D211" s="12">
        <v>21</v>
      </c>
      <c r="E211" s="11" t="s">
        <v>71</v>
      </c>
      <c r="F211" s="13" t="s">
        <v>468</v>
      </c>
      <c r="G211" s="14">
        <v>22</v>
      </c>
      <c r="H211" s="11" t="s">
        <v>73</v>
      </c>
      <c r="I211" s="11" t="s">
        <v>282</v>
      </c>
      <c r="J211" s="11" t="s">
        <v>308</v>
      </c>
      <c r="K211" s="11" t="s">
        <v>447</v>
      </c>
      <c r="L211" s="11" t="s">
        <v>1000</v>
      </c>
      <c r="M211" s="5" t="s">
        <v>1071</v>
      </c>
      <c r="N211" s="5" t="s">
        <v>1077</v>
      </c>
      <c r="O211" s="5" t="s">
        <v>1010</v>
      </c>
      <c r="P211" s="5" t="s">
        <v>471</v>
      </c>
      <c r="Q211" s="11" t="s">
        <v>82</v>
      </c>
      <c r="R211" s="11" t="s">
        <v>82</v>
      </c>
      <c r="S211" s="11" t="s">
        <v>82</v>
      </c>
      <c r="T211" s="11" t="s">
        <v>311</v>
      </c>
      <c r="U211" s="5" t="s">
        <v>312</v>
      </c>
      <c r="V211" s="11" t="s">
        <v>472</v>
      </c>
      <c r="W211" s="11" t="s">
        <v>473</v>
      </c>
      <c r="X211" s="11" t="s">
        <v>474</v>
      </c>
      <c r="Y211" s="11" t="s">
        <v>313</v>
      </c>
      <c r="Z211" s="11" t="s">
        <v>1078</v>
      </c>
    </row>
    <row r="212" spans="1:26">
      <c r="A212" s="11" t="s">
        <v>476</v>
      </c>
      <c r="B212" s="11" t="s">
        <v>307</v>
      </c>
      <c r="C212" s="17">
        <v>9</v>
      </c>
      <c r="D212" s="17">
        <v>24</v>
      </c>
      <c r="E212" s="11" t="s">
        <v>71</v>
      </c>
      <c r="F212" s="13" t="s">
        <v>477</v>
      </c>
      <c r="G212" s="18" t="s">
        <v>1012</v>
      </c>
      <c r="H212" s="11" t="s">
        <v>73</v>
      </c>
      <c r="I212" s="11" t="s">
        <v>282</v>
      </c>
      <c r="J212" s="11" t="s">
        <v>308</v>
      </c>
      <c r="K212" s="11" t="s">
        <v>479</v>
      </c>
      <c r="L212" s="11" t="s">
        <v>284</v>
      </c>
      <c r="M212" s="5" t="s">
        <v>1079</v>
      </c>
      <c r="N212" s="5" t="s">
        <v>1080</v>
      </c>
      <c r="O212" s="5" t="s">
        <v>571</v>
      </c>
      <c r="P212" s="5" t="s">
        <v>483</v>
      </c>
      <c r="Q212" s="11" t="s">
        <v>82</v>
      </c>
      <c r="R212" s="11" t="s">
        <v>82</v>
      </c>
      <c r="S212" s="11" t="s">
        <v>82</v>
      </c>
      <c r="T212" s="11" t="s">
        <v>311</v>
      </c>
      <c r="U212" s="5" t="s">
        <v>312</v>
      </c>
      <c r="V212" s="11" t="s">
        <v>484</v>
      </c>
      <c r="W212" s="11" t="s">
        <v>86</v>
      </c>
      <c r="X212" s="11" t="s">
        <v>87</v>
      </c>
      <c r="Y212" s="11" t="s">
        <v>313</v>
      </c>
      <c r="Z212" s="11" t="s">
        <v>1081</v>
      </c>
    </row>
    <row r="213" spans="1:26">
      <c r="A213" s="11" t="s">
        <v>486</v>
      </c>
      <c r="B213" s="11" t="s">
        <v>307</v>
      </c>
      <c r="C213" s="12">
        <v>6</v>
      </c>
      <c r="D213" s="12">
        <v>16</v>
      </c>
      <c r="E213" s="11" t="s">
        <v>71</v>
      </c>
      <c r="F213" s="13" t="s">
        <v>487</v>
      </c>
      <c r="G213" s="14">
        <v>17</v>
      </c>
      <c r="H213" s="11" t="s">
        <v>73</v>
      </c>
      <c r="I213" s="11" t="s">
        <v>282</v>
      </c>
      <c r="J213" s="11" t="s">
        <v>308</v>
      </c>
      <c r="K213" s="11" t="s">
        <v>447</v>
      </c>
      <c r="L213" s="11" t="s">
        <v>1017</v>
      </c>
      <c r="M213" s="5" t="s">
        <v>1071</v>
      </c>
      <c r="N213" s="5" t="s">
        <v>1082</v>
      </c>
      <c r="O213" s="5" t="s">
        <v>526</v>
      </c>
      <c r="P213" s="5" t="s">
        <v>491</v>
      </c>
      <c r="Q213" s="11" t="s">
        <v>82</v>
      </c>
      <c r="R213" s="11" t="s">
        <v>82</v>
      </c>
      <c r="S213" s="11" t="s">
        <v>82</v>
      </c>
      <c r="T213" s="11" t="s">
        <v>311</v>
      </c>
      <c r="U213" s="5" t="s">
        <v>312</v>
      </c>
      <c r="V213" s="11" t="s">
        <v>492</v>
      </c>
      <c r="W213" s="11" t="s">
        <v>493</v>
      </c>
      <c r="X213" s="11" t="s">
        <v>494</v>
      </c>
      <c r="Y213" s="11" t="s">
        <v>313</v>
      </c>
      <c r="Z213" s="11" t="s">
        <v>1083</v>
      </c>
    </row>
    <row r="214" spans="1:26">
      <c r="A214" s="11" t="s">
        <v>496</v>
      </c>
      <c r="B214" s="11" t="s">
        <v>307</v>
      </c>
      <c r="C214" s="12">
        <v>10</v>
      </c>
      <c r="D214" s="12">
        <v>9</v>
      </c>
      <c r="E214" s="11" t="s">
        <v>71</v>
      </c>
      <c r="F214" s="13" t="s">
        <v>497</v>
      </c>
      <c r="G214" s="14">
        <v>20</v>
      </c>
      <c r="H214" s="11" t="s">
        <v>73</v>
      </c>
      <c r="I214" s="11" t="s">
        <v>282</v>
      </c>
      <c r="J214" s="11" t="s">
        <v>308</v>
      </c>
      <c r="K214" s="11" t="s">
        <v>447</v>
      </c>
      <c r="L214" s="11" t="s">
        <v>1017</v>
      </c>
      <c r="M214" s="5" t="s">
        <v>1071</v>
      </c>
      <c r="N214" s="5" t="s">
        <v>1084</v>
      </c>
      <c r="O214" s="5" t="s">
        <v>1021</v>
      </c>
      <c r="P214" s="5" t="s">
        <v>500</v>
      </c>
      <c r="Q214" s="11" t="s">
        <v>82</v>
      </c>
      <c r="R214" s="11" t="s">
        <v>82</v>
      </c>
      <c r="S214" s="11" t="s">
        <v>82</v>
      </c>
      <c r="T214" s="11" t="s">
        <v>311</v>
      </c>
      <c r="U214" s="5" t="s">
        <v>312</v>
      </c>
      <c r="V214" s="11" t="s">
        <v>501</v>
      </c>
      <c r="W214" s="11" t="s">
        <v>502</v>
      </c>
      <c r="X214" s="11" t="s">
        <v>503</v>
      </c>
      <c r="Y214" s="11" t="s">
        <v>313</v>
      </c>
      <c r="Z214" s="11" t="s">
        <v>1085</v>
      </c>
    </row>
    <row r="215" spans="1:26">
      <c r="A215" s="11" t="s">
        <v>505</v>
      </c>
      <c r="B215" s="11" t="s">
        <v>307</v>
      </c>
      <c r="C215" s="12">
        <v>8</v>
      </c>
      <c r="D215" s="12">
        <v>8</v>
      </c>
      <c r="E215" s="11" t="s">
        <v>71</v>
      </c>
      <c r="F215" s="13" t="s">
        <v>506</v>
      </c>
      <c r="G215" s="14">
        <v>20</v>
      </c>
      <c r="H215" s="11" t="s">
        <v>73</v>
      </c>
      <c r="I215" s="11" t="s">
        <v>282</v>
      </c>
      <c r="J215" s="11" t="s">
        <v>308</v>
      </c>
      <c r="K215" s="11" t="s">
        <v>447</v>
      </c>
      <c r="L215" s="11" t="s">
        <v>1017</v>
      </c>
      <c r="M215" s="5" t="s">
        <v>1071</v>
      </c>
      <c r="N215" s="5" t="s">
        <v>1077</v>
      </c>
      <c r="O215" s="5" t="s">
        <v>1024</v>
      </c>
      <c r="P215" s="5" t="s">
        <v>509</v>
      </c>
      <c r="Q215" s="11" t="s">
        <v>82</v>
      </c>
      <c r="R215" s="11" t="s">
        <v>82</v>
      </c>
      <c r="S215" s="11" t="s">
        <v>82</v>
      </c>
      <c r="T215" s="11" t="s">
        <v>311</v>
      </c>
      <c r="U215" s="5" t="s">
        <v>312</v>
      </c>
      <c r="V215" s="11" t="s">
        <v>510</v>
      </c>
      <c r="W215" s="11" t="s">
        <v>511</v>
      </c>
      <c r="X215" s="11" t="s">
        <v>512</v>
      </c>
      <c r="Y215" s="11" t="s">
        <v>313</v>
      </c>
      <c r="Z215" s="11" t="s">
        <v>1086</v>
      </c>
    </row>
    <row r="216" spans="1:26">
      <c r="A216" s="11" t="s">
        <v>514</v>
      </c>
      <c r="B216" s="11" t="s">
        <v>307</v>
      </c>
      <c r="C216" s="17">
        <v>6</v>
      </c>
      <c r="D216" s="17">
        <v>9</v>
      </c>
      <c r="E216" s="11" t="s">
        <v>71</v>
      </c>
      <c r="F216" s="13" t="s">
        <v>515</v>
      </c>
      <c r="G216" s="18" t="s">
        <v>1026</v>
      </c>
      <c r="H216" s="11" t="s">
        <v>73</v>
      </c>
      <c r="I216" s="11" t="s">
        <v>282</v>
      </c>
      <c r="J216" s="11" t="s">
        <v>308</v>
      </c>
      <c r="K216" s="11" t="s">
        <v>479</v>
      </c>
      <c r="L216" s="11" t="s">
        <v>284</v>
      </c>
      <c r="M216" s="5" t="s">
        <v>1087</v>
      </c>
      <c r="N216" s="5" t="s">
        <v>1088</v>
      </c>
      <c r="O216" s="5" t="s">
        <v>583</v>
      </c>
      <c r="P216" s="5" t="s">
        <v>520</v>
      </c>
      <c r="Q216" s="11" t="s">
        <v>82</v>
      </c>
      <c r="R216" s="11" t="s">
        <v>82</v>
      </c>
      <c r="S216" s="11" t="s">
        <v>82</v>
      </c>
      <c r="T216" s="11" t="s">
        <v>311</v>
      </c>
      <c r="U216" s="5" t="s">
        <v>312</v>
      </c>
      <c r="V216" s="11" t="s">
        <v>521</v>
      </c>
      <c r="W216" s="11" t="s">
        <v>96</v>
      </c>
      <c r="X216" s="11" t="s">
        <v>97</v>
      </c>
      <c r="Y216" s="11" t="s">
        <v>313</v>
      </c>
      <c r="Z216" s="11" t="s">
        <v>1089</v>
      </c>
    </row>
    <row r="217" spans="1:26">
      <c r="A217" s="11" t="s">
        <v>523</v>
      </c>
      <c r="B217" s="11" t="s">
        <v>307</v>
      </c>
      <c r="C217" s="12">
        <v>4</v>
      </c>
      <c r="D217" s="12">
        <v>6</v>
      </c>
      <c r="E217" s="11" t="s">
        <v>71</v>
      </c>
      <c r="F217" s="13" t="s">
        <v>524</v>
      </c>
      <c r="G217" s="14">
        <v>17</v>
      </c>
      <c r="H217" s="11" t="s">
        <v>73</v>
      </c>
      <c r="I217" s="11" t="s">
        <v>282</v>
      </c>
      <c r="J217" s="11" t="s">
        <v>308</v>
      </c>
      <c r="K217" s="11" t="s">
        <v>447</v>
      </c>
      <c r="L217" s="11" t="s">
        <v>1017</v>
      </c>
      <c r="M217" s="5" t="s">
        <v>1071</v>
      </c>
      <c r="N217" s="5" t="s">
        <v>1090</v>
      </c>
      <c r="O217" s="5" t="s">
        <v>526</v>
      </c>
      <c r="P217" s="5" t="s">
        <v>527</v>
      </c>
      <c r="Q217" s="11" t="s">
        <v>82</v>
      </c>
      <c r="R217" s="11" t="s">
        <v>82</v>
      </c>
      <c r="S217" s="11" t="s">
        <v>82</v>
      </c>
      <c r="T217" s="11" t="s">
        <v>311</v>
      </c>
      <c r="U217" s="5" t="s">
        <v>312</v>
      </c>
      <c r="V217" s="11" t="s">
        <v>528</v>
      </c>
      <c r="W217" s="11" t="s">
        <v>529</v>
      </c>
      <c r="X217" s="11" t="s">
        <v>530</v>
      </c>
      <c r="Y217" s="11" t="s">
        <v>313</v>
      </c>
      <c r="Z217" s="11" t="s">
        <v>1091</v>
      </c>
    </row>
    <row r="218" spans="1:26">
      <c r="A218" s="11" t="s">
        <v>532</v>
      </c>
      <c r="B218" s="11" t="s">
        <v>307</v>
      </c>
      <c r="C218" s="12">
        <v>8</v>
      </c>
      <c r="D218" s="12">
        <v>10</v>
      </c>
      <c r="E218" s="11" t="s">
        <v>71</v>
      </c>
      <c r="F218" s="13" t="s">
        <v>533</v>
      </c>
      <c r="G218" s="14">
        <v>19</v>
      </c>
      <c r="H218" s="11" t="s">
        <v>73</v>
      </c>
      <c r="I218" s="11" t="s">
        <v>282</v>
      </c>
      <c r="J218" s="11" t="s">
        <v>308</v>
      </c>
      <c r="K218" s="11" t="s">
        <v>447</v>
      </c>
      <c r="L218" s="11" t="s">
        <v>1017</v>
      </c>
      <c r="M218" s="5" t="s">
        <v>1071</v>
      </c>
      <c r="N218" s="5" t="s">
        <v>1077</v>
      </c>
      <c r="O218" s="5" t="s">
        <v>1033</v>
      </c>
      <c r="P218" s="5" t="s">
        <v>536</v>
      </c>
      <c r="Q218" s="11" t="s">
        <v>82</v>
      </c>
      <c r="R218" s="11" t="s">
        <v>82</v>
      </c>
      <c r="S218" s="11" t="s">
        <v>82</v>
      </c>
      <c r="T218" s="11" t="s">
        <v>311</v>
      </c>
      <c r="U218" s="5" t="s">
        <v>312</v>
      </c>
      <c r="V218" s="11" t="s">
        <v>537</v>
      </c>
      <c r="W218" s="11" t="s">
        <v>538</v>
      </c>
      <c r="X218" s="11" t="s">
        <v>539</v>
      </c>
      <c r="Y218" s="11" t="s">
        <v>313</v>
      </c>
      <c r="Z218" s="11" t="s">
        <v>1092</v>
      </c>
    </row>
    <row r="219" spans="1:26">
      <c r="A219" s="11" t="s">
        <v>541</v>
      </c>
      <c r="B219" s="11" t="s">
        <v>307</v>
      </c>
      <c r="C219" s="12">
        <v>6</v>
      </c>
      <c r="D219" s="12">
        <v>8</v>
      </c>
      <c r="E219" s="11" t="s">
        <v>71</v>
      </c>
      <c r="F219" s="13" t="s">
        <v>542</v>
      </c>
      <c r="G219" s="14">
        <v>19</v>
      </c>
      <c r="H219" s="11" t="s">
        <v>73</v>
      </c>
      <c r="I219" s="11" t="s">
        <v>282</v>
      </c>
      <c r="J219" s="11" t="s">
        <v>308</v>
      </c>
      <c r="K219" s="11" t="s">
        <v>447</v>
      </c>
      <c r="L219" s="11" t="s">
        <v>1017</v>
      </c>
      <c r="M219" s="5" t="s">
        <v>1071</v>
      </c>
      <c r="N219" s="5" t="s">
        <v>1082</v>
      </c>
      <c r="O219" s="5" t="s">
        <v>1036</v>
      </c>
      <c r="P219" s="5" t="s">
        <v>545</v>
      </c>
      <c r="Q219" s="11" t="s">
        <v>82</v>
      </c>
      <c r="R219" s="11" t="s">
        <v>82</v>
      </c>
      <c r="S219" s="11" t="s">
        <v>82</v>
      </c>
      <c r="T219" s="11" t="s">
        <v>311</v>
      </c>
      <c r="U219" s="5" t="s">
        <v>312</v>
      </c>
      <c r="V219" s="11" t="s">
        <v>546</v>
      </c>
      <c r="W219" s="11" t="s">
        <v>547</v>
      </c>
      <c r="X219" s="11" t="s">
        <v>548</v>
      </c>
      <c r="Y219" s="11" t="s">
        <v>313</v>
      </c>
      <c r="Z219" s="11" t="s">
        <v>1093</v>
      </c>
    </row>
    <row r="220" spans="1:26">
      <c r="A220" s="11" t="s">
        <v>550</v>
      </c>
      <c r="B220" s="11" t="s">
        <v>307</v>
      </c>
      <c r="C220" s="17">
        <v>7</v>
      </c>
      <c r="D220" s="17">
        <v>6</v>
      </c>
      <c r="E220" s="11" t="s">
        <v>71</v>
      </c>
      <c r="F220" s="13" t="s">
        <v>551</v>
      </c>
      <c r="G220" s="18" t="s">
        <v>1038</v>
      </c>
      <c r="H220" s="11" t="s">
        <v>73</v>
      </c>
      <c r="I220" s="11" t="s">
        <v>282</v>
      </c>
      <c r="J220" s="11" t="s">
        <v>308</v>
      </c>
      <c r="K220" s="11" t="s">
        <v>479</v>
      </c>
      <c r="L220" s="11" t="s">
        <v>284</v>
      </c>
      <c r="M220" s="5" t="s">
        <v>1094</v>
      </c>
      <c r="N220" s="5" t="s">
        <v>1095</v>
      </c>
      <c r="O220" s="5" t="s">
        <v>555</v>
      </c>
      <c r="P220" s="5" t="s">
        <v>556</v>
      </c>
      <c r="Q220" s="11" t="s">
        <v>82</v>
      </c>
      <c r="R220" s="11" t="s">
        <v>82</v>
      </c>
      <c r="S220" s="11" t="s">
        <v>82</v>
      </c>
      <c r="T220" s="11" t="s">
        <v>311</v>
      </c>
      <c r="U220" s="5" t="s">
        <v>312</v>
      </c>
      <c r="V220" s="11" t="s">
        <v>557</v>
      </c>
      <c r="W220" s="11" t="s">
        <v>105</v>
      </c>
      <c r="X220" s="11" t="s">
        <v>106</v>
      </c>
      <c r="Y220" s="11" t="s">
        <v>313</v>
      </c>
      <c r="Z220" s="11" t="s">
        <v>1096</v>
      </c>
    </row>
    <row r="221" spans="1:26">
      <c r="A221" s="11" t="s">
        <v>445</v>
      </c>
      <c r="B221" s="11" t="s">
        <v>319</v>
      </c>
      <c r="C221" s="12">
        <v>9417</v>
      </c>
      <c r="D221" s="12">
        <v>8585</v>
      </c>
      <c r="E221" s="11" t="s">
        <v>71</v>
      </c>
      <c r="F221" s="13" t="s">
        <v>446</v>
      </c>
      <c r="G221" s="14">
        <v>18</v>
      </c>
      <c r="H221" s="11" t="s">
        <v>73</v>
      </c>
      <c r="I221" s="11" t="s">
        <v>282</v>
      </c>
      <c r="J221" s="11" t="s">
        <v>320</v>
      </c>
      <c r="K221" s="11" t="s">
        <v>447</v>
      </c>
      <c r="L221" s="11" t="s">
        <v>1000</v>
      </c>
      <c r="M221" s="5" t="s">
        <v>1097</v>
      </c>
      <c r="N221" s="5" t="s">
        <v>1098</v>
      </c>
      <c r="O221" s="5" t="s">
        <v>1003</v>
      </c>
      <c r="P221" s="5" t="s">
        <v>452</v>
      </c>
      <c r="Q221" s="11" t="s">
        <v>82</v>
      </c>
      <c r="R221" s="11" t="s">
        <v>82</v>
      </c>
      <c r="S221" s="11" t="s">
        <v>82</v>
      </c>
      <c r="T221" s="11" t="s">
        <v>323</v>
      </c>
      <c r="U221" s="5" t="s">
        <v>1099</v>
      </c>
      <c r="V221" s="11" t="s">
        <v>454</v>
      </c>
      <c r="W221" s="11" t="s">
        <v>455</v>
      </c>
      <c r="X221" s="11" t="s">
        <v>456</v>
      </c>
      <c r="Y221" s="11" t="s">
        <v>325</v>
      </c>
      <c r="Z221" s="11" t="s">
        <v>1100</v>
      </c>
    </row>
    <row r="222" spans="1:26">
      <c r="A222" s="11" t="s">
        <v>458</v>
      </c>
      <c r="B222" s="11" t="s">
        <v>319</v>
      </c>
      <c r="C222" s="12">
        <v>8946</v>
      </c>
      <c r="D222" s="12">
        <v>8136</v>
      </c>
      <c r="E222" s="11" t="s">
        <v>71</v>
      </c>
      <c r="F222" s="13" t="s">
        <v>459</v>
      </c>
      <c r="G222" s="14">
        <v>22</v>
      </c>
      <c r="H222" s="11" t="s">
        <v>73</v>
      </c>
      <c r="I222" s="11" t="s">
        <v>282</v>
      </c>
      <c r="J222" s="11" t="s">
        <v>320</v>
      </c>
      <c r="K222" s="11" t="s">
        <v>447</v>
      </c>
      <c r="L222" s="11" t="s">
        <v>1000</v>
      </c>
      <c r="M222" s="5" t="s">
        <v>1097</v>
      </c>
      <c r="N222" s="5" t="s">
        <v>1101</v>
      </c>
      <c r="O222" s="5" t="s">
        <v>1007</v>
      </c>
      <c r="P222" s="5" t="s">
        <v>462</v>
      </c>
      <c r="Q222" s="11" t="s">
        <v>82</v>
      </c>
      <c r="R222" s="11" t="s">
        <v>82</v>
      </c>
      <c r="S222" s="11" t="s">
        <v>82</v>
      </c>
      <c r="T222" s="11" t="s">
        <v>323</v>
      </c>
      <c r="U222" s="5" t="s">
        <v>1099</v>
      </c>
      <c r="V222" s="11" t="s">
        <v>463</v>
      </c>
      <c r="W222" s="11" t="s">
        <v>464</v>
      </c>
      <c r="X222" s="11" t="s">
        <v>465</v>
      </c>
      <c r="Y222" s="11" t="s">
        <v>325</v>
      </c>
      <c r="Z222" s="11" t="s">
        <v>1102</v>
      </c>
    </row>
    <row r="223" spans="1:26">
      <c r="A223" s="11" t="s">
        <v>467</v>
      </c>
      <c r="B223" s="11" t="s">
        <v>319</v>
      </c>
      <c r="C223" s="12">
        <v>9148</v>
      </c>
      <c r="D223" s="12">
        <v>8495</v>
      </c>
      <c r="E223" s="11" t="s">
        <v>71</v>
      </c>
      <c r="F223" s="13" t="s">
        <v>468</v>
      </c>
      <c r="G223" s="14">
        <v>22</v>
      </c>
      <c r="H223" s="11" t="s">
        <v>73</v>
      </c>
      <c r="I223" s="11" t="s">
        <v>282</v>
      </c>
      <c r="J223" s="11" t="s">
        <v>320</v>
      </c>
      <c r="K223" s="11" t="s">
        <v>447</v>
      </c>
      <c r="L223" s="11" t="s">
        <v>1000</v>
      </c>
      <c r="M223" s="5" t="s">
        <v>1097</v>
      </c>
      <c r="N223" s="5" t="s">
        <v>1103</v>
      </c>
      <c r="O223" s="5" t="s">
        <v>1010</v>
      </c>
      <c r="P223" s="5" t="s">
        <v>471</v>
      </c>
      <c r="Q223" s="11" t="s">
        <v>82</v>
      </c>
      <c r="R223" s="11" t="s">
        <v>82</v>
      </c>
      <c r="S223" s="11" t="s">
        <v>82</v>
      </c>
      <c r="T223" s="11" t="s">
        <v>323</v>
      </c>
      <c r="U223" s="5" t="s">
        <v>324</v>
      </c>
      <c r="V223" s="11" t="s">
        <v>472</v>
      </c>
      <c r="W223" s="11" t="s">
        <v>473</v>
      </c>
      <c r="X223" s="11" t="s">
        <v>474</v>
      </c>
      <c r="Y223" s="11" t="s">
        <v>325</v>
      </c>
      <c r="Z223" s="11" t="s">
        <v>1104</v>
      </c>
    </row>
    <row r="224" spans="1:26">
      <c r="A224" s="11" t="s">
        <v>476</v>
      </c>
      <c r="B224" s="11" t="s">
        <v>319</v>
      </c>
      <c r="C224" s="17">
        <v>9707</v>
      </c>
      <c r="D224" s="17">
        <v>9269</v>
      </c>
      <c r="E224" s="11" t="s">
        <v>71</v>
      </c>
      <c r="F224" s="13" t="s">
        <v>477</v>
      </c>
      <c r="G224" s="18" t="s">
        <v>1012</v>
      </c>
      <c r="H224" s="11" t="s">
        <v>73</v>
      </c>
      <c r="I224" s="11" t="s">
        <v>282</v>
      </c>
      <c r="J224" s="11" t="s">
        <v>320</v>
      </c>
      <c r="K224" s="11" t="s">
        <v>479</v>
      </c>
      <c r="L224" s="11" t="s">
        <v>284</v>
      </c>
      <c r="M224" s="5" t="s">
        <v>1105</v>
      </c>
      <c r="N224" s="5" t="s">
        <v>1106</v>
      </c>
      <c r="O224" s="5" t="s">
        <v>571</v>
      </c>
      <c r="P224" s="5" t="s">
        <v>483</v>
      </c>
      <c r="Q224" s="11" t="s">
        <v>82</v>
      </c>
      <c r="R224" s="11" t="s">
        <v>82</v>
      </c>
      <c r="S224" s="11" t="s">
        <v>82</v>
      </c>
      <c r="T224" s="11" t="s">
        <v>323</v>
      </c>
      <c r="U224" s="5" t="s">
        <v>324</v>
      </c>
      <c r="V224" s="11" t="s">
        <v>484</v>
      </c>
      <c r="W224" s="11" t="s">
        <v>86</v>
      </c>
      <c r="X224" s="11" t="s">
        <v>87</v>
      </c>
      <c r="Y224" s="11" t="s">
        <v>325</v>
      </c>
      <c r="Z224" s="11" t="s">
        <v>1107</v>
      </c>
    </row>
    <row r="225" spans="1:26">
      <c r="A225" s="11" t="s">
        <v>486</v>
      </c>
      <c r="B225" s="11" t="s">
        <v>319</v>
      </c>
      <c r="C225" s="12">
        <v>10096</v>
      </c>
      <c r="D225" s="12">
        <v>9417</v>
      </c>
      <c r="E225" s="11" t="s">
        <v>71</v>
      </c>
      <c r="F225" s="13" t="s">
        <v>487</v>
      </c>
      <c r="G225" s="14">
        <v>17</v>
      </c>
      <c r="H225" s="11" t="s">
        <v>73</v>
      </c>
      <c r="I225" s="11" t="s">
        <v>282</v>
      </c>
      <c r="J225" s="11" t="s">
        <v>320</v>
      </c>
      <c r="K225" s="11" t="s">
        <v>447</v>
      </c>
      <c r="L225" s="11" t="s">
        <v>1017</v>
      </c>
      <c r="M225" s="5" t="s">
        <v>1097</v>
      </c>
      <c r="N225" s="5" t="s">
        <v>1108</v>
      </c>
      <c r="O225" s="5" t="s">
        <v>526</v>
      </c>
      <c r="P225" s="5" t="s">
        <v>491</v>
      </c>
      <c r="Q225" s="11" t="s">
        <v>82</v>
      </c>
      <c r="R225" s="11" t="s">
        <v>82</v>
      </c>
      <c r="S225" s="11" t="s">
        <v>82</v>
      </c>
      <c r="T225" s="11" t="s">
        <v>323</v>
      </c>
      <c r="U225" s="5" t="s">
        <v>324</v>
      </c>
      <c r="V225" s="11" t="s">
        <v>492</v>
      </c>
      <c r="W225" s="11" t="s">
        <v>493</v>
      </c>
      <c r="X225" s="11" t="s">
        <v>494</v>
      </c>
      <c r="Y225" s="11" t="s">
        <v>325</v>
      </c>
      <c r="Z225" s="11" t="s">
        <v>1109</v>
      </c>
    </row>
    <row r="226" spans="1:26">
      <c r="A226" s="11" t="s">
        <v>496</v>
      </c>
      <c r="B226" s="11" t="s">
        <v>319</v>
      </c>
      <c r="C226" s="12">
        <v>9844</v>
      </c>
      <c r="D226" s="12">
        <v>8946</v>
      </c>
      <c r="E226" s="11" t="s">
        <v>71</v>
      </c>
      <c r="F226" s="13" t="s">
        <v>497</v>
      </c>
      <c r="G226" s="14">
        <v>20</v>
      </c>
      <c r="H226" s="11" t="s">
        <v>73</v>
      </c>
      <c r="I226" s="11" t="s">
        <v>282</v>
      </c>
      <c r="J226" s="11" t="s">
        <v>320</v>
      </c>
      <c r="K226" s="11" t="s">
        <v>447</v>
      </c>
      <c r="L226" s="11" t="s">
        <v>1017</v>
      </c>
      <c r="M226" s="5" t="s">
        <v>1097</v>
      </c>
      <c r="N226" s="5" t="s">
        <v>1110</v>
      </c>
      <c r="O226" s="5" t="s">
        <v>1021</v>
      </c>
      <c r="P226" s="5" t="s">
        <v>500</v>
      </c>
      <c r="Q226" s="11" t="s">
        <v>82</v>
      </c>
      <c r="R226" s="11" t="s">
        <v>82</v>
      </c>
      <c r="S226" s="11" t="s">
        <v>82</v>
      </c>
      <c r="T226" s="11" t="s">
        <v>323</v>
      </c>
      <c r="U226" s="5" t="s">
        <v>324</v>
      </c>
      <c r="V226" s="11" t="s">
        <v>501</v>
      </c>
      <c r="W226" s="11" t="s">
        <v>502</v>
      </c>
      <c r="X226" s="11" t="s">
        <v>503</v>
      </c>
      <c r="Y226" s="11" t="s">
        <v>325</v>
      </c>
      <c r="Z226" s="11" t="s">
        <v>1111</v>
      </c>
    </row>
    <row r="227" spans="1:26">
      <c r="A227" s="11" t="s">
        <v>505</v>
      </c>
      <c r="B227" s="11" t="s">
        <v>319</v>
      </c>
      <c r="C227" s="12">
        <v>9616</v>
      </c>
      <c r="D227" s="12">
        <v>9148</v>
      </c>
      <c r="E227" s="11" t="s">
        <v>71</v>
      </c>
      <c r="F227" s="13" t="s">
        <v>506</v>
      </c>
      <c r="G227" s="14">
        <v>20</v>
      </c>
      <c r="H227" s="11" t="s">
        <v>73</v>
      </c>
      <c r="I227" s="11" t="s">
        <v>282</v>
      </c>
      <c r="J227" s="11" t="s">
        <v>320</v>
      </c>
      <c r="K227" s="11" t="s">
        <v>447</v>
      </c>
      <c r="L227" s="11" t="s">
        <v>1017</v>
      </c>
      <c r="M227" s="5" t="s">
        <v>1097</v>
      </c>
      <c r="N227" s="5" t="s">
        <v>1112</v>
      </c>
      <c r="O227" s="5" t="s">
        <v>1024</v>
      </c>
      <c r="P227" s="5" t="s">
        <v>509</v>
      </c>
      <c r="Q227" s="11" t="s">
        <v>82</v>
      </c>
      <c r="R227" s="11" t="s">
        <v>82</v>
      </c>
      <c r="S227" s="11" t="s">
        <v>82</v>
      </c>
      <c r="T227" s="11" t="s">
        <v>323</v>
      </c>
      <c r="U227" s="5" t="s">
        <v>324</v>
      </c>
      <c r="V227" s="11" t="s">
        <v>510</v>
      </c>
      <c r="W227" s="11" t="s">
        <v>511</v>
      </c>
      <c r="X227" s="11" t="s">
        <v>512</v>
      </c>
      <c r="Y227" s="11" t="s">
        <v>325</v>
      </c>
      <c r="Z227" s="11" t="s">
        <v>1113</v>
      </c>
    </row>
    <row r="228" spans="1:26">
      <c r="A228" s="11" t="s">
        <v>514</v>
      </c>
      <c r="B228" s="11" t="s">
        <v>319</v>
      </c>
      <c r="C228" s="17">
        <v>6012</v>
      </c>
      <c r="D228" s="17">
        <v>9707</v>
      </c>
      <c r="E228" s="11" t="s">
        <v>71</v>
      </c>
      <c r="F228" s="13" t="s">
        <v>515</v>
      </c>
      <c r="G228" s="18" t="s">
        <v>1026</v>
      </c>
      <c r="H228" s="11" t="s">
        <v>73</v>
      </c>
      <c r="I228" s="11" t="s">
        <v>282</v>
      </c>
      <c r="J228" s="11" t="s">
        <v>320</v>
      </c>
      <c r="K228" s="11" t="s">
        <v>479</v>
      </c>
      <c r="L228" s="11" t="s">
        <v>284</v>
      </c>
      <c r="M228" s="5" t="s">
        <v>1114</v>
      </c>
      <c r="N228" s="5" t="s">
        <v>1115</v>
      </c>
      <c r="O228" s="5" t="s">
        <v>583</v>
      </c>
      <c r="P228" s="5" t="s">
        <v>520</v>
      </c>
      <c r="Q228" s="11" t="s">
        <v>82</v>
      </c>
      <c r="R228" s="11" t="s">
        <v>82</v>
      </c>
      <c r="S228" s="11" t="s">
        <v>82</v>
      </c>
      <c r="T228" s="11" t="s">
        <v>323</v>
      </c>
      <c r="U228" s="5" t="s">
        <v>324</v>
      </c>
      <c r="V228" s="11" t="s">
        <v>521</v>
      </c>
      <c r="W228" s="11" t="s">
        <v>96</v>
      </c>
      <c r="X228" s="11" t="s">
        <v>97</v>
      </c>
      <c r="Y228" s="11" t="s">
        <v>325</v>
      </c>
      <c r="Z228" s="11" t="s">
        <v>1116</v>
      </c>
    </row>
    <row r="229" spans="1:26">
      <c r="A229" s="11" t="s">
        <v>523</v>
      </c>
      <c r="B229" s="11" t="s">
        <v>319</v>
      </c>
      <c r="C229" s="12">
        <v>10018</v>
      </c>
      <c r="D229" s="12">
        <v>10096</v>
      </c>
      <c r="E229" s="11" t="s">
        <v>71</v>
      </c>
      <c r="F229" s="13" t="s">
        <v>524</v>
      </c>
      <c r="G229" s="14">
        <v>17</v>
      </c>
      <c r="H229" s="11" t="s">
        <v>73</v>
      </c>
      <c r="I229" s="11" t="s">
        <v>282</v>
      </c>
      <c r="J229" s="11" t="s">
        <v>320</v>
      </c>
      <c r="K229" s="11" t="s">
        <v>447</v>
      </c>
      <c r="L229" s="11" t="s">
        <v>1017</v>
      </c>
      <c r="M229" s="5" t="s">
        <v>1097</v>
      </c>
      <c r="N229" s="5" t="s">
        <v>1117</v>
      </c>
      <c r="O229" s="5" t="s">
        <v>526</v>
      </c>
      <c r="P229" s="5" t="s">
        <v>527</v>
      </c>
      <c r="Q229" s="11" t="s">
        <v>82</v>
      </c>
      <c r="R229" s="11" t="s">
        <v>82</v>
      </c>
      <c r="S229" s="11" t="s">
        <v>82</v>
      </c>
      <c r="T229" s="11" t="s">
        <v>323</v>
      </c>
      <c r="U229" s="5" t="s">
        <v>324</v>
      </c>
      <c r="V229" s="11" t="s">
        <v>528</v>
      </c>
      <c r="W229" s="11" t="s">
        <v>529</v>
      </c>
      <c r="X229" s="11" t="s">
        <v>530</v>
      </c>
      <c r="Y229" s="11" t="s">
        <v>325</v>
      </c>
      <c r="Z229" s="11" t="s">
        <v>1118</v>
      </c>
    </row>
    <row r="230" spans="1:26">
      <c r="A230" s="11" t="s">
        <v>532</v>
      </c>
      <c r="B230" s="11" t="s">
        <v>319</v>
      </c>
      <c r="C230" s="12">
        <v>10741</v>
      </c>
      <c r="D230" s="12">
        <v>9844</v>
      </c>
      <c r="E230" s="11" t="s">
        <v>71</v>
      </c>
      <c r="F230" s="13" t="s">
        <v>533</v>
      </c>
      <c r="G230" s="14">
        <v>19</v>
      </c>
      <c r="H230" s="11" t="s">
        <v>73</v>
      </c>
      <c r="I230" s="11" t="s">
        <v>282</v>
      </c>
      <c r="J230" s="11" t="s">
        <v>320</v>
      </c>
      <c r="K230" s="11" t="s">
        <v>447</v>
      </c>
      <c r="L230" s="11" t="s">
        <v>1017</v>
      </c>
      <c r="M230" s="5" t="s">
        <v>1097</v>
      </c>
      <c r="N230" s="5" t="s">
        <v>1119</v>
      </c>
      <c r="O230" s="5" t="s">
        <v>1033</v>
      </c>
      <c r="P230" s="5" t="s">
        <v>536</v>
      </c>
      <c r="Q230" s="11" t="s">
        <v>82</v>
      </c>
      <c r="R230" s="11" t="s">
        <v>82</v>
      </c>
      <c r="S230" s="11" t="s">
        <v>82</v>
      </c>
      <c r="T230" s="11" t="s">
        <v>323</v>
      </c>
      <c r="U230" s="5" t="s">
        <v>324</v>
      </c>
      <c r="V230" s="11" t="s">
        <v>537</v>
      </c>
      <c r="W230" s="11" t="s">
        <v>538</v>
      </c>
      <c r="X230" s="11" t="s">
        <v>539</v>
      </c>
      <c r="Y230" s="11" t="s">
        <v>325</v>
      </c>
      <c r="Z230" s="11" t="s">
        <v>1120</v>
      </c>
    </row>
    <row r="231" spans="1:26">
      <c r="A231" s="11" t="s">
        <v>541</v>
      </c>
      <c r="B231" s="11" t="s">
        <v>319</v>
      </c>
      <c r="C231" s="12">
        <v>9773</v>
      </c>
      <c r="D231" s="12">
        <v>9616</v>
      </c>
      <c r="E231" s="11" t="s">
        <v>71</v>
      </c>
      <c r="F231" s="13" t="s">
        <v>542</v>
      </c>
      <c r="G231" s="14">
        <v>19</v>
      </c>
      <c r="H231" s="11" t="s">
        <v>73</v>
      </c>
      <c r="I231" s="11" t="s">
        <v>282</v>
      </c>
      <c r="J231" s="11" t="s">
        <v>320</v>
      </c>
      <c r="K231" s="11" t="s">
        <v>447</v>
      </c>
      <c r="L231" s="11" t="s">
        <v>1017</v>
      </c>
      <c r="M231" s="5" t="s">
        <v>1097</v>
      </c>
      <c r="N231" s="5" t="s">
        <v>1121</v>
      </c>
      <c r="O231" s="5" t="s">
        <v>1036</v>
      </c>
      <c r="P231" s="5" t="s">
        <v>545</v>
      </c>
      <c r="Q231" s="11" t="s">
        <v>82</v>
      </c>
      <c r="R231" s="11" t="s">
        <v>82</v>
      </c>
      <c r="S231" s="11" t="s">
        <v>82</v>
      </c>
      <c r="T231" s="11" t="s">
        <v>323</v>
      </c>
      <c r="U231" s="5" t="s">
        <v>324</v>
      </c>
      <c r="V231" s="11" t="s">
        <v>546</v>
      </c>
      <c r="W231" s="11" t="s">
        <v>547</v>
      </c>
      <c r="X231" s="11" t="s">
        <v>548</v>
      </c>
      <c r="Y231" s="11" t="s">
        <v>325</v>
      </c>
      <c r="Z231" s="11" t="s">
        <v>1122</v>
      </c>
    </row>
    <row r="232" spans="1:26">
      <c r="A232" s="11" t="s">
        <v>550</v>
      </c>
      <c r="B232" s="11" t="s">
        <v>319</v>
      </c>
      <c r="C232" s="17">
        <v>11761</v>
      </c>
      <c r="D232" s="17">
        <v>6012</v>
      </c>
      <c r="E232" s="11" t="s">
        <v>71</v>
      </c>
      <c r="F232" s="13" t="s">
        <v>551</v>
      </c>
      <c r="G232" s="18" t="s">
        <v>1038</v>
      </c>
      <c r="H232" s="11" t="s">
        <v>73</v>
      </c>
      <c r="I232" s="11" t="s">
        <v>282</v>
      </c>
      <c r="J232" s="11" t="s">
        <v>320</v>
      </c>
      <c r="K232" s="11" t="s">
        <v>479</v>
      </c>
      <c r="L232" s="11" t="s">
        <v>284</v>
      </c>
      <c r="M232" s="5" t="s">
        <v>1123</v>
      </c>
      <c r="N232" s="5" t="s">
        <v>1124</v>
      </c>
      <c r="O232" s="5" t="s">
        <v>555</v>
      </c>
      <c r="P232" s="5" t="s">
        <v>556</v>
      </c>
      <c r="Q232" s="11" t="s">
        <v>82</v>
      </c>
      <c r="R232" s="11" t="s">
        <v>82</v>
      </c>
      <c r="S232" s="11" t="s">
        <v>82</v>
      </c>
      <c r="T232" s="11" t="s">
        <v>323</v>
      </c>
      <c r="U232" s="5" t="s">
        <v>324</v>
      </c>
      <c r="V232" s="11" t="s">
        <v>557</v>
      </c>
      <c r="W232" s="11" t="s">
        <v>105</v>
      </c>
      <c r="X232" s="11" t="s">
        <v>106</v>
      </c>
      <c r="Y232" s="11" t="s">
        <v>325</v>
      </c>
      <c r="Z232" s="11" t="s">
        <v>1125</v>
      </c>
    </row>
    <row r="233" spans="1:26">
      <c r="A233" s="11" t="s">
        <v>445</v>
      </c>
      <c r="B233" s="11" t="s">
        <v>331</v>
      </c>
      <c r="C233" s="12">
        <v>527</v>
      </c>
      <c r="D233" s="12">
        <v>483</v>
      </c>
      <c r="E233" s="11" t="s">
        <v>71</v>
      </c>
      <c r="F233" s="13" t="s">
        <v>446</v>
      </c>
      <c r="G233" s="14">
        <v>18</v>
      </c>
      <c r="H233" s="11" t="s">
        <v>73</v>
      </c>
      <c r="I233" s="11" t="s">
        <v>332</v>
      </c>
      <c r="J233" s="11" t="s">
        <v>75</v>
      </c>
      <c r="K233" s="11" t="s">
        <v>447</v>
      </c>
      <c r="L233" s="11" t="s">
        <v>1000</v>
      </c>
      <c r="M233" s="5" t="s">
        <v>1126</v>
      </c>
      <c r="N233" s="5" t="s">
        <v>1127</v>
      </c>
      <c r="O233" s="5" t="s">
        <v>1003</v>
      </c>
      <c r="P233" s="5" t="s">
        <v>452</v>
      </c>
      <c r="Q233" s="11" t="s">
        <v>82</v>
      </c>
      <c r="R233" s="11" t="s">
        <v>82</v>
      </c>
      <c r="S233" s="11" t="s">
        <v>82</v>
      </c>
      <c r="T233" s="11" t="s">
        <v>335</v>
      </c>
      <c r="U233" s="5" t="s">
        <v>1128</v>
      </c>
      <c r="V233" s="11" t="s">
        <v>454</v>
      </c>
      <c r="W233" s="11" t="s">
        <v>455</v>
      </c>
      <c r="X233" s="11" t="s">
        <v>456</v>
      </c>
      <c r="Y233" s="11" t="s">
        <v>337</v>
      </c>
      <c r="Z233" s="11" t="s">
        <v>1129</v>
      </c>
    </row>
    <row r="234" spans="1:26">
      <c r="A234" s="11" t="s">
        <v>458</v>
      </c>
      <c r="B234" s="11" t="s">
        <v>331</v>
      </c>
      <c r="C234" s="12">
        <v>425</v>
      </c>
      <c r="D234" s="12">
        <v>408</v>
      </c>
      <c r="E234" s="11" t="s">
        <v>71</v>
      </c>
      <c r="F234" s="13" t="s">
        <v>459</v>
      </c>
      <c r="G234" s="14">
        <v>22</v>
      </c>
      <c r="H234" s="11" t="s">
        <v>73</v>
      </c>
      <c r="I234" s="11" t="s">
        <v>332</v>
      </c>
      <c r="J234" s="11" t="s">
        <v>75</v>
      </c>
      <c r="K234" s="11" t="s">
        <v>447</v>
      </c>
      <c r="L234" s="11" t="s">
        <v>1000</v>
      </c>
      <c r="M234" s="5" t="s">
        <v>1126</v>
      </c>
      <c r="N234" s="5" t="s">
        <v>1130</v>
      </c>
      <c r="O234" s="5" t="s">
        <v>1007</v>
      </c>
      <c r="P234" s="5" t="s">
        <v>462</v>
      </c>
      <c r="Q234" s="11" t="s">
        <v>82</v>
      </c>
      <c r="R234" s="11" t="s">
        <v>82</v>
      </c>
      <c r="S234" s="11" t="s">
        <v>82</v>
      </c>
      <c r="T234" s="11" t="s">
        <v>335</v>
      </c>
      <c r="U234" s="5" t="s">
        <v>1128</v>
      </c>
      <c r="V234" s="11" t="s">
        <v>463</v>
      </c>
      <c r="W234" s="11" t="s">
        <v>464</v>
      </c>
      <c r="X234" s="11" t="s">
        <v>465</v>
      </c>
      <c r="Y234" s="11" t="s">
        <v>337</v>
      </c>
      <c r="Z234" s="11" t="s">
        <v>1131</v>
      </c>
    </row>
    <row r="235" spans="1:26">
      <c r="A235" s="11" t="s">
        <v>467</v>
      </c>
      <c r="B235" s="11" t="s">
        <v>331</v>
      </c>
      <c r="C235" s="12">
        <v>463</v>
      </c>
      <c r="D235" s="12">
        <v>483</v>
      </c>
      <c r="E235" s="11" t="s">
        <v>71</v>
      </c>
      <c r="F235" s="13" t="s">
        <v>468</v>
      </c>
      <c r="G235" s="14">
        <v>22</v>
      </c>
      <c r="H235" s="11" t="s">
        <v>73</v>
      </c>
      <c r="I235" s="11" t="s">
        <v>332</v>
      </c>
      <c r="J235" s="11" t="s">
        <v>75</v>
      </c>
      <c r="K235" s="11" t="s">
        <v>447</v>
      </c>
      <c r="L235" s="11" t="s">
        <v>1000</v>
      </c>
      <c r="M235" s="5" t="s">
        <v>1126</v>
      </c>
      <c r="N235" s="5" t="s">
        <v>1132</v>
      </c>
      <c r="O235" s="5" t="s">
        <v>1010</v>
      </c>
      <c r="P235" s="5" t="s">
        <v>471</v>
      </c>
      <c r="Q235" s="11" t="s">
        <v>82</v>
      </c>
      <c r="R235" s="11" t="s">
        <v>82</v>
      </c>
      <c r="S235" s="11" t="s">
        <v>82</v>
      </c>
      <c r="T235" s="11" t="s">
        <v>335</v>
      </c>
      <c r="U235" s="5" t="s">
        <v>336</v>
      </c>
      <c r="V235" s="11" t="s">
        <v>472</v>
      </c>
      <c r="W235" s="11" t="s">
        <v>473</v>
      </c>
      <c r="X235" s="11" t="s">
        <v>474</v>
      </c>
      <c r="Y235" s="11" t="s">
        <v>337</v>
      </c>
      <c r="Z235" s="11" t="s">
        <v>1133</v>
      </c>
    </row>
    <row r="236" spans="1:26">
      <c r="A236" s="11" t="s">
        <v>476</v>
      </c>
      <c r="B236" s="11" t="s">
        <v>331</v>
      </c>
      <c r="C236" s="17">
        <v>491</v>
      </c>
      <c r="D236" s="17">
        <v>512</v>
      </c>
      <c r="E236" s="11" t="s">
        <v>71</v>
      </c>
      <c r="F236" s="13" t="s">
        <v>477</v>
      </c>
      <c r="G236" s="18" t="s">
        <v>1012</v>
      </c>
      <c r="H236" s="11" t="s">
        <v>73</v>
      </c>
      <c r="I236" s="11" t="s">
        <v>332</v>
      </c>
      <c r="J236" s="11" t="s">
        <v>75</v>
      </c>
      <c r="K236" s="11" t="s">
        <v>479</v>
      </c>
      <c r="L236" s="11" t="s">
        <v>284</v>
      </c>
      <c r="M236" s="5" t="s">
        <v>1134</v>
      </c>
      <c r="N236" s="5" t="s">
        <v>1135</v>
      </c>
      <c r="O236" s="5" t="s">
        <v>571</v>
      </c>
      <c r="P236" s="5" t="s">
        <v>483</v>
      </c>
      <c r="Q236" s="11" t="s">
        <v>82</v>
      </c>
      <c r="R236" s="11" t="s">
        <v>82</v>
      </c>
      <c r="S236" s="11" t="s">
        <v>82</v>
      </c>
      <c r="T236" s="11" t="s">
        <v>335</v>
      </c>
      <c r="U236" s="5" t="s">
        <v>336</v>
      </c>
      <c r="V236" s="11" t="s">
        <v>484</v>
      </c>
      <c r="W236" s="11" t="s">
        <v>86</v>
      </c>
      <c r="X236" s="11" t="s">
        <v>87</v>
      </c>
      <c r="Y236" s="11" t="s">
        <v>337</v>
      </c>
      <c r="Z236" s="11" t="s">
        <v>1136</v>
      </c>
    </row>
    <row r="237" spans="1:26">
      <c r="A237" s="11" t="s">
        <v>486</v>
      </c>
      <c r="B237" s="11" t="s">
        <v>331</v>
      </c>
      <c r="C237" s="12">
        <v>555</v>
      </c>
      <c r="D237" s="12">
        <v>527</v>
      </c>
      <c r="E237" s="11" t="s">
        <v>71</v>
      </c>
      <c r="F237" s="13" t="s">
        <v>487</v>
      </c>
      <c r="G237" s="14">
        <v>17</v>
      </c>
      <c r="H237" s="11" t="s">
        <v>73</v>
      </c>
      <c r="I237" s="11" t="s">
        <v>332</v>
      </c>
      <c r="J237" s="11" t="s">
        <v>75</v>
      </c>
      <c r="K237" s="11" t="s">
        <v>447</v>
      </c>
      <c r="L237" s="11" t="s">
        <v>1017</v>
      </c>
      <c r="M237" s="5" t="s">
        <v>1126</v>
      </c>
      <c r="N237" s="5" t="s">
        <v>1137</v>
      </c>
      <c r="O237" s="5" t="s">
        <v>526</v>
      </c>
      <c r="P237" s="5" t="s">
        <v>491</v>
      </c>
      <c r="Q237" s="11" t="s">
        <v>82</v>
      </c>
      <c r="R237" s="11" t="s">
        <v>82</v>
      </c>
      <c r="S237" s="11" t="s">
        <v>82</v>
      </c>
      <c r="T237" s="11" t="s">
        <v>335</v>
      </c>
      <c r="U237" s="5" t="s">
        <v>336</v>
      </c>
      <c r="V237" s="11" t="s">
        <v>492</v>
      </c>
      <c r="W237" s="11" t="s">
        <v>493</v>
      </c>
      <c r="X237" s="11" t="s">
        <v>494</v>
      </c>
      <c r="Y237" s="11" t="s">
        <v>337</v>
      </c>
      <c r="Z237" s="11" t="s">
        <v>1138</v>
      </c>
    </row>
    <row r="238" spans="1:26">
      <c r="A238" s="11" t="s">
        <v>496</v>
      </c>
      <c r="B238" s="11" t="s">
        <v>331</v>
      </c>
      <c r="C238" s="12">
        <v>480</v>
      </c>
      <c r="D238" s="12">
        <v>425</v>
      </c>
      <c r="E238" s="11" t="s">
        <v>71</v>
      </c>
      <c r="F238" s="13" t="s">
        <v>497</v>
      </c>
      <c r="G238" s="14">
        <v>20</v>
      </c>
      <c r="H238" s="11" t="s">
        <v>73</v>
      </c>
      <c r="I238" s="11" t="s">
        <v>332</v>
      </c>
      <c r="J238" s="11" t="s">
        <v>75</v>
      </c>
      <c r="K238" s="11" t="s">
        <v>447</v>
      </c>
      <c r="L238" s="11" t="s">
        <v>1017</v>
      </c>
      <c r="M238" s="5" t="s">
        <v>1126</v>
      </c>
      <c r="N238" s="5" t="s">
        <v>1139</v>
      </c>
      <c r="O238" s="5" t="s">
        <v>1021</v>
      </c>
      <c r="P238" s="5" t="s">
        <v>500</v>
      </c>
      <c r="Q238" s="11" t="s">
        <v>82</v>
      </c>
      <c r="R238" s="11" t="s">
        <v>82</v>
      </c>
      <c r="S238" s="11" t="s">
        <v>82</v>
      </c>
      <c r="T238" s="11" t="s">
        <v>335</v>
      </c>
      <c r="U238" s="5" t="s">
        <v>336</v>
      </c>
      <c r="V238" s="11" t="s">
        <v>501</v>
      </c>
      <c r="W238" s="11" t="s">
        <v>502</v>
      </c>
      <c r="X238" s="11" t="s">
        <v>503</v>
      </c>
      <c r="Y238" s="11" t="s">
        <v>337</v>
      </c>
      <c r="Z238" s="11" t="s">
        <v>1140</v>
      </c>
    </row>
    <row r="239" spans="1:26">
      <c r="A239" s="11" t="s">
        <v>505</v>
      </c>
      <c r="B239" s="11" t="s">
        <v>331</v>
      </c>
      <c r="C239" s="12">
        <v>506</v>
      </c>
      <c r="D239" s="12">
        <v>463</v>
      </c>
      <c r="E239" s="11" t="s">
        <v>71</v>
      </c>
      <c r="F239" s="13" t="s">
        <v>506</v>
      </c>
      <c r="G239" s="14">
        <v>20</v>
      </c>
      <c r="H239" s="11" t="s">
        <v>73</v>
      </c>
      <c r="I239" s="11" t="s">
        <v>332</v>
      </c>
      <c r="J239" s="11" t="s">
        <v>75</v>
      </c>
      <c r="K239" s="11" t="s">
        <v>447</v>
      </c>
      <c r="L239" s="11" t="s">
        <v>1017</v>
      </c>
      <c r="M239" s="5" t="s">
        <v>1126</v>
      </c>
      <c r="N239" s="5" t="s">
        <v>1141</v>
      </c>
      <c r="O239" s="5" t="s">
        <v>1024</v>
      </c>
      <c r="P239" s="5" t="s">
        <v>509</v>
      </c>
      <c r="Q239" s="11" t="s">
        <v>82</v>
      </c>
      <c r="R239" s="11" t="s">
        <v>82</v>
      </c>
      <c r="S239" s="11" t="s">
        <v>82</v>
      </c>
      <c r="T239" s="11" t="s">
        <v>335</v>
      </c>
      <c r="U239" s="5" t="s">
        <v>336</v>
      </c>
      <c r="V239" s="11" t="s">
        <v>510</v>
      </c>
      <c r="W239" s="11" t="s">
        <v>511</v>
      </c>
      <c r="X239" s="11" t="s">
        <v>512</v>
      </c>
      <c r="Y239" s="11" t="s">
        <v>337</v>
      </c>
      <c r="Z239" s="11" t="s">
        <v>1142</v>
      </c>
    </row>
    <row r="240" spans="1:26">
      <c r="A240" s="11" t="s">
        <v>514</v>
      </c>
      <c r="B240" s="11" t="s">
        <v>331</v>
      </c>
      <c r="C240" s="17">
        <v>305</v>
      </c>
      <c r="D240" s="17">
        <v>491</v>
      </c>
      <c r="E240" s="11" t="s">
        <v>71</v>
      </c>
      <c r="F240" s="13" t="s">
        <v>515</v>
      </c>
      <c r="G240" s="18" t="s">
        <v>1026</v>
      </c>
      <c r="H240" s="11" t="s">
        <v>73</v>
      </c>
      <c r="I240" s="11" t="s">
        <v>332</v>
      </c>
      <c r="J240" s="11" t="s">
        <v>75</v>
      </c>
      <c r="K240" s="11" t="s">
        <v>479</v>
      </c>
      <c r="L240" s="11" t="s">
        <v>284</v>
      </c>
      <c r="M240" s="5" t="s">
        <v>1143</v>
      </c>
      <c r="N240" s="5" t="s">
        <v>1144</v>
      </c>
      <c r="O240" s="5" t="s">
        <v>583</v>
      </c>
      <c r="P240" s="5" t="s">
        <v>520</v>
      </c>
      <c r="Q240" s="11" t="s">
        <v>82</v>
      </c>
      <c r="R240" s="11" t="s">
        <v>82</v>
      </c>
      <c r="S240" s="11" t="s">
        <v>82</v>
      </c>
      <c r="T240" s="11" t="s">
        <v>335</v>
      </c>
      <c r="U240" s="5" t="s">
        <v>336</v>
      </c>
      <c r="V240" s="11" t="s">
        <v>521</v>
      </c>
      <c r="W240" s="11" t="s">
        <v>96</v>
      </c>
      <c r="X240" s="11" t="s">
        <v>97</v>
      </c>
      <c r="Y240" s="11" t="s">
        <v>337</v>
      </c>
      <c r="Z240" s="11" t="s">
        <v>1145</v>
      </c>
    </row>
    <row r="241" spans="1:26">
      <c r="A241" s="11" t="s">
        <v>523</v>
      </c>
      <c r="B241" s="11" t="s">
        <v>331</v>
      </c>
      <c r="C241" s="12">
        <v>563</v>
      </c>
      <c r="D241" s="12">
        <v>555</v>
      </c>
      <c r="E241" s="11" t="s">
        <v>71</v>
      </c>
      <c r="F241" s="13" t="s">
        <v>524</v>
      </c>
      <c r="G241" s="14">
        <v>17</v>
      </c>
      <c r="H241" s="11" t="s">
        <v>73</v>
      </c>
      <c r="I241" s="11" t="s">
        <v>332</v>
      </c>
      <c r="J241" s="11" t="s">
        <v>75</v>
      </c>
      <c r="K241" s="11" t="s">
        <v>447</v>
      </c>
      <c r="L241" s="11" t="s">
        <v>1017</v>
      </c>
      <c r="M241" s="5" t="s">
        <v>1126</v>
      </c>
      <c r="N241" s="5" t="s">
        <v>1146</v>
      </c>
      <c r="O241" s="5" t="s">
        <v>526</v>
      </c>
      <c r="P241" s="5" t="s">
        <v>527</v>
      </c>
      <c r="Q241" s="11" t="s">
        <v>82</v>
      </c>
      <c r="R241" s="11" t="s">
        <v>82</v>
      </c>
      <c r="S241" s="11" t="s">
        <v>82</v>
      </c>
      <c r="T241" s="11" t="s">
        <v>335</v>
      </c>
      <c r="U241" s="5" t="s">
        <v>336</v>
      </c>
      <c r="V241" s="11" t="s">
        <v>528</v>
      </c>
      <c r="W241" s="11" t="s">
        <v>529</v>
      </c>
      <c r="X241" s="11" t="s">
        <v>530</v>
      </c>
      <c r="Y241" s="11" t="s">
        <v>337</v>
      </c>
      <c r="Z241" s="11" t="s">
        <v>1147</v>
      </c>
    </row>
    <row r="242" spans="1:26">
      <c r="A242" s="11" t="s">
        <v>532</v>
      </c>
      <c r="B242" s="11" t="s">
        <v>331</v>
      </c>
      <c r="C242" s="12">
        <v>476</v>
      </c>
      <c r="D242" s="12">
        <v>480</v>
      </c>
      <c r="E242" s="11" t="s">
        <v>71</v>
      </c>
      <c r="F242" s="13" t="s">
        <v>533</v>
      </c>
      <c r="G242" s="14">
        <v>19</v>
      </c>
      <c r="H242" s="11" t="s">
        <v>73</v>
      </c>
      <c r="I242" s="11" t="s">
        <v>332</v>
      </c>
      <c r="J242" s="11" t="s">
        <v>75</v>
      </c>
      <c r="K242" s="11" t="s">
        <v>447</v>
      </c>
      <c r="L242" s="11" t="s">
        <v>1017</v>
      </c>
      <c r="M242" s="5" t="s">
        <v>1126</v>
      </c>
      <c r="N242" s="5" t="s">
        <v>1148</v>
      </c>
      <c r="O242" s="5" t="s">
        <v>1033</v>
      </c>
      <c r="P242" s="5" t="s">
        <v>536</v>
      </c>
      <c r="Q242" s="11" t="s">
        <v>82</v>
      </c>
      <c r="R242" s="11" t="s">
        <v>82</v>
      </c>
      <c r="S242" s="11" t="s">
        <v>82</v>
      </c>
      <c r="T242" s="11" t="s">
        <v>335</v>
      </c>
      <c r="U242" s="5" t="s">
        <v>336</v>
      </c>
      <c r="V242" s="11" t="s">
        <v>537</v>
      </c>
      <c r="W242" s="11" t="s">
        <v>538</v>
      </c>
      <c r="X242" s="11" t="s">
        <v>539</v>
      </c>
      <c r="Y242" s="11" t="s">
        <v>337</v>
      </c>
      <c r="Z242" s="11" t="s">
        <v>1149</v>
      </c>
    </row>
    <row r="243" spans="1:26">
      <c r="A243" s="11" t="s">
        <v>541</v>
      </c>
      <c r="B243" s="11" t="s">
        <v>331</v>
      </c>
      <c r="C243" s="12">
        <v>570</v>
      </c>
      <c r="D243" s="12">
        <v>506</v>
      </c>
      <c r="E243" s="11" t="s">
        <v>71</v>
      </c>
      <c r="F243" s="13" t="s">
        <v>542</v>
      </c>
      <c r="G243" s="14">
        <v>19</v>
      </c>
      <c r="H243" s="11" t="s">
        <v>73</v>
      </c>
      <c r="I243" s="11" t="s">
        <v>332</v>
      </c>
      <c r="J243" s="11" t="s">
        <v>75</v>
      </c>
      <c r="K243" s="11" t="s">
        <v>447</v>
      </c>
      <c r="L243" s="11" t="s">
        <v>1017</v>
      </c>
      <c r="M243" s="5" t="s">
        <v>1126</v>
      </c>
      <c r="N243" s="5" t="s">
        <v>1150</v>
      </c>
      <c r="O243" s="5" t="s">
        <v>1036</v>
      </c>
      <c r="P243" s="5" t="s">
        <v>545</v>
      </c>
      <c r="Q243" s="11" t="s">
        <v>82</v>
      </c>
      <c r="R243" s="11" t="s">
        <v>82</v>
      </c>
      <c r="S243" s="11" t="s">
        <v>82</v>
      </c>
      <c r="T243" s="11" t="s">
        <v>335</v>
      </c>
      <c r="U243" s="5" t="s">
        <v>336</v>
      </c>
      <c r="V243" s="11" t="s">
        <v>546</v>
      </c>
      <c r="W243" s="11" t="s">
        <v>547</v>
      </c>
      <c r="X243" s="11" t="s">
        <v>548</v>
      </c>
      <c r="Y243" s="11" t="s">
        <v>337</v>
      </c>
      <c r="Z243" s="11" t="s">
        <v>1151</v>
      </c>
    </row>
    <row r="244" spans="1:26">
      <c r="A244" s="11" t="s">
        <v>550</v>
      </c>
      <c r="B244" s="11" t="s">
        <v>331</v>
      </c>
      <c r="C244" s="17">
        <v>596</v>
      </c>
      <c r="D244" s="17">
        <v>305</v>
      </c>
      <c r="E244" s="11" t="s">
        <v>71</v>
      </c>
      <c r="F244" s="13" t="s">
        <v>551</v>
      </c>
      <c r="G244" s="18" t="s">
        <v>1038</v>
      </c>
      <c r="H244" s="11" t="s">
        <v>73</v>
      </c>
      <c r="I244" s="11" t="s">
        <v>332</v>
      </c>
      <c r="J244" s="11" t="s">
        <v>75</v>
      </c>
      <c r="K244" s="11" t="s">
        <v>479</v>
      </c>
      <c r="L244" s="11" t="s">
        <v>284</v>
      </c>
      <c r="M244" s="5" t="s">
        <v>1152</v>
      </c>
      <c r="N244" s="5" t="s">
        <v>1153</v>
      </c>
      <c r="O244" s="5" t="s">
        <v>555</v>
      </c>
      <c r="P244" s="5" t="s">
        <v>556</v>
      </c>
      <c r="Q244" s="11" t="s">
        <v>82</v>
      </c>
      <c r="R244" s="11" t="s">
        <v>82</v>
      </c>
      <c r="S244" s="11" t="s">
        <v>82</v>
      </c>
      <c r="T244" s="11" t="s">
        <v>335</v>
      </c>
      <c r="U244" s="5" t="s">
        <v>336</v>
      </c>
      <c r="V244" s="11" t="s">
        <v>557</v>
      </c>
      <c r="W244" s="11" t="s">
        <v>105</v>
      </c>
      <c r="X244" s="11" t="s">
        <v>106</v>
      </c>
      <c r="Y244" s="11" t="s">
        <v>337</v>
      </c>
      <c r="Z244" s="11" t="s">
        <v>1154</v>
      </c>
    </row>
    <row r="245" spans="1:26">
      <c r="A245" s="11" t="s">
        <v>445</v>
      </c>
      <c r="B245" s="11" t="s">
        <v>343</v>
      </c>
      <c r="C245" s="12">
        <v>4</v>
      </c>
      <c r="D245" s="12">
        <v>2</v>
      </c>
      <c r="E245" s="11" t="s">
        <v>71</v>
      </c>
      <c r="F245" s="13" t="s">
        <v>446</v>
      </c>
      <c r="G245" s="14">
        <v>18</v>
      </c>
      <c r="H245" s="11" t="s">
        <v>73</v>
      </c>
      <c r="I245" s="11" t="s">
        <v>344</v>
      </c>
      <c r="J245" s="11" t="s">
        <v>75</v>
      </c>
      <c r="K245" s="11" t="s">
        <v>447</v>
      </c>
      <c r="L245" s="11" t="s">
        <v>1000</v>
      </c>
      <c r="M245" s="5" t="s">
        <v>1155</v>
      </c>
      <c r="N245" s="5" t="s">
        <v>1090</v>
      </c>
      <c r="O245" s="5" t="s">
        <v>1003</v>
      </c>
      <c r="P245" s="5" t="s">
        <v>452</v>
      </c>
      <c r="Q245" s="11" t="s">
        <v>82</v>
      </c>
      <c r="R245" s="11" t="s">
        <v>82</v>
      </c>
      <c r="S245" s="11" t="s">
        <v>82</v>
      </c>
      <c r="T245" s="11" t="s">
        <v>347</v>
      </c>
      <c r="U245" s="5" t="s">
        <v>1156</v>
      </c>
      <c r="V245" s="11" t="s">
        <v>454</v>
      </c>
      <c r="W245" s="11" t="s">
        <v>455</v>
      </c>
      <c r="X245" s="11" t="s">
        <v>456</v>
      </c>
      <c r="Y245" s="11" t="s">
        <v>349</v>
      </c>
      <c r="Z245" s="11" t="s">
        <v>1157</v>
      </c>
    </row>
    <row r="246" spans="1:26">
      <c r="A246" s="11" t="s">
        <v>458</v>
      </c>
      <c r="B246" s="11" t="s">
        <v>343</v>
      </c>
      <c r="C246" s="12">
        <v>3</v>
      </c>
      <c r="D246" s="12">
        <v>10</v>
      </c>
      <c r="E246" s="11" t="s">
        <v>71</v>
      </c>
      <c r="F246" s="13" t="s">
        <v>459</v>
      </c>
      <c r="G246" s="14">
        <v>22</v>
      </c>
      <c r="H246" s="11" t="s">
        <v>73</v>
      </c>
      <c r="I246" s="11" t="s">
        <v>344</v>
      </c>
      <c r="J246" s="11" t="s">
        <v>75</v>
      </c>
      <c r="K246" s="11" t="s">
        <v>447</v>
      </c>
      <c r="L246" s="11" t="s">
        <v>1000</v>
      </c>
      <c r="M246" s="5" t="s">
        <v>1155</v>
      </c>
      <c r="N246" s="5" t="s">
        <v>1158</v>
      </c>
      <c r="O246" s="5" t="s">
        <v>1007</v>
      </c>
      <c r="P246" s="5" t="s">
        <v>462</v>
      </c>
      <c r="Q246" s="11" t="s">
        <v>82</v>
      </c>
      <c r="R246" s="11" t="s">
        <v>82</v>
      </c>
      <c r="S246" s="11" t="s">
        <v>82</v>
      </c>
      <c r="T246" s="11" t="s">
        <v>347</v>
      </c>
      <c r="U246" s="5" t="s">
        <v>1156</v>
      </c>
      <c r="V246" s="11" t="s">
        <v>463</v>
      </c>
      <c r="W246" s="11" t="s">
        <v>464</v>
      </c>
      <c r="X246" s="11" t="s">
        <v>465</v>
      </c>
      <c r="Y246" s="11" t="s">
        <v>349</v>
      </c>
      <c r="Z246" s="11" t="s">
        <v>1159</v>
      </c>
    </row>
    <row r="247" spans="1:26">
      <c r="A247" s="11" t="s">
        <v>467</v>
      </c>
      <c r="B247" s="11" t="s">
        <v>343</v>
      </c>
      <c r="C247" s="12">
        <v>0</v>
      </c>
      <c r="D247" s="12">
        <v>6</v>
      </c>
      <c r="E247" s="11" t="s">
        <v>71</v>
      </c>
      <c r="F247" s="13" t="s">
        <v>468</v>
      </c>
      <c r="G247" s="14">
        <v>22</v>
      </c>
      <c r="H247" s="11" t="s">
        <v>73</v>
      </c>
      <c r="I247" s="11" t="s">
        <v>344</v>
      </c>
      <c r="J247" s="11" t="s">
        <v>75</v>
      </c>
      <c r="K247" s="11" t="s">
        <v>447</v>
      </c>
      <c r="L247" s="11" t="s">
        <v>1000</v>
      </c>
      <c r="M247" s="5" t="s">
        <v>1155</v>
      </c>
      <c r="N247" s="5" t="s">
        <v>1160</v>
      </c>
      <c r="O247" s="5" t="s">
        <v>1010</v>
      </c>
      <c r="P247" s="5" t="s">
        <v>471</v>
      </c>
      <c r="Q247" s="11" t="s">
        <v>82</v>
      </c>
      <c r="R247" s="11" t="s">
        <v>82</v>
      </c>
      <c r="S247" s="11" t="s">
        <v>82</v>
      </c>
      <c r="T247" s="11" t="s">
        <v>347</v>
      </c>
      <c r="U247" s="5" t="s">
        <v>348</v>
      </c>
      <c r="V247" s="11" t="s">
        <v>472</v>
      </c>
      <c r="W247" s="11" t="s">
        <v>473</v>
      </c>
      <c r="X247" s="11" t="s">
        <v>474</v>
      </c>
      <c r="Y247" s="11" t="s">
        <v>349</v>
      </c>
      <c r="Z247" s="11" t="s">
        <v>1161</v>
      </c>
    </row>
    <row r="248" spans="1:26">
      <c r="A248" s="11" t="s">
        <v>476</v>
      </c>
      <c r="B248" s="11" t="s">
        <v>343</v>
      </c>
      <c r="C248" s="17">
        <v>-14</v>
      </c>
      <c r="D248" s="17">
        <v>8</v>
      </c>
      <c r="E248" s="11" t="s">
        <v>71</v>
      </c>
      <c r="F248" s="13" t="s">
        <v>477</v>
      </c>
      <c r="G248" s="18" t="s">
        <v>1012</v>
      </c>
      <c r="H248" s="11" t="s">
        <v>73</v>
      </c>
      <c r="I248" s="11" t="s">
        <v>344</v>
      </c>
      <c r="J248" s="11" t="s">
        <v>75</v>
      </c>
      <c r="K248" s="11" t="s">
        <v>479</v>
      </c>
      <c r="L248" s="11" t="s">
        <v>284</v>
      </c>
      <c r="M248" s="5" t="s">
        <v>1162</v>
      </c>
      <c r="N248" s="5" t="s">
        <v>1163</v>
      </c>
      <c r="O248" s="5" t="s">
        <v>571</v>
      </c>
      <c r="P248" s="5" t="s">
        <v>483</v>
      </c>
      <c r="Q248" s="11" t="s">
        <v>82</v>
      </c>
      <c r="R248" s="11" t="s">
        <v>82</v>
      </c>
      <c r="S248" s="11" t="s">
        <v>82</v>
      </c>
      <c r="T248" s="11" t="s">
        <v>347</v>
      </c>
      <c r="U248" s="5" t="s">
        <v>348</v>
      </c>
      <c r="V248" s="11" t="s">
        <v>484</v>
      </c>
      <c r="W248" s="11" t="s">
        <v>86</v>
      </c>
      <c r="X248" s="11" t="s">
        <v>87</v>
      </c>
      <c r="Y248" s="11" t="s">
        <v>349</v>
      </c>
      <c r="Z248" s="11" t="s">
        <v>1164</v>
      </c>
    </row>
    <row r="249" spans="1:26">
      <c r="A249" s="11" t="s">
        <v>486</v>
      </c>
      <c r="B249" s="11" t="s">
        <v>343</v>
      </c>
      <c r="C249" s="12">
        <v>9</v>
      </c>
      <c r="D249" s="12">
        <v>4</v>
      </c>
      <c r="E249" s="11" t="s">
        <v>71</v>
      </c>
      <c r="F249" s="13" t="s">
        <v>487</v>
      </c>
      <c r="G249" s="14">
        <v>17</v>
      </c>
      <c r="H249" s="11" t="s">
        <v>73</v>
      </c>
      <c r="I249" s="11" t="s">
        <v>344</v>
      </c>
      <c r="J249" s="11" t="s">
        <v>75</v>
      </c>
      <c r="K249" s="11" t="s">
        <v>447</v>
      </c>
      <c r="L249" s="11" t="s">
        <v>1017</v>
      </c>
      <c r="M249" s="5" t="s">
        <v>1155</v>
      </c>
      <c r="N249" s="5" t="s">
        <v>1075</v>
      </c>
      <c r="O249" s="5" t="s">
        <v>526</v>
      </c>
      <c r="P249" s="5" t="s">
        <v>491</v>
      </c>
      <c r="Q249" s="11" t="s">
        <v>82</v>
      </c>
      <c r="R249" s="11" t="s">
        <v>82</v>
      </c>
      <c r="S249" s="11" t="s">
        <v>82</v>
      </c>
      <c r="T249" s="11" t="s">
        <v>347</v>
      </c>
      <c r="U249" s="5" t="s">
        <v>348</v>
      </c>
      <c r="V249" s="11" t="s">
        <v>492</v>
      </c>
      <c r="W249" s="11" t="s">
        <v>493</v>
      </c>
      <c r="X249" s="11" t="s">
        <v>494</v>
      </c>
      <c r="Y249" s="11" t="s">
        <v>349</v>
      </c>
      <c r="Z249" s="11" t="s">
        <v>1165</v>
      </c>
    </row>
    <row r="250" spans="1:26">
      <c r="A250" s="11" t="s">
        <v>496</v>
      </c>
      <c r="B250" s="11" t="s">
        <v>343</v>
      </c>
      <c r="C250" s="12">
        <v>2</v>
      </c>
      <c r="D250" s="12">
        <v>3</v>
      </c>
      <c r="E250" s="11" t="s">
        <v>71</v>
      </c>
      <c r="F250" s="13" t="s">
        <v>497</v>
      </c>
      <c r="G250" s="14">
        <v>20</v>
      </c>
      <c r="H250" s="11" t="s">
        <v>73</v>
      </c>
      <c r="I250" s="11" t="s">
        <v>344</v>
      </c>
      <c r="J250" s="11" t="s">
        <v>75</v>
      </c>
      <c r="K250" s="11" t="s">
        <v>447</v>
      </c>
      <c r="L250" s="11" t="s">
        <v>1017</v>
      </c>
      <c r="M250" s="5" t="s">
        <v>1155</v>
      </c>
      <c r="N250" s="5" t="s">
        <v>1166</v>
      </c>
      <c r="O250" s="5" t="s">
        <v>1021</v>
      </c>
      <c r="P250" s="5" t="s">
        <v>500</v>
      </c>
      <c r="Q250" s="11" t="s">
        <v>82</v>
      </c>
      <c r="R250" s="11" t="s">
        <v>82</v>
      </c>
      <c r="S250" s="11" t="s">
        <v>82</v>
      </c>
      <c r="T250" s="11" t="s">
        <v>347</v>
      </c>
      <c r="U250" s="5" t="s">
        <v>348</v>
      </c>
      <c r="V250" s="11" t="s">
        <v>501</v>
      </c>
      <c r="W250" s="11" t="s">
        <v>502</v>
      </c>
      <c r="X250" s="11" t="s">
        <v>503</v>
      </c>
      <c r="Y250" s="11" t="s">
        <v>349</v>
      </c>
      <c r="Z250" s="11" t="s">
        <v>1167</v>
      </c>
    </row>
    <row r="251" spans="1:26">
      <c r="A251" s="11" t="s">
        <v>505</v>
      </c>
      <c r="B251" s="11" t="s">
        <v>343</v>
      </c>
      <c r="C251" s="12">
        <v>-18</v>
      </c>
      <c r="D251" s="12">
        <v>0</v>
      </c>
      <c r="E251" s="11" t="s">
        <v>71</v>
      </c>
      <c r="F251" s="13" t="s">
        <v>506</v>
      </c>
      <c r="G251" s="14">
        <v>20</v>
      </c>
      <c r="H251" s="11" t="s">
        <v>73</v>
      </c>
      <c r="I251" s="11" t="s">
        <v>344</v>
      </c>
      <c r="J251" s="11" t="s">
        <v>75</v>
      </c>
      <c r="K251" s="11" t="s">
        <v>447</v>
      </c>
      <c r="L251" s="11" t="s">
        <v>1017</v>
      </c>
      <c r="M251" s="5" t="s">
        <v>1155</v>
      </c>
      <c r="N251" s="5" t="s">
        <v>1168</v>
      </c>
      <c r="O251" s="5" t="s">
        <v>1024</v>
      </c>
      <c r="P251" s="5" t="s">
        <v>509</v>
      </c>
      <c r="Q251" s="11" t="s">
        <v>82</v>
      </c>
      <c r="R251" s="11" t="s">
        <v>82</v>
      </c>
      <c r="S251" s="11" t="s">
        <v>82</v>
      </c>
      <c r="T251" s="11" t="s">
        <v>347</v>
      </c>
      <c r="U251" s="5" t="s">
        <v>348</v>
      </c>
      <c r="V251" s="11" t="s">
        <v>510</v>
      </c>
      <c r="W251" s="11" t="s">
        <v>511</v>
      </c>
      <c r="X251" s="11" t="s">
        <v>512</v>
      </c>
      <c r="Y251" s="11" t="s">
        <v>349</v>
      </c>
      <c r="Z251" s="11" t="s">
        <v>1169</v>
      </c>
    </row>
    <row r="252" spans="1:26">
      <c r="A252" s="11" t="s">
        <v>514</v>
      </c>
      <c r="B252" s="11" t="s">
        <v>343</v>
      </c>
      <c r="C252" s="17">
        <v>-4</v>
      </c>
      <c r="D252" s="17">
        <v>-14</v>
      </c>
      <c r="E252" s="11" t="s">
        <v>71</v>
      </c>
      <c r="F252" s="13" t="s">
        <v>515</v>
      </c>
      <c r="G252" s="18" t="s">
        <v>1026</v>
      </c>
      <c r="H252" s="11" t="s">
        <v>73</v>
      </c>
      <c r="I252" s="11" t="s">
        <v>344</v>
      </c>
      <c r="J252" s="11" t="s">
        <v>75</v>
      </c>
      <c r="K252" s="11" t="s">
        <v>479</v>
      </c>
      <c r="L252" s="11" t="s">
        <v>284</v>
      </c>
      <c r="M252" s="5" t="s">
        <v>1170</v>
      </c>
      <c r="N252" s="5" t="s">
        <v>1171</v>
      </c>
      <c r="O252" s="5" t="s">
        <v>583</v>
      </c>
      <c r="P252" s="5" t="s">
        <v>520</v>
      </c>
      <c r="Q252" s="11" t="s">
        <v>82</v>
      </c>
      <c r="R252" s="11" t="s">
        <v>82</v>
      </c>
      <c r="S252" s="11" t="s">
        <v>82</v>
      </c>
      <c r="T252" s="11" t="s">
        <v>347</v>
      </c>
      <c r="U252" s="5" t="s">
        <v>348</v>
      </c>
      <c r="V252" s="11" t="s">
        <v>521</v>
      </c>
      <c r="W252" s="11" t="s">
        <v>96</v>
      </c>
      <c r="X252" s="11" t="s">
        <v>97</v>
      </c>
      <c r="Y252" s="11" t="s">
        <v>349</v>
      </c>
      <c r="Z252" s="11" t="s">
        <v>1172</v>
      </c>
    </row>
    <row r="253" spans="1:26">
      <c r="A253" s="11" t="s">
        <v>523</v>
      </c>
      <c r="B253" s="11" t="s">
        <v>343</v>
      </c>
      <c r="C253" s="12">
        <v>13</v>
      </c>
      <c r="D253" s="12">
        <v>9</v>
      </c>
      <c r="E253" s="11" t="s">
        <v>71</v>
      </c>
      <c r="F253" s="13" t="s">
        <v>524</v>
      </c>
      <c r="G253" s="14">
        <v>17</v>
      </c>
      <c r="H253" s="11" t="s">
        <v>73</v>
      </c>
      <c r="I253" s="11" t="s">
        <v>344</v>
      </c>
      <c r="J253" s="11" t="s">
        <v>75</v>
      </c>
      <c r="K253" s="11" t="s">
        <v>447</v>
      </c>
      <c r="L253" s="11" t="s">
        <v>1017</v>
      </c>
      <c r="M253" s="5" t="s">
        <v>1155</v>
      </c>
      <c r="N253" s="5" t="s">
        <v>1173</v>
      </c>
      <c r="O253" s="5" t="s">
        <v>526</v>
      </c>
      <c r="P253" s="5" t="s">
        <v>527</v>
      </c>
      <c r="Q253" s="11" t="s">
        <v>82</v>
      </c>
      <c r="R253" s="11" t="s">
        <v>82</v>
      </c>
      <c r="S253" s="11" t="s">
        <v>82</v>
      </c>
      <c r="T253" s="11" t="s">
        <v>347</v>
      </c>
      <c r="U253" s="5" t="s">
        <v>348</v>
      </c>
      <c r="V253" s="11" t="s">
        <v>528</v>
      </c>
      <c r="W253" s="11" t="s">
        <v>529</v>
      </c>
      <c r="X253" s="11" t="s">
        <v>530</v>
      </c>
      <c r="Y253" s="11" t="s">
        <v>349</v>
      </c>
      <c r="Z253" s="11" t="s">
        <v>1174</v>
      </c>
    </row>
    <row r="254" spans="1:26">
      <c r="A254" s="11" t="s">
        <v>532</v>
      </c>
      <c r="B254" s="11" t="s">
        <v>343</v>
      </c>
      <c r="C254" s="12">
        <v>26</v>
      </c>
      <c r="D254" s="12">
        <v>2</v>
      </c>
      <c r="E254" s="11" t="s">
        <v>71</v>
      </c>
      <c r="F254" s="13" t="s">
        <v>533</v>
      </c>
      <c r="G254" s="14">
        <v>19</v>
      </c>
      <c r="H254" s="11" t="s">
        <v>73</v>
      </c>
      <c r="I254" s="11" t="s">
        <v>344</v>
      </c>
      <c r="J254" s="11" t="s">
        <v>75</v>
      </c>
      <c r="K254" s="11" t="s">
        <v>447</v>
      </c>
      <c r="L254" s="11" t="s">
        <v>1017</v>
      </c>
      <c r="M254" s="5" t="s">
        <v>1155</v>
      </c>
      <c r="N254" s="5" t="s">
        <v>1175</v>
      </c>
      <c r="O254" s="5" t="s">
        <v>1033</v>
      </c>
      <c r="P254" s="5" t="s">
        <v>536</v>
      </c>
      <c r="Q254" s="11" t="s">
        <v>82</v>
      </c>
      <c r="R254" s="11" t="s">
        <v>82</v>
      </c>
      <c r="S254" s="11" t="s">
        <v>82</v>
      </c>
      <c r="T254" s="11" t="s">
        <v>347</v>
      </c>
      <c r="U254" s="5" t="s">
        <v>348</v>
      </c>
      <c r="V254" s="11" t="s">
        <v>537</v>
      </c>
      <c r="W254" s="11" t="s">
        <v>538</v>
      </c>
      <c r="X254" s="11" t="s">
        <v>539</v>
      </c>
      <c r="Y254" s="11" t="s">
        <v>349</v>
      </c>
      <c r="Z254" s="11" t="s">
        <v>1176</v>
      </c>
    </row>
    <row r="255" spans="1:26">
      <c r="A255" s="11" t="s">
        <v>541</v>
      </c>
      <c r="B255" s="11" t="s">
        <v>343</v>
      </c>
      <c r="C255" s="12">
        <v>14</v>
      </c>
      <c r="D255" s="12">
        <v>-18</v>
      </c>
      <c r="E255" s="11" t="s">
        <v>71</v>
      </c>
      <c r="F255" s="13" t="s">
        <v>542</v>
      </c>
      <c r="G255" s="14">
        <v>19</v>
      </c>
      <c r="H255" s="11" t="s">
        <v>73</v>
      </c>
      <c r="I255" s="11" t="s">
        <v>344</v>
      </c>
      <c r="J255" s="11" t="s">
        <v>75</v>
      </c>
      <c r="K255" s="11" t="s">
        <v>447</v>
      </c>
      <c r="L255" s="11" t="s">
        <v>1017</v>
      </c>
      <c r="M255" s="5" t="s">
        <v>1155</v>
      </c>
      <c r="N255" s="5" t="s">
        <v>184</v>
      </c>
      <c r="O255" s="5" t="s">
        <v>1036</v>
      </c>
      <c r="P255" s="5" t="s">
        <v>545</v>
      </c>
      <c r="Q255" s="11" t="s">
        <v>82</v>
      </c>
      <c r="R255" s="11" t="s">
        <v>82</v>
      </c>
      <c r="S255" s="11" t="s">
        <v>82</v>
      </c>
      <c r="T255" s="11" t="s">
        <v>347</v>
      </c>
      <c r="U255" s="5" t="s">
        <v>348</v>
      </c>
      <c r="V255" s="11" t="s">
        <v>546</v>
      </c>
      <c r="W255" s="11" t="s">
        <v>547</v>
      </c>
      <c r="X255" s="11" t="s">
        <v>548</v>
      </c>
      <c r="Y255" s="11" t="s">
        <v>349</v>
      </c>
      <c r="Z255" s="11" t="s">
        <v>1177</v>
      </c>
    </row>
    <row r="256" spans="1:26">
      <c r="A256" s="11" t="s">
        <v>550</v>
      </c>
      <c r="B256" s="11" t="s">
        <v>343</v>
      </c>
      <c r="C256" s="17">
        <v>-13</v>
      </c>
      <c r="D256" s="17">
        <v>-4</v>
      </c>
      <c r="E256" s="11" t="s">
        <v>71</v>
      </c>
      <c r="F256" s="13" t="s">
        <v>551</v>
      </c>
      <c r="G256" s="18" t="s">
        <v>1038</v>
      </c>
      <c r="H256" s="11" t="s">
        <v>73</v>
      </c>
      <c r="I256" s="11" t="s">
        <v>344</v>
      </c>
      <c r="J256" s="11" t="s">
        <v>75</v>
      </c>
      <c r="K256" s="11" t="s">
        <v>479</v>
      </c>
      <c r="L256" s="11" t="s">
        <v>284</v>
      </c>
      <c r="M256" s="5" t="s">
        <v>1178</v>
      </c>
      <c r="N256" s="5" t="s">
        <v>1179</v>
      </c>
      <c r="O256" s="5" t="s">
        <v>555</v>
      </c>
      <c r="P256" s="5" t="s">
        <v>556</v>
      </c>
      <c r="Q256" s="11" t="s">
        <v>82</v>
      </c>
      <c r="R256" s="11" t="s">
        <v>82</v>
      </c>
      <c r="S256" s="11" t="s">
        <v>82</v>
      </c>
      <c r="T256" s="11" t="s">
        <v>347</v>
      </c>
      <c r="U256" s="5" t="s">
        <v>348</v>
      </c>
      <c r="V256" s="11" t="s">
        <v>557</v>
      </c>
      <c r="W256" s="11" t="s">
        <v>105</v>
      </c>
      <c r="X256" s="11" t="s">
        <v>106</v>
      </c>
      <c r="Y256" s="11" t="s">
        <v>349</v>
      </c>
      <c r="Z256" s="11" t="s">
        <v>1180</v>
      </c>
    </row>
    <row r="257" spans="1:26">
      <c r="A257" s="11" t="s">
        <v>445</v>
      </c>
      <c r="B257" s="11" t="s">
        <v>355</v>
      </c>
      <c r="C257" s="16">
        <v>0.77</v>
      </c>
      <c r="D257" s="16">
        <v>0.5669999999999999</v>
      </c>
      <c r="E257" s="11" t="s">
        <v>356</v>
      </c>
      <c r="F257" s="13" t="s">
        <v>446</v>
      </c>
      <c r="G257" s="14">
        <v>23</v>
      </c>
      <c r="H257" s="11" t="s">
        <v>73</v>
      </c>
      <c r="I257" s="11" t="s">
        <v>282</v>
      </c>
      <c r="J257" s="11" t="s">
        <v>357</v>
      </c>
      <c r="K257" s="11" t="s">
        <v>358</v>
      </c>
      <c r="L257" s="11" t="s">
        <v>886</v>
      </c>
      <c r="M257" s="5" t="s">
        <v>1181</v>
      </c>
      <c r="N257" s="5" t="s">
        <v>1182</v>
      </c>
      <c r="O257" s="5" t="s">
        <v>111</v>
      </c>
      <c r="P257" s="5" t="s">
        <v>452</v>
      </c>
      <c r="Q257" s="11" t="s">
        <v>82</v>
      </c>
      <c r="R257" s="11" t="s">
        <v>82</v>
      </c>
      <c r="S257" s="11" t="s">
        <v>82</v>
      </c>
      <c r="T257" s="11" t="s">
        <v>361</v>
      </c>
      <c r="U257" s="5" t="s">
        <v>246</v>
      </c>
      <c r="V257" s="11" t="s">
        <v>454</v>
      </c>
      <c r="W257" s="11" t="s">
        <v>455</v>
      </c>
      <c r="X257" s="11" t="s">
        <v>456</v>
      </c>
      <c r="Y257" s="11" t="s">
        <v>362</v>
      </c>
      <c r="Z257" s="11" t="s">
        <v>1183</v>
      </c>
    </row>
    <row r="258" spans="1:26">
      <c r="A258" s="11" t="s">
        <v>458</v>
      </c>
      <c r="B258" s="11" t="s">
        <v>355</v>
      </c>
      <c r="C258" s="16">
        <v>0.977</v>
      </c>
      <c r="D258" s="16">
        <v>0.71</v>
      </c>
      <c r="E258" s="11" t="s">
        <v>356</v>
      </c>
      <c r="F258" s="13" t="s">
        <v>459</v>
      </c>
      <c r="G258" s="14">
        <v>27</v>
      </c>
      <c r="H258" s="11" t="s">
        <v>73</v>
      </c>
      <c r="I258" s="11" t="s">
        <v>282</v>
      </c>
      <c r="J258" s="11" t="s">
        <v>357</v>
      </c>
      <c r="K258" s="11" t="s">
        <v>358</v>
      </c>
      <c r="L258" s="11" t="s">
        <v>886</v>
      </c>
      <c r="M258" s="5" t="s">
        <v>1181</v>
      </c>
      <c r="N258" s="5" t="s">
        <v>1184</v>
      </c>
      <c r="O258" s="5" t="s">
        <v>1185</v>
      </c>
      <c r="P258" s="5" t="s">
        <v>462</v>
      </c>
      <c r="Q258" s="11" t="s">
        <v>82</v>
      </c>
      <c r="R258" s="11" t="s">
        <v>82</v>
      </c>
      <c r="S258" s="11" t="s">
        <v>82</v>
      </c>
      <c r="T258" s="11" t="s">
        <v>361</v>
      </c>
      <c r="U258" s="5" t="s">
        <v>246</v>
      </c>
      <c r="V258" s="11" t="s">
        <v>463</v>
      </c>
      <c r="W258" s="11" t="s">
        <v>464</v>
      </c>
      <c r="X258" s="11" t="s">
        <v>465</v>
      </c>
      <c r="Y258" s="11" t="s">
        <v>362</v>
      </c>
      <c r="Z258" s="11" t="s">
        <v>1186</v>
      </c>
    </row>
    <row r="259" spans="1:26">
      <c r="A259" s="11" t="s">
        <v>467</v>
      </c>
      <c r="B259" s="11" t="s">
        <v>355</v>
      </c>
      <c r="C259" s="16">
        <v>1.034</v>
      </c>
      <c r="D259" s="16">
        <v>0.774</v>
      </c>
      <c r="E259" s="11" t="s">
        <v>356</v>
      </c>
      <c r="F259" s="13" t="s">
        <v>468</v>
      </c>
      <c r="G259" s="14">
        <v>27</v>
      </c>
      <c r="H259" s="11" t="s">
        <v>73</v>
      </c>
      <c r="I259" s="11" t="s">
        <v>282</v>
      </c>
      <c r="J259" s="11" t="s">
        <v>357</v>
      </c>
      <c r="K259" s="11" t="s">
        <v>358</v>
      </c>
      <c r="L259" s="11" t="s">
        <v>886</v>
      </c>
      <c r="M259" s="5" t="s">
        <v>1181</v>
      </c>
      <c r="N259" s="5" t="s">
        <v>1187</v>
      </c>
      <c r="O259" s="5" t="s">
        <v>1188</v>
      </c>
      <c r="P259" s="5" t="s">
        <v>471</v>
      </c>
      <c r="Q259" s="11" t="s">
        <v>82</v>
      </c>
      <c r="R259" s="11" t="s">
        <v>82</v>
      </c>
      <c r="S259" s="11" t="s">
        <v>82</v>
      </c>
      <c r="T259" s="11" t="s">
        <v>361</v>
      </c>
      <c r="U259" s="5" t="s">
        <v>246</v>
      </c>
      <c r="V259" s="11" t="s">
        <v>472</v>
      </c>
      <c r="W259" s="11" t="s">
        <v>473</v>
      </c>
      <c r="X259" s="11" t="s">
        <v>474</v>
      </c>
      <c r="Y259" s="11" t="s">
        <v>362</v>
      </c>
      <c r="Z259" s="11" t="s">
        <v>1189</v>
      </c>
    </row>
    <row r="260" spans="1:26">
      <c r="A260" s="11" t="s">
        <v>476</v>
      </c>
      <c r="B260" s="11" t="s">
        <v>355</v>
      </c>
      <c r="C260" s="19">
        <v>1.019</v>
      </c>
      <c r="D260" s="19">
        <v>0.749</v>
      </c>
      <c r="E260" s="11" t="s">
        <v>356</v>
      </c>
      <c r="F260" s="13" t="s">
        <v>477</v>
      </c>
      <c r="G260" s="18" t="s">
        <v>1190</v>
      </c>
      <c r="H260" s="11" t="s">
        <v>73</v>
      </c>
      <c r="I260" s="11" t="s">
        <v>282</v>
      </c>
      <c r="J260" s="11" t="s">
        <v>357</v>
      </c>
      <c r="K260" s="11" t="s">
        <v>479</v>
      </c>
      <c r="L260" s="11" t="s">
        <v>241</v>
      </c>
      <c r="M260" s="5" t="s">
        <v>1191</v>
      </c>
      <c r="N260" s="5" t="s">
        <v>1192</v>
      </c>
      <c r="O260" s="5" t="s">
        <v>1193</v>
      </c>
      <c r="P260" s="5" t="s">
        <v>1194</v>
      </c>
      <c r="Q260" s="11" t="s">
        <v>82</v>
      </c>
      <c r="R260" s="11" t="s">
        <v>82</v>
      </c>
      <c r="S260" s="11" t="s">
        <v>82</v>
      </c>
      <c r="T260" s="11" t="s">
        <v>361</v>
      </c>
      <c r="U260" s="5" t="s">
        <v>246</v>
      </c>
      <c r="V260" s="11" t="s">
        <v>484</v>
      </c>
      <c r="W260" s="11" t="s">
        <v>86</v>
      </c>
      <c r="X260" s="11" t="s">
        <v>87</v>
      </c>
      <c r="Y260" s="11" t="s">
        <v>362</v>
      </c>
      <c r="Z260" s="11" t="s">
        <v>1195</v>
      </c>
    </row>
    <row r="261" spans="1:26">
      <c r="A261" s="11" t="s">
        <v>486</v>
      </c>
      <c r="B261" s="11" t="s">
        <v>355</v>
      </c>
      <c r="C261" s="16">
        <v>1.1</v>
      </c>
      <c r="D261" s="16">
        <v>0.77</v>
      </c>
      <c r="E261" s="11" t="s">
        <v>356</v>
      </c>
      <c r="F261" s="13" t="s">
        <v>487</v>
      </c>
      <c r="G261" s="14">
        <v>24</v>
      </c>
      <c r="H261" s="11" t="s">
        <v>73</v>
      </c>
      <c r="I261" s="11" t="s">
        <v>282</v>
      </c>
      <c r="J261" s="11" t="s">
        <v>357</v>
      </c>
      <c r="K261" s="11" t="s">
        <v>358</v>
      </c>
      <c r="L261" s="11" t="s">
        <v>886</v>
      </c>
      <c r="M261" s="5" t="s">
        <v>1181</v>
      </c>
      <c r="N261" s="5" t="s">
        <v>1196</v>
      </c>
      <c r="O261" s="5" t="s">
        <v>111</v>
      </c>
      <c r="P261" s="5" t="s">
        <v>491</v>
      </c>
      <c r="Q261" s="11" t="s">
        <v>82</v>
      </c>
      <c r="R261" s="11" t="s">
        <v>82</v>
      </c>
      <c r="S261" s="11" t="s">
        <v>82</v>
      </c>
      <c r="T261" s="11" t="s">
        <v>361</v>
      </c>
      <c r="U261" s="5" t="s">
        <v>246</v>
      </c>
      <c r="V261" s="11" t="s">
        <v>492</v>
      </c>
      <c r="W261" s="11" t="s">
        <v>493</v>
      </c>
      <c r="X261" s="11" t="s">
        <v>494</v>
      </c>
      <c r="Y261" s="11" t="s">
        <v>362</v>
      </c>
      <c r="Z261" s="11" t="s">
        <v>1197</v>
      </c>
    </row>
    <row r="262" spans="1:26">
      <c r="A262" s="11" t="s">
        <v>496</v>
      </c>
      <c r="B262" s="11" t="s">
        <v>355</v>
      </c>
      <c r="C262" s="16">
        <v>1.3</v>
      </c>
      <c r="D262" s="16">
        <v>0.977</v>
      </c>
      <c r="E262" s="11" t="s">
        <v>356</v>
      </c>
      <c r="F262" s="13" t="s">
        <v>497</v>
      </c>
      <c r="G262" s="14">
        <v>28</v>
      </c>
      <c r="H262" s="11" t="s">
        <v>73</v>
      </c>
      <c r="I262" s="11" t="s">
        <v>282</v>
      </c>
      <c r="J262" s="11" t="s">
        <v>357</v>
      </c>
      <c r="K262" s="11" t="s">
        <v>358</v>
      </c>
      <c r="L262" s="11" t="s">
        <v>886</v>
      </c>
      <c r="M262" s="5" t="s">
        <v>1181</v>
      </c>
      <c r="N262" s="5" t="s">
        <v>1198</v>
      </c>
      <c r="O262" s="5" t="s">
        <v>1199</v>
      </c>
      <c r="P262" s="5" t="s">
        <v>500</v>
      </c>
      <c r="Q262" s="11" t="s">
        <v>82</v>
      </c>
      <c r="R262" s="11" t="s">
        <v>82</v>
      </c>
      <c r="S262" s="11" t="s">
        <v>82</v>
      </c>
      <c r="T262" s="11" t="s">
        <v>361</v>
      </c>
      <c r="U262" s="5" t="s">
        <v>246</v>
      </c>
      <c r="V262" s="11" t="s">
        <v>501</v>
      </c>
      <c r="W262" s="11" t="s">
        <v>502</v>
      </c>
      <c r="X262" s="11" t="s">
        <v>503</v>
      </c>
      <c r="Y262" s="11" t="s">
        <v>362</v>
      </c>
      <c r="Z262" s="11" t="s">
        <v>1200</v>
      </c>
    </row>
    <row r="263" spans="1:26">
      <c r="A263" s="11" t="s">
        <v>505</v>
      </c>
      <c r="B263" s="11" t="s">
        <v>355</v>
      </c>
      <c r="C263" s="16">
        <v>1.4</v>
      </c>
      <c r="D263" s="16">
        <v>1</v>
      </c>
      <c r="E263" s="11" t="s">
        <v>356</v>
      </c>
      <c r="F263" s="13" t="s">
        <v>506</v>
      </c>
      <c r="G263" s="14">
        <v>31</v>
      </c>
      <c r="H263" s="11" t="s">
        <v>73</v>
      </c>
      <c r="I263" s="11" t="s">
        <v>282</v>
      </c>
      <c r="J263" s="11" t="s">
        <v>357</v>
      </c>
      <c r="K263" s="11" t="s">
        <v>358</v>
      </c>
      <c r="L263" s="11" t="s">
        <v>886</v>
      </c>
      <c r="M263" s="5" t="s">
        <v>1181</v>
      </c>
      <c r="N263" s="5" t="s">
        <v>1201</v>
      </c>
      <c r="O263" s="5" t="s">
        <v>1202</v>
      </c>
      <c r="P263" s="5" t="s">
        <v>509</v>
      </c>
      <c r="Q263" s="11" t="s">
        <v>82</v>
      </c>
      <c r="R263" s="11" t="s">
        <v>82</v>
      </c>
      <c r="S263" s="11" t="s">
        <v>82</v>
      </c>
      <c r="T263" s="11" t="s">
        <v>361</v>
      </c>
      <c r="U263" s="5" t="s">
        <v>246</v>
      </c>
      <c r="V263" s="11" t="s">
        <v>510</v>
      </c>
      <c r="W263" s="11" t="s">
        <v>511</v>
      </c>
      <c r="X263" s="11" t="s">
        <v>512</v>
      </c>
      <c r="Y263" s="11" t="s">
        <v>362</v>
      </c>
      <c r="Z263" s="11" t="s">
        <v>1203</v>
      </c>
    </row>
    <row r="264" spans="1:26">
      <c r="A264" s="11" t="s">
        <v>514</v>
      </c>
      <c r="B264" s="11" t="s">
        <v>355</v>
      </c>
      <c r="C264" s="19">
        <v>1.7</v>
      </c>
      <c r="D264" s="19">
        <v>1</v>
      </c>
      <c r="E264" s="11" t="s">
        <v>356</v>
      </c>
      <c r="F264" s="13" t="s">
        <v>515</v>
      </c>
      <c r="G264" s="18" t="s">
        <v>1204</v>
      </c>
      <c r="H264" s="11" t="s">
        <v>73</v>
      </c>
      <c r="I264" s="11" t="s">
        <v>282</v>
      </c>
      <c r="J264" s="11" t="s">
        <v>357</v>
      </c>
      <c r="K264" s="11" t="s">
        <v>479</v>
      </c>
      <c r="L264" s="11" t="s">
        <v>241</v>
      </c>
      <c r="M264" s="5" t="s">
        <v>1205</v>
      </c>
      <c r="N264" s="5" t="s">
        <v>1206</v>
      </c>
      <c r="O264" s="5" t="s">
        <v>1207</v>
      </c>
      <c r="P264" s="5" t="s">
        <v>1208</v>
      </c>
      <c r="Q264" s="11" t="s">
        <v>82</v>
      </c>
      <c r="R264" s="11" t="s">
        <v>82</v>
      </c>
      <c r="S264" s="11" t="s">
        <v>82</v>
      </c>
      <c r="T264" s="11" t="s">
        <v>361</v>
      </c>
      <c r="U264" s="5" t="s">
        <v>246</v>
      </c>
      <c r="V264" s="11" t="s">
        <v>521</v>
      </c>
      <c r="W264" s="11" t="s">
        <v>96</v>
      </c>
      <c r="X264" s="11" t="s">
        <v>97</v>
      </c>
      <c r="Y264" s="11" t="s">
        <v>362</v>
      </c>
      <c r="Z264" s="11" t="s">
        <v>1209</v>
      </c>
    </row>
    <row r="265" spans="1:26">
      <c r="A265" s="11" t="s">
        <v>523</v>
      </c>
      <c r="B265" s="11" t="s">
        <v>355</v>
      </c>
      <c r="C265" s="16">
        <v>1.9</v>
      </c>
      <c r="D265" s="16">
        <v>1.1</v>
      </c>
      <c r="E265" s="11" t="s">
        <v>356</v>
      </c>
      <c r="F265" s="13" t="s">
        <v>524</v>
      </c>
      <c r="G265" s="14">
        <v>24</v>
      </c>
      <c r="H265" s="11" t="s">
        <v>73</v>
      </c>
      <c r="I265" s="11" t="s">
        <v>282</v>
      </c>
      <c r="J265" s="11" t="s">
        <v>357</v>
      </c>
      <c r="K265" s="11" t="s">
        <v>358</v>
      </c>
      <c r="L265" s="11" t="s">
        <v>886</v>
      </c>
      <c r="M265" s="5" t="s">
        <v>1181</v>
      </c>
      <c r="N265" s="5" t="s">
        <v>1210</v>
      </c>
      <c r="O265" s="5" t="s">
        <v>111</v>
      </c>
      <c r="P265" s="5" t="s">
        <v>527</v>
      </c>
      <c r="Q265" s="11" t="s">
        <v>82</v>
      </c>
      <c r="R265" s="11" t="s">
        <v>82</v>
      </c>
      <c r="S265" s="11" t="s">
        <v>82</v>
      </c>
      <c r="T265" s="11" t="s">
        <v>361</v>
      </c>
      <c r="U265" s="5" t="s">
        <v>246</v>
      </c>
      <c r="V265" s="11" t="s">
        <v>528</v>
      </c>
      <c r="W265" s="11" t="s">
        <v>529</v>
      </c>
      <c r="X265" s="11" t="s">
        <v>530</v>
      </c>
      <c r="Y265" s="11" t="s">
        <v>362</v>
      </c>
      <c r="Z265" s="11" t="s">
        <v>1211</v>
      </c>
    </row>
    <row r="266" spans="1:26">
      <c r="A266" s="11" t="s">
        <v>532</v>
      </c>
      <c r="B266" s="11" t="s">
        <v>355</v>
      </c>
      <c r="C266" s="16">
        <v>2.4</v>
      </c>
      <c r="D266" s="16">
        <v>1.3</v>
      </c>
      <c r="E266" s="11" t="s">
        <v>356</v>
      </c>
      <c r="F266" s="13" t="s">
        <v>533</v>
      </c>
      <c r="G266" s="14">
        <v>28</v>
      </c>
      <c r="H266" s="11" t="s">
        <v>73</v>
      </c>
      <c r="I266" s="11" t="s">
        <v>282</v>
      </c>
      <c r="J266" s="11" t="s">
        <v>357</v>
      </c>
      <c r="K266" s="11" t="s">
        <v>358</v>
      </c>
      <c r="L266" s="11" t="s">
        <v>886</v>
      </c>
      <c r="M266" s="5" t="s">
        <v>1181</v>
      </c>
      <c r="N266" s="5" t="s">
        <v>1212</v>
      </c>
      <c r="O266" s="5" t="s">
        <v>1213</v>
      </c>
      <c r="P266" s="5" t="s">
        <v>536</v>
      </c>
      <c r="Q266" s="11" t="s">
        <v>82</v>
      </c>
      <c r="R266" s="11" t="s">
        <v>82</v>
      </c>
      <c r="S266" s="11" t="s">
        <v>82</v>
      </c>
      <c r="T266" s="11" t="s">
        <v>361</v>
      </c>
      <c r="U266" s="5" t="s">
        <v>246</v>
      </c>
      <c r="V266" s="11" t="s">
        <v>537</v>
      </c>
      <c r="W266" s="11" t="s">
        <v>538</v>
      </c>
      <c r="X266" s="11" t="s">
        <v>539</v>
      </c>
      <c r="Y266" s="11" t="s">
        <v>362</v>
      </c>
      <c r="Z266" s="11" t="s">
        <v>1214</v>
      </c>
    </row>
    <row r="267" spans="1:26">
      <c r="A267" s="11" t="s">
        <v>541</v>
      </c>
      <c r="B267" s="11" t="s">
        <v>355</v>
      </c>
      <c r="C267" s="16">
        <v>2.2</v>
      </c>
      <c r="D267" s="16">
        <v>1.4</v>
      </c>
      <c r="E267" s="11" t="s">
        <v>356</v>
      </c>
      <c r="F267" s="13" t="s">
        <v>542</v>
      </c>
      <c r="G267" s="14">
        <v>28</v>
      </c>
      <c r="H267" s="11" t="s">
        <v>73</v>
      </c>
      <c r="I267" s="11" t="s">
        <v>282</v>
      </c>
      <c r="J267" s="11" t="s">
        <v>357</v>
      </c>
      <c r="K267" s="11" t="s">
        <v>358</v>
      </c>
      <c r="L267" s="11" t="s">
        <v>886</v>
      </c>
      <c r="M267" s="5" t="s">
        <v>1181</v>
      </c>
      <c r="N267" s="5" t="s">
        <v>1215</v>
      </c>
      <c r="O267" s="5" t="s">
        <v>1216</v>
      </c>
      <c r="P267" s="5" t="s">
        <v>545</v>
      </c>
      <c r="Q267" s="11" t="s">
        <v>82</v>
      </c>
      <c r="R267" s="11" t="s">
        <v>82</v>
      </c>
      <c r="S267" s="11" t="s">
        <v>82</v>
      </c>
      <c r="T267" s="11" t="s">
        <v>361</v>
      </c>
      <c r="U267" s="5" t="s">
        <v>246</v>
      </c>
      <c r="V267" s="11" t="s">
        <v>546</v>
      </c>
      <c r="W267" s="11" t="s">
        <v>547</v>
      </c>
      <c r="X267" s="11" t="s">
        <v>548</v>
      </c>
      <c r="Y267" s="11" t="s">
        <v>362</v>
      </c>
      <c r="Z267" s="11" t="s">
        <v>1217</v>
      </c>
    </row>
    <row r="268" spans="1:26">
      <c r="A268" s="11" t="s">
        <v>550</v>
      </c>
      <c r="B268" s="11" t="s">
        <v>355</v>
      </c>
      <c r="C268" s="19">
        <v>2.5</v>
      </c>
      <c r="D268" s="19">
        <v>1.7</v>
      </c>
      <c r="E268" s="11" t="s">
        <v>356</v>
      </c>
      <c r="F268" s="13" t="s">
        <v>551</v>
      </c>
      <c r="G268" s="18" t="s">
        <v>1218</v>
      </c>
      <c r="H268" s="11" t="s">
        <v>73</v>
      </c>
      <c r="I268" s="11" t="s">
        <v>282</v>
      </c>
      <c r="J268" s="11" t="s">
        <v>357</v>
      </c>
      <c r="K268" s="11" t="s">
        <v>479</v>
      </c>
      <c r="L268" s="11" t="s">
        <v>241</v>
      </c>
      <c r="M268" s="5" t="s">
        <v>1219</v>
      </c>
      <c r="N268" s="5" t="s">
        <v>1220</v>
      </c>
      <c r="O268" s="5" t="s">
        <v>1207</v>
      </c>
      <c r="P268" s="5" t="s">
        <v>1221</v>
      </c>
      <c r="Q268" s="11" t="s">
        <v>82</v>
      </c>
      <c r="R268" s="11" t="s">
        <v>82</v>
      </c>
      <c r="S268" s="11" t="s">
        <v>82</v>
      </c>
      <c r="T268" s="11" t="s">
        <v>361</v>
      </c>
      <c r="U268" s="5" t="s">
        <v>246</v>
      </c>
      <c r="V268" s="11" t="s">
        <v>557</v>
      </c>
      <c r="W268" s="11" t="s">
        <v>105</v>
      </c>
      <c r="X268" s="11" t="s">
        <v>106</v>
      </c>
      <c r="Y268" s="11" t="s">
        <v>362</v>
      </c>
      <c r="Z268" s="11" t="s">
        <v>1222</v>
      </c>
    </row>
    <row r="269" spans="1:26">
      <c r="A269" s="11" t="s">
        <v>445</v>
      </c>
      <c r="B269" s="11" t="s">
        <v>368</v>
      </c>
      <c r="C269" s="15">
        <v>0.3</v>
      </c>
      <c r="D269" s="15"/>
      <c r="E269" s="11" t="s">
        <v>254</v>
      </c>
      <c r="F269" s="13" t="s">
        <v>446</v>
      </c>
      <c r="G269" s="14">
        <v>23</v>
      </c>
      <c r="H269" s="11" t="s">
        <v>73</v>
      </c>
      <c r="I269" s="11" t="s">
        <v>282</v>
      </c>
      <c r="J269" s="11" t="s">
        <v>283</v>
      </c>
      <c r="K269" s="11" t="s">
        <v>358</v>
      </c>
      <c r="L269" s="11" t="s">
        <v>886</v>
      </c>
      <c r="M269" s="5" t="s">
        <v>1223</v>
      </c>
      <c r="N269" s="5" t="s">
        <v>1224</v>
      </c>
      <c r="O269" s="5" t="s">
        <v>1225</v>
      </c>
      <c r="P269" s="5" t="s">
        <v>452</v>
      </c>
      <c r="Q269" s="11" t="s">
        <v>82</v>
      </c>
      <c r="R269" s="11" t="s">
        <v>82</v>
      </c>
      <c r="S269" s="11" t="s">
        <v>82</v>
      </c>
      <c r="T269" s="11" t="s">
        <v>372</v>
      </c>
      <c r="U269" s="5" t="s">
        <v>246</v>
      </c>
      <c r="V269" s="11" t="s">
        <v>454</v>
      </c>
      <c r="W269" s="11" t="s">
        <v>455</v>
      </c>
      <c r="X269" s="11" t="s">
        <v>456</v>
      </c>
      <c r="Y269" s="11" t="s">
        <v>373</v>
      </c>
      <c r="Z269" s="11" t="s">
        <v>1226</v>
      </c>
    </row>
    <row r="270" spans="1:26">
      <c r="A270" s="11" t="s">
        <v>458</v>
      </c>
      <c r="B270" s="11" t="s">
        <v>368</v>
      </c>
      <c r="C270" s="15">
        <v>0.32</v>
      </c>
      <c r="D270" s="15"/>
      <c r="E270" s="11" t="s">
        <v>254</v>
      </c>
      <c r="F270" s="13" t="s">
        <v>459</v>
      </c>
      <c r="G270" s="14">
        <v>27</v>
      </c>
      <c r="H270" s="11" t="s">
        <v>73</v>
      </c>
      <c r="I270" s="11" t="s">
        <v>282</v>
      </c>
      <c r="J270" s="11" t="s">
        <v>283</v>
      </c>
      <c r="K270" s="11" t="s">
        <v>358</v>
      </c>
      <c r="L270" s="11" t="s">
        <v>886</v>
      </c>
      <c r="M270" s="5" t="s">
        <v>1223</v>
      </c>
      <c r="N270" s="5" t="s">
        <v>1227</v>
      </c>
      <c r="O270" s="5" t="s">
        <v>1228</v>
      </c>
      <c r="P270" s="5" t="s">
        <v>462</v>
      </c>
      <c r="Q270" s="11" t="s">
        <v>82</v>
      </c>
      <c r="R270" s="11" t="s">
        <v>82</v>
      </c>
      <c r="S270" s="11" t="s">
        <v>82</v>
      </c>
      <c r="T270" s="11" t="s">
        <v>372</v>
      </c>
      <c r="U270" s="5" t="s">
        <v>246</v>
      </c>
      <c r="V270" s="11" t="s">
        <v>463</v>
      </c>
      <c r="W270" s="11" t="s">
        <v>464</v>
      </c>
      <c r="X270" s="11" t="s">
        <v>465</v>
      </c>
      <c r="Y270" s="11" t="s">
        <v>373</v>
      </c>
      <c r="Z270" s="11" t="s">
        <v>1229</v>
      </c>
    </row>
    <row r="271" spans="1:26">
      <c r="A271" s="11" t="s">
        <v>467</v>
      </c>
      <c r="B271" s="11" t="s">
        <v>368</v>
      </c>
      <c r="C271" s="15">
        <v>0.32</v>
      </c>
      <c r="D271" s="15"/>
      <c r="E271" s="11" t="s">
        <v>254</v>
      </c>
      <c r="F271" s="13" t="s">
        <v>468</v>
      </c>
      <c r="G271" s="14">
        <v>27</v>
      </c>
      <c r="H271" s="11" t="s">
        <v>73</v>
      </c>
      <c r="I271" s="11" t="s">
        <v>282</v>
      </c>
      <c r="J271" s="11" t="s">
        <v>283</v>
      </c>
      <c r="K271" s="11" t="s">
        <v>358</v>
      </c>
      <c r="L271" s="11" t="s">
        <v>886</v>
      </c>
      <c r="M271" s="5" t="s">
        <v>1223</v>
      </c>
      <c r="N271" s="5" t="s">
        <v>1230</v>
      </c>
      <c r="O271" s="5" t="s">
        <v>1231</v>
      </c>
      <c r="P271" s="5" t="s">
        <v>471</v>
      </c>
      <c r="Q271" s="11" t="s">
        <v>82</v>
      </c>
      <c r="R271" s="11" t="s">
        <v>82</v>
      </c>
      <c r="S271" s="11" t="s">
        <v>82</v>
      </c>
      <c r="T271" s="11" t="s">
        <v>372</v>
      </c>
      <c r="U271" s="5" t="s">
        <v>246</v>
      </c>
      <c r="V271" s="11" t="s">
        <v>472</v>
      </c>
      <c r="W271" s="11" t="s">
        <v>473</v>
      </c>
      <c r="X271" s="11" t="s">
        <v>474</v>
      </c>
      <c r="Y271" s="11" t="s">
        <v>373</v>
      </c>
      <c r="Z271" s="11" t="s">
        <v>1232</v>
      </c>
    </row>
    <row r="272" spans="1:26">
      <c r="A272" s="11" t="s">
        <v>476</v>
      </c>
      <c r="B272" s="11" t="s">
        <v>368</v>
      </c>
      <c r="C272" s="15"/>
      <c r="D272" s="15"/>
      <c r="E272" s="11" t="s">
        <v>254</v>
      </c>
      <c r="F272" s="13" t="s">
        <v>937</v>
      </c>
      <c r="G272" s="11"/>
      <c r="H272" s="11" t="s">
        <v>1233</v>
      </c>
      <c r="I272" s="11" t="s">
        <v>282</v>
      </c>
      <c r="J272" s="11" t="s">
        <v>283</v>
      </c>
      <c r="K272" s="11" t="s">
        <v>358</v>
      </c>
      <c r="L272" s="11" t="s">
        <v>75</v>
      </c>
      <c r="M272" s="5" t="s">
        <v>1223</v>
      </c>
      <c r="N272" s="5" t="s">
        <v>75</v>
      </c>
      <c r="O272" s="5" t="s">
        <v>1234</v>
      </c>
      <c r="P272" s="5" t="s">
        <v>75</v>
      </c>
      <c r="Q272" s="11" t="s">
        <v>82</v>
      </c>
      <c r="R272" s="11" t="s">
        <v>82</v>
      </c>
      <c r="S272" s="11" t="s">
        <v>82</v>
      </c>
      <c r="T272" s="11" t="s">
        <v>372</v>
      </c>
      <c r="U272" s="5" t="s">
        <v>246</v>
      </c>
      <c r="V272" s="11" t="s">
        <v>484</v>
      </c>
      <c r="W272" s="11" t="s">
        <v>944</v>
      </c>
      <c r="X272" s="11" t="s">
        <v>945</v>
      </c>
      <c r="Y272" s="11" t="s">
        <v>373</v>
      </c>
      <c r="Z272" s="11" t="s">
        <v>1235</v>
      </c>
    </row>
    <row r="273" spans="1:26">
      <c r="A273" s="11" t="s">
        <v>486</v>
      </c>
      <c r="B273" s="11" t="s">
        <v>368</v>
      </c>
      <c r="C273" s="15">
        <v>0.32</v>
      </c>
      <c r="D273" s="15"/>
      <c r="E273" s="11" t="s">
        <v>254</v>
      </c>
      <c r="F273" s="13" t="s">
        <v>487</v>
      </c>
      <c r="G273" s="14">
        <v>24</v>
      </c>
      <c r="H273" s="11" t="s">
        <v>73</v>
      </c>
      <c r="I273" s="11" t="s">
        <v>282</v>
      </c>
      <c r="J273" s="11" t="s">
        <v>283</v>
      </c>
      <c r="K273" s="11" t="s">
        <v>358</v>
      </c>
      <c r="L273" s="11" t="s">
        <v>886</v>
      </c>
      <c r="M273" s="5" t="s">
        <v>1223</v>
      </c>
      <c r="N273" s="5" t="s">
        <v>1236</v>
      </c>
      <c r="O273" s="5" t="s">
        <v>1237</v>
      </c>
      <c r="P273" s="5" t="s">
        <v>491</v>
      </c>
      <c r="Q273" s="11" t="s">
        <v>82</v>
      </c>
      <c r="R273" s="11" t="s">
        <v>82</v>
      </c>
      <c r="S273" s="11" t="s">
        <v>82</v>
      </c>
      <c r="T273" s="11" t="s">
        <v>372</v>
      </c>
      <c r="U273" s="5" t="s">
        <v>246</v>
      </c>
      <c r="V273" s="11" t="s">
        <v>492</v>
      </c>
      <c r="W273" s="11" t="s">
        <v>493</v>
      </c>
      <c r="X273" s="11" t="s">
        <v>494</v>
      </c>
      <c r="Y273" s="11" t="s">
        <v>373</v>
      </c>
      <c r="Z273" s="11" t="s">
        <v>1238</v>
      </c>
    </row>
    <row r="274" spans="1:26">
      <c r="A274" s="11" t="s">
        <v>496</v>
      </c>
      <c r="B274" s="11" t="s">
        <v>368</v>
      </c>
      <c r="C274" s="15">
        <v>0.33</v>
      </c>
      <c r="D274" s="15"/>
      <c r="E274" s="11" t="s">
        <v>254</v>
      </c>
      <c r="F274" s="13" t="s">
        <v>497</v>
      </c>
      <c r="G274" s="14">
        <v>28</v>
      </c>
      <c r="H274" s="11" t="s">
        <v>73</v>
      </c>
      <c r="I274" s="11" t="s">
        <v>282</v>
      </c>
      <c r="J274" s="11" t="s">
        <v>283</v>
      </c>
      <c r="K274" s="11" t="s">
        <v>358</v>
      </c>
      <c r="L274" s="11" t="s">
        <v>886</v>
      </c>
      <c r="M274" s="5" t="s">
        <v>1223</v>
      </c>
      <c r="N274" s="5" t="s">
        <v>1239</v>
      </c>
      <c r="O274" s="5" t="s">
        <v>411</v>
      </c>
      <c r="P274" s="5" t="s">
        <v>500</v>
      </c>
      <c r="Q274" s="11" t="s">
        <v>82</v>
      </c>
      <c r="R274" s="11" t="s">
        <v>82</v>
      </c>
      <c r="S274" s="11" t="s">
        <v>82</v>
      </c>
      <c r="T274" s="11" t="s">
        <v>372</v>
      </c>
      <c r="U274" s="5" t="s">
        <v>246</v>
      </c>
      <c r="V274" s="11" t="s">
        <v>501</v>
      </c>
      <c r="W274" s="11" t="s">
        <v>502</v>
      </c>
      <c r="X274" s="11" t="s">
        <v>503</v>
      </c>
      <c r="Y274" s="11" t="s">
        <v>373</v>
      </c>
      <c r="Z274" s="11" t="s">
        <v>1240</v>
      </c>
    </row>
    <row r="275" spans="1:26">
      <c r="A275" s="11" t="s">
        <v>505</v>
      </c>
      <c r="B275" s="11" t="s">
        <v>368</v>
      </c>
      <c r="C275" s="15">
        <v>0.34</v>
      </c>
      <c r="D275" s="15"/>
      <c r="E275" s="11" t="s">
        <v>254</v>
      </c>
      <c r="F275" s="13" t="s">
        <v>506</v>
      </c>
      <c r="G275" s="14">
        <v>31</v>
      </c>
      <c r="H275" s="11" t="s">
        <v>73</v>
      </c>
      <c r="I275" s="11" t="s">
        <v>282</v>
      </c>
      <c r="J275" s="11" t="s">
        <v>283</v>
      </c>
      <c r="K275" s="11" t="s">
        <v>358</v>
      </c>
      <c r="L275" s="11" t="s">
        <v>886</v>
      </c>
      <c r="M275" s="5" t="s">
        <v>1223</v>
      </c>
      <c r="N275" s="5" t="s">
        <v>1241</v>
      </c>
      <c r="O275" s="5" t="s">
        <v>1242</v>
      </c>
      <c r="P275" s="5" t="s">
        <v>509</v>
      </c>
      <c r="Q275" s="11" t="s">
        <v>82</v>
      </c>
      <c r="R275" s="11" t="s">
        <v>82</v>
      </c>
      <c r="S275" s="11" t="s">
        <v>82</v>
      </c>
      <c r="T275" s="11" t="s">
        <v>372</v>
      </c>
      <c r="U275" s="5" t="s">
        <v>246</v>
      </c>
      <c r="V275" s="11" t="s">
        <v>510</v>
      </c>
      <c r="W275" s="11" t="s">
        <v>511</v>
      </c>
      <c r="X275" s="11" t="s">
        <v>512</v>
      </c>
      <c r="Y275" s="11" t="s">
        <v>373</v>
      </c>
      <c r="Z275" s="11" t="s">
        <v>1243</v>
      </c>
    </row>
    <row r="276" spans="1:26">
      <c r="A276" s="11" t="s">
        <v>514</v>
      </c>
      <c r="B276" s="11" t="s">
        <v>368</v>
      </c>
      <c r="C276" s="15"/>
      <c r="D276" s="15"/>
      <c r="E276" s="11" t="s">
        <v>254</v>
      </c>
      <c r="F276" s="13" t="s">
        <v>956</v>
      </c>
      <c r="G276" s="11"/>
      <c r="H276" s="11" t="s">
        <v>1233</v>
      </c>
      <c r="I276" s="11" t="s">
        <v>282</v>
      </c>
      <c r="J276" s="11" t="s">
        <v>283</v>
      </c>
      <c r="K276" s="11" t="s">
        <v>358</v>
      </c>
      <c r="L276" s="11" t="s">
        <v>75</v>
      </c>
      <c r="M276" s="5" t="s">
        <v>1223</v>
      </c>
      <c r="N276" s="5" t="s">
        <v>75</v>
      </c>
      <c r="O276" s="5" t="s">
        <v>1234</v>
      </c>
      <c r="P276" s="5" t="s">
        <v>75</v>
      </c>
      <c r="Q276" s="11" t="s">
        <v>82</v>
      </c>
      <c r="R276" s="11" t="s">
        <v>82</v>
      </c>
      <c r="S276" s="11" t="s">
        <v>82</v>
      </c>
      <c r="T276" s="11" t="s">
        <v>372</v>
      </c>
      <c r="U276" s="5" t="s">
        <v>246</v>
      </c>
      <c r="V276" s="11" t="s">
        <v>521</v>
      </c>
      <c r="W276" s="11" t="s">
        <v>959</v>
      </c>
      <c r="X276" s="11" t="s">
        <v>960</v>
      </c>
      <c r="Y276" s="11" t="s">
        <v>373</v>
      </c>
      <c r="Z276" s="11" t="s">
        <v>1244</v>
      </c>
    </row>
    <row r="277" spans="1:26">
      <c r="A277" s="11" t="s">
        <v>523</v>
      </c>
      <c r="B277" s="11" t="s">
        <v>368</v>
      </c>
      <c r="C277" s="15">
        <v>0.36</v>
      </c>
      <c r="D277" s="15"/>
      <c r="E277" s="11" t="s">
        <v>254</v>
      </c>
      <c r="F277" s="13" t="s">
        <v>524</v>
      </c>
      <c r="G277" s="14">
        <v>24</v>
      </c>
      <c r="H277" s="11" t="s">
        <v>73</v>
      </c>
      <c r="I277" s="11" t="s">
        <v>282</v>
      </c>
      <c r="J277" s="11" t="s">
        <v>283</v>
      </c>
      <c r="K277" s="11" t="s">
        <v>358</v>
      </c>
      <c r="L277" s="11" t="s">
        <v>886</v>
      </c>
      <c r="M277" s="5" t="s">
        <v>1223</v>
      </c>
      <c r="N277" s="5" t="s">
        <v>1245</v>
      </c>
      <c r="O277" s="5" t="s">
        <v>1246</v>
      </c>
      <c r="P277" s="5" t="s">
        <v>527</v>
      </c>
      <c r="Q277" s="11" t="s">
        <v>82</v>
      </c>
      <c r="R277" s="11" t="s">
        <v>82</v>
      </c>
      <c r="S277" s="11" t="s">
        <v>82</v>
      </c>
      <c r="T277" s="11" t="s">
        <v>372</v>
      </c>
      <c r="U277" s="5" t="s">
        <v>246</v>
      </c>
      <c r="V277" s="11" t="s">
        <v>528</v>
      </c>
      <c r="W277" s="11" t="s">
        <v>529</v>
      </c>
      <c r="X277" s="11" t="s">
        <v>530</v>
      </c>
      <c r="Y277" s="11" t="s">
        <v>373</v>
      </c>
      <c r="Z277" s="11" t="s">
        <v>1247</v>
      </c>
    </row>
    <row r="278" spans="1:26">
      <c r="A278" s="11" t="s">
        <v>532</v>
      </c>
      <c r="B278" s="11" t="s">
        <v>368</v>
      </c>
      <c r="C278" s="15">
        <v>0.4</v>
      </c>
      <c r="D278" s="15"/>
      <c r="E278" s="11" t="s">
        <v>254</v>
      </c>
      <c r="F278" s="13" t="s">
        <v>533</v>
      </c>
      <c r="G278" s="14">
        <v>28</v>
      </c>
      <c r="H278" s="11" t="s">
        <v>73</v>
      </c>
      <c r="I278" s="11" t="s">
        <v>282</v>
      </c>
      <c r="J278" s="11" t="s">
        <v>283</v>
      </c>
      <c r="K278" s="11" t="s">
        <v>358</v>
      </c>
      <c r="L278" s="11" t="s">
        <v>886</v>
      </c>
      <c r="M278" s="5" t="s">
        <v>1223</v>
      </c>
      <c r="N278" s="5" t="s">
        <v>1248</v>
      </c>
      <c r="O278" s="5" t="s">
        <v>1249</v>
      </c>
      <c r="P278" s="5" t="s">
        <v>536</v>
      </c>
      <c r="Q278" s="11" t="s">
        <v>82</v>
      </c>
      <c r="R278" s="11" t="s">
        <v>82</v>
      </c>
      <c r="S278" s="11" t="s">
        <v>82</v>
      </c>
      <c r="T278" s="11" t="s">
        <v>372</v>
      </c>
      <c r="U278" s="5" t="s">
        <v>246</v>
      </c>
      <c r="V278" s="11" t="s">
        <v>537</v>
      </c>
      <c r="W278" s="11" t="s">
        <v>538</v>
      </c>
      <c r="X278" s="11" t="s">
        <v>539</v>
      </c>
      <c r="Y278" s="11" t="s">
        <v>373</v>
      </c>
      <c r="Z278" s="11" t="s">
        <v>1250</v>
      </c>
    </row>
    <row r="279" spans="1:26">
      <c r="A279" s="11" t="s">
        <v>541</v>
      </c>
      <c r="B279" s="11" t="s">
        <v>368</v>
      </c>
      <c r="C279" s="15">
        <v>0.4</v>
      </c>
      <c r="D279" s="15"/>
      <c r="E279" s="11" t="s">
        <v>254</v>
      </c>
      <c r="F279" s="13" t="s">
        <v>542</v>
      </c>
      <c r="G279" s="14">
        <v>28</v>
      </c>
      <c r="H279" s="11" t="s">
        <v>73</v>
      </c>
      <c r="I279" s="11" t="s">
        <v>282</v>
      </c>
      <c r="J279" s="11" t="s">
        <v>283</v>
      </c>
      <c r="K279" s="11" t="s">
        <v>358</v>
      </c>
      <c r="L279" s="11" t="s">
        <v>886</v>
      </c>
      <c r="M279" s="5" t="s">
        <v>1223</v>
      </c>
      <c r="N279" s="5" t="s">
        <v>1251</v>
      </c>
      <c r="O279" s="5" t="s">
        <v>1252</v>
      </c>
      <c r="P279" s="5" t="s">
        <v>545</v>
      </c>
      <c r="Q279" s="11" t="s">
        <v>82</v>
      </c>
      <c r="R279" s="11" t="s">
        <v>82</v>
      </c>
      <c r="S279" s="11" t="s">
        <v>82</v>
      </c>
      <c r="T279" s="11" t="s">
        <v>372</v>
      </c>
      <c r="U279" s="5" t="s">
        <v>246</v>
      </c>
      <c r="V279" s="11" t="s">
        <v>546</v>
      </c>
      <c r="W279" s="11" t="s">
        <v>547</v>
      </c>
      <c r="X279" s="11" t="s">
        <v>548</v>
      </c>
      <c r="Y279" s="11" t="s">
        <v>373</v>
      </c>
      <c r="Z279" s="11" t="s">
        <v>1253</v>
      </c>
    </row>
    <row r="280" spans="1:26">
      <c r="A280" s="11" t="s">
        <v>550</v>
      </c>
      <c r="B280" s="11" t="s">
        <v>368</v>
      </c>
      <c r="C280" s="15"/>
      <c r="D280" s="15"/>
      <c r="E280" s="11" t="s">
        <v>254</v>
      </c>
      <c r="F280" s="13" t="s">
        <v>971</v>
      </c>
      <c r="G280" s="11"/>
      <c r="H280" s="11" t="s">
        <v>1233</v>
      </c>
      <c r="I280" s="11" t="s">
        <v>282</v>
      </c>
      <c r="J280" s="11" t="s">
        <v>283</v>
      </c>
      <c r="K280" s="11" t="s">
        <v>358</v>
      </c>
      <c r="L280" s="11" t="s">
        <v>75</v>
      </c>
      <c r="M280" s="5" t="s">
        <v>1223</v>
      </c>
      <c r="N280" s="5" t="s">
        <v>75</v>
      </c>
      <c r="O280" s="5" t="s">
        <v>1234</v>
      </c>
      <c r="P280" s="5" t="s">
        <v>75</v>
      </c>
      <c r="Q280" s="11" t="s">
        <v>82</v>
      </c>
      <c r="R280" s="11" t="s">
        <v>82</v>
      </c>
      <c r="S280" s="11" t="s">
        <v>82</v>
      </c>
      <c r="T280" s="11" t="s">
        <v>372</v>
      </c>
      <c r="U280" s="5" t="s">
        <v>246</v>
      </c>
      <c r="V280" s="11" t="s">
        <v>557</v>
      </c>
      <c r="W280" s="11" t="s">
        <v>974</v>
      </c>
      <c r="X280" s="11" t="s">
        <v>975</v>
      </c>
      <c r="Y280" s="11" t="s">
        <v>373</v>
      </c>
      <c r="Z280" s="11" t="s">
        <v>1254</v>
      </c>
    </row>
    <row r="281" spans="1:26">
      <c r="A281" s="11" t="s">
        <v>445</v>
      </c>
      <c r="B281" s="11" t="s">
        <v>381</v>
      </c>
      <c r="C281" s="15">
        <v>0.12</v>
      </c>
      <c r="D281" s="15"/>
      <c r="E281" s="11" t="s">
        <v>254</v>
      </c>
      <c r="F281" s="13" t="s">
        <v>446</v>
      </c>
      <c r="G281" s="14">
        <v>22</v>
      </c>
      <c r="H281" s="11" t="s">
        <v>73</v>
      </c>
      <c r="I281" s="11" t="s">
        <v>282</v>
      </c>
      <c r="J281" s="11" t="s">
        <v>283</v>
      </c>
      <c r="K281" s="11" t="s">
        <v>255</v>
      </c>
      <c r="L281" s="11" t="s">
        <v>886</v>
      </c>
      <c r="M281" s="5" t="s">
        <v>1255</v>
      </c>
      <c r="N281" s="5" t="s">
        <v>1256</v>
      </c>
      <c r="O281" s="5" t="s">
        <v>1257</v>
      </c>
      <c r="P281" s="5" t="s">
        <v>852</v>
      </c>
      <c r="Q281" s="11" t="s">
        <v>82</v>
      </c>
      <c r="R281" s="11" t="s">
        <v>82</v>
      </c>
      <c r="S281" s="11" t="s">
        <v>82</v>
      </c>
      <c r="T281" s="11" t="s">
        <v>384</v>
      </c>
      <c r="U281" s="5" t="s">
        <v>246</v>
      </c>
      <c r="V281" s="11" t="s">
        <v>454</v>
      </c>
      <c r="W281" s="11" t="s">
        <v>455</v>
      </c>
      <c r="X281" s="11" t="s">
        <v>456</v>
      </c>
      <c r="Y281" s="11" t="s">
        <v>385</v>
      </c>
      <c r="Z281" s="11" t="s">
        <v>1258</v>
      </c>
    </row>
    <row r="282" spans="1:26">
      <c r="A282" s="11" t="s">
        <v>458</v>
      </c>
      <c r="B282" s="11" t="s">
        <v>381</v>
      </c>
      <c r="C282" s="15">
        <v>0.14</v>
      </c>
      <c r="D282" s="15"/>
      <c r="E282" s="11" t="s">
        <v>254</v>
      </c>
      <c r="F282" s="13" t="s">
        <v>459</v>
      </c>
      <c r="G282" s="14">
        <v>27</v>
      </c>
      <c r="H282" s="11" t="s">
        <v>73</v>
      </c>
      <c r="I282" s="11" t="s">
        <v>282</v>
      </c>
      <c r="J282" s="11" t="s">
        <v>283</v>
      </c>
      <c r="K282" s="11" t="s">
        <v>255</v>
      </c>
      <c r="L282" s="11" t="s">
        <v>886</v>
      </c>
      <c r="M282" s="5" t="s">
        <v>1255</v>
      </c>
      <c r="N282" s="5" t="s">
        <v>1259</v>
      </c>
      <c r="O282" s="5" t="s">
        <v>1260</v>
      </c>
      <c r="P282" s="5" t="s">
        <v>852</v>
      </c>
      <c r="Q282" s="11" t="s">
        <v>82</v>
      </c>
      <c r="R282" s="11" t="s">
        <v>82</v>
      </c>
      <c r="S282" s="11" t="s">
        <v>82</v>
      </c>
      <c r="T282" s="11" t="s">
        <v>384</v>
      </c>
      <c r="U282" s="5" t="s">
        <v>246</v>
      </c>
      <c r="V282" s="11" t="s">
        <v>463</v>
      </c>
      <c r="W282" s="11" t="s">
        <v>464</v>
      </c>
      <c r="X282" s="11" t="s">
        <v>465</v>
      </c>
      <c r="Y282" s="11" t="s">
        <v>385</v>
      </c>
      <c r="Z282" s="11" t="s">
        <v>1261</v>
      </c>
    </row>
    <row r="283" spans="1:26">
      <c r="A283" s="11" t="s">
        <v>467</v>
      </c>
      <c r="B283" s="11" t="s">
        <v>381</v>
      </c>
      <c r="C283" s="15">
        <v>0.14</v>
      </c>
      <c r="D283" s="15"/>
      <c r="E283" s="11" t="s">
        <v>254</v>
      </c>
      <c r="F283" s="13" t="s">
        <v>468</v>
      </c>
      <c r="G283" s="14">
        <v>27</v>
      </c>
      <c r="H283" s="11" t="s">
        <v>73</v>
      </c>
      <c r="I283" s="11" t="s">
        <v>282</v>
      </c>
      <c r="J283" s="11" t="s">
        <v>283</v>
      </c>
      <c r="K283" s="11" t="s">
        <v>255</v>
      </c>
      <c r="L283" s="11" t="s">
        <v>886</v>
      </c>
      <c r="M283" s="5" t="s">
        <v>1255</v>
      </c>
      <c r="N283" s="5" t="s">
        <v>1262</v>
      </c>
      <c r="O283" s="5" t="s">
        <v>1263</v>
      </c>
      <c r="P283" s="5" t="s">
        <v>852</v>
      </c>
      <c r="Q283" s="11" t="s">
        <v>82</v>
      </c>
      <c r="R283" s="11" t="s">
        <v>82</v>
      </c>
      <c r="S283" s="11" t="s">
        <v>82</v>
      </c>
      <c r="T283" s="11" t="s">
        <v>384</v>
      </c>
      <c r="U283" s="5" t="s">
        <v>246</v>
      </c>
      <c r="V283" s="11" t="s">
        <v>472</v>
      </c>
      <c r="W283" s="11" t="s">
        <v>473</v>
      </c>
      <c r="X283" s="11" t="s">
        <v>474</v>
      </c>
      <c r="Y283" s="11" t="s">
        <v>385</v>
      </c>
      <c r="Z283" s="11" t="s">
        <v>1264</v>
      </c>
    </row>
    <row r="284" spans="1:26">
      <c r="A284" s="11" t="s">
        <v>476</v>
      </c>
      <c r="B284" s="11" t="s">
        <v>381</v>
      </c>
      <c r="C284" s="15"/>
      <c r="D284" s="15"/>
      <c r="E284" s="11" t="s">
        <v>254</v>
      </c>
      <c r="F284" s="13" t="s">
        <v>937</v>
      </c>
      <c r="G284" s="11"/>
      <c r="H284" s="11" t="s">
        <v>1233</v>
      </c>
      <c r="I284" s="11" t="s">
        <v>282</v>
      </c>
      <c r="J284" s="11" t="s">
        <v>283</v>
      </c>
      <c r="K284" s="11" t="s">
        <v>255</v>
      </c>
      <c r="L284" s="11" t="s">
        <v>75</v>
      </c>
      <c r="M284" s="5" t="s">
        <v>1255</v>
      </c>
      <c r="N284" s="5" t="s">
        <v>75</v>
      </c>
      <c r="O284" s="5" t="s">
        <v>1234</v>
      </c>
      <c r="P284" s="5" t="s">
        <v>75</v>
      </c>
      <c r="Q284" s="11" t="s">
        <v>82</v>
      </c>
      <c r="R284" s="11" t="s">
        <v>82</v>
      </c>
      <c r="S284" s="11" t="s">
        <v>82</v>
      </c>
      <c r="T284" s="11" t="s">
        <v>384</v>
      </c>
      <c r="U284" s="5" t="s">
        <v>246</v>
      </c>
      <c r="V284" s="11" t="s">
        <v>484</v>
      </c>
      <c r="W284" s="11" t="s">
        <v>944</v>
      </c>
      <c r="X284" s="11" t="s">
        <v>945</v>
      </c>
      <c r="Y284" s="11" t="s">
        <v>385</v>
      </c>
      <c r="Z284" s="11" t="s">
        <v>1265</v>
      </c>
    </row>
    <row r="285" spans="1:26">
      <c r="A285" s="11" t="s">
        <v>486</v>
      </c>
      <c r="B285" s="11" t="s">
        <v>381</v>
      </c>
      <c r="C285" s="15">
        <v>0.14</v>
      </c>
      <c r="D285" s="15"/>
      <c r="E285" s="11" t="s">
        <v>254</v>
      </c>
      <c r="F285" s="13" t="s">
        <v>487</v>
      </c>
      <c r="G285" s="14">
        <v>24</v>
      </c>
      <c r="H285" s="11" t="s">
        <v>73</v>
      </c>
      <c r="I285" s="11" t="s">
        <v>282</v>
      </c>
      <c r="J285" s="11" t="s">
        <v>283</v>
      </c>
      <c r="K285" s="11" t="s">
        <v>255</v>
      </c>
      <c r="L285" s="11" t="s">
        <v>886</v>
      </c>
      <c r="M285" s="5" t="s">
        <v>1255</v>
      </c>
      <c r="N285" s="5" t="s">
        <v>1266</v>
      </c>
      <c r="O285" s="5" t="s">
        <v>1267</v>
      </c>
      <c r="P285" s="5" t="s">
        <v>852</v>
      </c>
      <c r="Q285" s="11" t="s">
        <v>82</v>
      </c>
      <c r="R285" s="11" t="s">
        <v>82</v>
      </c>
      <c r="S285" s="11" t="s">
        <v>82</v>
      </c>
      <c r="T285" s="11" t="s">
        <v>384</v>
      </c>
      <c r="U285" s="5" t="s">
        <v>246</v>
      </c>
      <c r="V285" s="11" t="s">
        <v>492</v>
      </c>
      <c r="W285" s="11" t="s">
        <v>493</v>
      </c>
      <c r="X285" s="11" t="s">
        <v>494</v>
      </c>
      <c r="Y285" s="11" t="s">
        <v>385</v>
      </c>
      <c r="Z285" s="11" t="s">
        <v>1268</v>
      </c>
    </row>
    <row r="286" spans="1:26">
      <c r="A286" s="11" t="s">
        <v>496</v>
      </c>
      <c r="B286" s="11" t="s">
        <v>381</v>
      </c>
      <c r="C286" s="15">
        <v>0.15</v>
      </c>
      <c r="D286" s="15"/>
      <c r="E286" s="11" t="s">
        <v>254</v>
      </c>
      <c r="F286" s="13" t="s">
        <v>497</v>
      </c>
      <c r="G286" s="14">
        <v>28</v>
      </c>
      <c r="H286" s="11" t="s">
        <v>73</v>
      </c>
      <c r="I286" s="11" t="s">
        <v>282</v>
      </c>
      <c r="J286" s="11" t="s">
        <v>283</v>
      </c>
      <c r="K286" s="11" t="s">
        <v>255</v>
      </c>
      <c r="L286" s="11" t="s">
        <v>886</v>
      </c>
      <c r="M286" s="5" t="s">
        <v>1255</v>
      </c>
      <c r="N286" s="5" t="s">
        <v>1269</v>
      </c>
      <c r="O286" s="5" t="s">
        <v>1270</v>
      </c>
      <c r="P286" s="5" t="s">
        <v>852</v>
      </c>
      <c r="Q286" s="11" t="s">
        <v>82</v>
      </c>
      <c r="R286" s="11" t="s">
        <v>82</v>
      </c>
      <c r="S286" s="11" t="s">
        <v>82</v>
      </c>
      <c r="T286" s="11" t="s">
        <v>384</v>
      </c>
      <c r="U286" s="5" t="s">
        <v>246</v>
      </c>
      <c r="V286" s="11" t="s">
        <v>501</v>
      </c>
      <c r="W286" s="11" t="s">
        <v>502</v>
      </c>
      <c r="X286" s="11" t="s">
        <v>503</v>
      </c>
      <c r="Y286" s="11" t="s">
        <v>385</v>
      </c>
      <c r="Z286" s="11" t="s">
        <v>1271</v>
      </c>
    </row>
    <row r="287" spans="1:26">
      <c r="A287" s="11" t="s">
        <v>505</v>
      </c>
      <c r="B287" s="11" t="s">
        <v>381</v>
      </c>
      <c r="C287" s="15">
        <v>0.11</v>
      </c>
      <c r="D287" s="15"/>
      <c r="E287" s="11" t="s">
        <v>254</v>
      </c>
      <c r="F287" s="13" t="s">
        <v>506</v>
      </c>
      <c r="G287" s="14">
        <v>31</v>
      </c>
      <c r="H287" s="11" t="s">
        <v>73</v>
      </c>
      <c r="I287" s="11" t="s">
        <v>282</v>
      </c>
      <c r="J287" s="11" t="s">
        <v>283</v>
      </c>
      <c r="K287" s="11" t="s">
        <v>255</v>
      </c>
      <c r="L287" s="11" t="s">
        <v>886</v>
      </c>
      <c r="M287" s="5" t="s">
        <v>1255</v>
      </c>
      <c r="N287" s="5" t="s">
        <v>1272</v>
      </c>
      <c r="O287" s="5" t="s">
        <v>1273</v>
      </c>
      <c r="P287" s="5" t="s">
        <v>852</v>
      </c>
      <c r="Q287" s="11" t="s">
        <v>82</v>
      </c>
      <c r="R287" s="11" t="s">
        <v>82</v>
      </c>
      <c r="S287" s="11" t="s">
        <v>82</v>
      </c>
      <c r="T287" s="11" t="s">
        <v>384</v>
      </c>
      <c r="U287" s="5" t="s">
        <v>246</v>
      </c>
      <c r="V287" s="11" t="s">
        <v>510</v>
      </c>
      <c r="W287" s="11" t="s">
        <v>511</v>
      </c>
      <c r="X287" s="11" t="s">
        <v>512</v>
      </c>
      <c r="Y287" s="11" t="s">
        <v>385</v>
      </c>
      <c r="Z287" s="11" t="s">
        <v>1274</v>
      </c>
    </row>
    <row r="288" spans="1:26">
      <c r="A288" s="11" t="s">
        <v>514</v>
      </c>
      <c r="B288" s="11" t="s">
        <v>381</v>
      </c>
      <c r="C288" s="15"/>
      <c r="D288" s="15"/>
      <c r="E288" s="11" t="s">
        <v>254</v>
      </c>
      <c r="F288" s="13" t="s">
        <v>956</v>
      </c>
      <c r="G288" s="11"/>
      <c r="H288" s="11" t="s">
        <v>1233</v>
      </c>
      <c r="I288" s="11" t="s">
        <v>282</v>
      </c>
      <c r="J288" s="11" t="s">
        <v>283</v>
      </c>
      <c r="K288" s="11" t="s">
        <v>255</v>
      </c>
      <c r="L288" s="11" t="s">
        <v>75</v>
      </c>
      <c r="M288" s="5" t="s">
        <v>1255</v>
      </c>
      <c r="N288" s="5" t="s">
        <v>75</v>
      </c>
      <c r="O288" s="5" t="s">
        <v>1234</v>
      </c>
      <c r="P288" s="5" t="s">
        <v>75</v>
      </c>
      <c r="Q288" s="11" t="s">
        <v>82</v>
      </c>
      <c r="R288" s="11" t="s">
        <v>82</v>
      </c>
      <c r="S288" s="11" t="s">
        <v>82</v>
      </c>
      <c r="T288" s="11" t="s">
        <v>384</v>
      </c>
      <c r="U288" s="5" t="s">
        <v>246</v>
      </c>
      <c r="V288" s="11" t="s">
        <v>521</v>
      </c>
      <c r="W288" s="11" t="s">
        <v>959</v>
      </c>
      <c r="X288" s="11" t="s">
        <v>960</v>
      </c>
      <c r="Y288" s="11" t="s">
        <v>385</v>
      </c>
      <c r="Z288" s="11" t="s">
        <v>1275</v>
      </c>
    </row>
    <row r="289" spans="1:26">
      <c r="A289" s="11" t="s">
        <v>523</v>
      </c>
      <c r="B289" s="11" t="s">
        <v>381</v>
      </c>
      <c r="C289" s="15">
        <v>0.12</v>
      </c>
      <c r="D289" s="15"/>
      <c r="E289" s="11" t="s">
        <v>254</v>
      </c>
      <c r="F289" s="13" t="s">
        <v>524</v>
      </c>
      <c r="G289" s="14">
        <v>24</v>
      </c>
      <c r="H289" s="11" t="s">
        <v>73</v>
      </c>
      <c r="I289" s="11" t="s">
        <v>282</v>
      </c>
      <c r="J289" s="11" t="s">
        <v>283</v>
      </c>
      <c r="K289" s="11" t="s">
        <v>255</v>
      </c>
      <c r="L289" s="11" t="s">
        <v>886</v>
      </c>
      <c r="M289" s="5" t="s">
        <v>1255</v>
      </c>
      <c r="N289" s="5" t="s">
        <v>1276</v>
      </c>
      <c r="O289" s="5" t="s">
        <v>1277</v>
      </c>
      <c r="P289" s="5" t="s">
        <v>852</v>
      </c>
      <c r="Q289" s="11" t="s">
        <v>82</v>
      </c>
      <c r="R289" s="11" t="s">
        <v>82</v>
      </c>
      <c r="S289" s="11" t="s">
        <v>82</v>
      </c>
      <c r="T289" s="11" t="s">
        <v>384</v>
      </c>
      <c r="U289" s="5" t="s">
        <v>246</v>
      </c>
      <c r="V289" s="11" t="s">
        <v>528</v>
      </c>
      <c r="W289" s="11" t="s">
        <v>529</v>
      </c>
      <c r="X289" s="11" t="s">
        <v>530</v>
      </c>
      <c r="Y289" s="11" t="s">
        <v>385</v>
      </c>
      <c r="Z289" s="11" t="s">
        <v>1278</v>
      </c>
    </row>
    <row r="290" spans="1:26">
      <c r="A290" s="11" t="s">
        <v>532</v>
      </c>
      <c r="B290" s="11" t="s">
        <v>381</v>
      </c>
      <c r="C290" s="15">
        <v>0.32</v>
      </c>
      <c r="D290" s="15"/>
      <c r="E290" s="11" t="s">
        <v>254</v>
      </c>
      <c r="F290" s="13" t="s">
        <v>533</v>
      </c>
      <c r="G290" s="14">
        <v>28</v>
      </c>
      <c r="H290" s="11" t="s">
        <v>73</v>
      </c>
      <c r="I290" s="11" t="s">
        <v>282</v>
      </c>
      <c r="J290" s="11" t="s">
        <v>283</v>
      </c>
      <c r="K290" s="11" t="s">
        <v>255</v>
      </c>
      <c r="L290" s="11" t="s">
        <v>886</v>
      </c>
      <c r="M290" s="5" t="s">
        <v>1255</v>
      </c>
      <c r="N290" s="5" t="s">
        <v>1279</v>
      </c>
      <c r="O290" s="5" t="s">
        <v>1280</v>
      </c>
      <c r="P290" s="5" t="s">
        <v>852</v>
      </c>
      <c r="Q290" s="11" t="s">
        <v>82</v>
      </c>
      <c r="R290" s="11" t="s">
        <v>82</v>
      </c>
      <c r="S290" s="11" t="s">
        <v>82</v>
      </c>
      <c r="T290" s="11" t="s">
        <v>384</v>
      </c>
      <c r="U290" s="5" t="s">
        <v>246</v>
      </c>
      <c r="V290" s="11" t="s">
        <v>537</v>
      </c>
      <c r="W290" s="11" t="s">
        <v>538</v>
      </c>
      <c r="X290" s="11" t="s">
        <v>539</v>
      </c>
      <c r="Y290" s="11" t="s">
        <v>385</v>
      </c>
      <c r="Z290" s="11" t="s">
        <v>1281</v>
      </c>
    </row>
    <row r="291" spans="1:26">
      <c r="A291" s="11" t="s">
        <v>541</v>
      </c>
      <c r="B291" s="11" t="s">
        <v>381</v>
      </c>
      <c r="C291" s="15">
        <v>0.2</v>
      </c>
      <c r="D291" s="15"/>
      <c r="E291" s="11" t="s">
        <v>254</v>
      </c>
      <c r="F291" s="13" t="s">
        <v>542</v>
      </c>
      <c r="G291" s="14">
        <v>28</v>
      </c>
      <c r="H291" s="11" t="s">
        <v>73</v>
      </c>
      <c r="I291" s="11" t="s">
        <v>282</v>
      </c>
      <c r="J291" s="11" t="s">
        <v>283</v>
      </c>
      <c r="K291" s="11" t="s">
        <v>255</v>
      </c>
      <c r="L291" s="11" t="s">
        <v>886</v>
      </c>
      <c r="M291" s="5" t="s">
        <v>1255</v>
      </c>
      <c r="N291" s="5" t="s">
        <v>1282</v>
      </c>
      <c r="O291" s="5" t="s">
        <v>1283</v>
      </c>
      <c r="P291" s="5" t="s">
        <v>852</v>
      </c>
      <c r="Q291" s="11" t="s">
        <v>82</v>
      </c>
      <c r="R291" s="11" t="s">
        <v>82</v>
      </c>
      <c r="S291" s="11" t="s">
        <v>82</v>
      </c>
      <c r="T291" s="11" t="s">
        <v>384</v>
      </c>
      <c r="U291" s="5" t="s">
        <v>246</v>
      </c>
      <c r="V291" s="11" t="s">
        <v>546</v>
      </c>
      <c r="W291" s="11" t="s">
        <v>547</v>
      </c>
      <c r="X291" s="11" t="s">
        <v>548</v>
      </c>
      <c r="Y291" s="11" t="s">
        <v>385</v>
      </c>
      <c r="Z291" s="11" t="s">
        <v>1284</v>
      </c>
    </row>
    <row r="292" spans="1:26">
      <c r="A292" s="11" t="s">
        <v>550</v>
      </c>
      <c r="B292" s="11" t="s">
        <v>381</v>
      </c>
      <c r="C292" s="15">
        <v>0.73</v>
      </c>
      <c r="D292" s="15"/>
      <c r="E292" s="11" t="s">
        <v>254</v>
      </c>
      <c r="F292" s="13" t="s">
        <v>971</v>
      </c>
      <c r="G292" s="11"/>
      <c r="H292" s="11" t="s">
        <v>73</v>
      </c>
      <c r="I292" s="11" t="s">
        <v>282</v>
      </c>
      <c r="J292" s="11" t="s">
        <v>283</v>
      </c>
      <c r="K292" s="11" t="s">
        <v>938</v>
      </c>
      <c r="L292" s="11" t="s">
        <v>1285</v>
      </c>
      <c r="M292" s="5" t="s">
        <v>1286</v>
      </c>
      <c r="N292" s="5" t="s">
        <v>1287</v>
      </c>
      <c r="O292" s="5" t="s">
        <v>1288</v>
      </c>
      <c r="P292" s="5" t="s">
        <v>852</v>
      </c>
      <c r="Q292" s="11" t="s">
        <v>82</v>
      </c>
      <c r="R292" s="11" t="s">
        <v>82</v>
      </c>
      <c r="S292" s="11" t="s">
        <v>82</v>
      </c>
      <c r="T292" s="11" t="s">
        <v>384</v>
      </c>
      <c r="U292" s="5" t="s">
        <v>943</v>
      </c>
      <c r="V292" s="11" t="s">
        <v>557</v>
      </c>
      <c r="W292" s="11" t="s">
        <v>974</v>
      </c>
      <c r="X292" s="11" t="s">
        <v>975</v>
      </c>
      <c r="Y292" s="11" t="s">
        <v>385</v>
      </c>
      <c r="Z292" s="11" t="s">
        <v>1289</v>
      </c>
    </row>
    <row r="293" spans="1:26">
      <c r="A293" s="11" t="s">
        <v>445</v>
      </c>
      <c r="B293" s="11" t="s">
        <v>393</v>
      </c>
      <c r="C293" s="15">
        <v>0.12</v>
      </c>
      <c r="D293" s="15"/>
      <c r="E293" s="11" t="s">
        <v>254</v>
      </c>
      <c r="F293" s="13" t="s">
        <v>446</v>
      </c>
      <c r="G293" s="14">
        <v>22</v>
      </c>
      <c r="H293" s="11" t="s">
        <v>73</v>
      </c>
      <c r="I293" s="11" t="s">
        <v>282</v>
      </c>
      <c r="J293" s="11" t="s">
        <v>283</v>
      </c>
      <c r="K293" s="11" t="s">
        <v>240</v>
      </c>
      <c r="L293" s="11" t="s">
        <v>886</v>
      </c>
      <c r="M293" s="5" t="s">
        <v>1290</v>
      </c>
      <c r="N293" s="5" t="s">
        <v>1256</v>
      </c>
      <c r="O293" s="5" t="s">
        <v>1291</v>
      </c>
      <c r="P293" s="5" t="s">
        <v>852</v>
      </c>
      <c r="Q293" s="11" t="s">
        <v>82</v>
      </c>
      <c r="R293" s="11" t="s">
        <v>82</v>
      </c>
      <c r="S293" s="11" t="s">
        <v>82</v>
      </c>
      <c r="T293" s="11" t="s">
        <v>396</v>
      </c>
      <c r="U293" s="5" t="s">
        <v>246</v>
      </c>
      <c r="V293" s="11" t="s">
        <v>454</v>
      </c>
      <c r="W293" s="11" t="s">
        <v>455</v>
      </c>
      <c r="X293" s="11" t="s">
        <v>456</v>
      </c>
      <c r="Y293" s="11" t="s">
        <v>397</v>
      </c>
      <c r="Z293" s="11" t="s">
        <v>1292</v>
      </c>
    </row>
    <row r="294" spans="1:26">
      <c r="A294" s="11" t="s">
        <v>458</v>
      </c>
      <c r="B294" s="11" t="s">
        <v>393</v>
      </c>
      <c r="C294" s="15">
        <v>0.18</v>
      </c>
      <c r="D294" s="15"/>
      <c r="E294" s="11" t="s">
        <v>254</v>
      </c>
      <c r="F294" s="13" t="s">
        <v>459</v>
      </c>
      <c r="G294" s="14">
        <v>27</v>
      </c>
      <c r="H294" s="11" t="s">
        <v>73</v>
      </c>
      <c r="I294" s="11" t="s">
        <v>282</v>
      </c>
      <c r="J294" s="11" t="s">
        <v>283</v>
      </c>
      <c r="K294" s="11" t="s">
        <v>240</v>
      </c>
      <c r="L294" s="11" t="s">
        <v>886</v>
      </c>
      <c r="M294" s="5" t="s">
        <v>1290</v>
      </c>
      <c r="N294" s="5" t="s">
        <v>1259</v>
      </c>
      <c r="O294" s="5" t="s">
        <v>1293</v>
      </c>
      <c r="P294" s="5" t="s">
        <v>852</v>
      </c>
      <c r="Q294" s="11" t="s">
        <v>82</v>
      </c>
      <c r="R294" s="11" t="s">
        <v>82</v>
      </c>
      <c r="S294" s="11" t="s">
        <v>82</v>
      </c>
      <c r="T294" s="11" t="s">
        <v>396</v>
      </c>
      <c r="U294" s="5" t="s">
        <v>246</v>
      </c>
      <c r="V294" s="11" t="s">
        <v>463</v>
      </c>
      <c r="W294" s="11" t="s">
        <v>464</v>
      </c>
      <c r="X294" s="11" t="s">
        <v>465</v>
      </c>
      <c r="Y294" s="11" t="s">
        <v>397</v>
      </c>
      <c r="Z294" s="11" t="s">
        <v>1294</v>
      </c>
    </row>
    <row r="295" spans="1:26">
      <c r="A295" s="11" t="s">
        <v>467</v>
      </c>
      <c r="B295" s="11" t="s">
        <v>393</v>
      </c>
      <c r="C295" s="15">
        <v>0.17</v>
      </c>
      <c r="D295" s="15"/>
      <c r="E295" s="11" t="s">
        <v>254</v>
      </c>
      <c r="F295" s="13" t="s">
        <v>468</v>
      </c>
      <c r="G295" s="14">
        <v>27</v>
      </c>
      <c r="H295" s="11" t="s">
        <v>73</v>
      </c>
      <c r="I295" s="11" t="s">
        <v>282</v>
      </c>
      <c r="J295" s="11" t="s">
        <v>283</v>
      </c>
      <c r="K295" s="11" t="s">
        <v>240</v>
      </c>
      <c r="L295" s="11" t="s">
        <v>886</v>
      </c>
      <c r="M295" s="5" t="s">
        <v>1290</v>
      </c>
      <c r="N295" s="5" t="s">
        <v>1262</v>
      </c>
      <c r="O295" s="5" t="s">
        <v>1295</v>
      </c>
      <c r="P295" s="5" t="s">
        <v>852</v>
      </c>
      <c r="Q295" s="11" t="s">
        <v>82</v>
      </c>
      <c r="R295" s="11" t="s">
        <v>82</v>
      </c>
      <c r="S295" s="11" t="s">
        <v>82</v>
      </c>
      <c r="T295" s="11" t="s">
        <v>396</v>
      </c>
      <c r="U295" s="5" t="s">
        <v>246</v>
      </c>
      <c r="V295" s="11" t="s">
        <v>472</v>
      </c>
      <c r="W295" s="11" t="s">
        <v>473</v>
      </c>
      <c r="X295" s="11" t="s">
        <v>474</v>
      </c>
      <c r="Y295" s="11" t="s">
        <v>397</v>
      </c>
      <c r="Z295" s="11" t="s">
        <v>1296</v>
      </c>
    </row>
    <row r="296" spans="1:26">
      <c r="A296" s="11" t="s">
        <v>476</v>
      </c>
      <c r="B296" s="11" t="s">
        <v>393</v>
      </c>
      <c r="C296" s="15"/>
      <c r="D296" s="15"/>
      <c r="E296" s="11" t="s">
        <v>254</v>
      </c>
      <c r="F296" s="13" t="s">
        <v>937</v>
      </c>
      <c r="G296" s="11"/>
      <c r="H296" s="11" t="s">
        <v>1233</v>
      </c>
      <c r="I296" s="11" t="s">
        <v>282</v>
      </c>
      <c r="J296" s="11" t="s">
        <v>283</v>
      </c>
      <c r="K296" s="11" t="s">
        <v>240</v>
      </c>
      <c r="L296" s="11" t="s">
        <v>75</v>
      </c>
      <c r="M296" s="5" t="s">
        <v>1290</v>
      </c>
      <c r="N296" s="5" t="s">
        <v>75</v>
      </c>
      <c r="O296" s="5" t="s">
        <v>1234</v>
      </c>
      <c r="P296" s="5" t="s">
        <v>75</v>
      </c>
      <c r="Q296" s="11" t="s">
        <v>82</v>
      </c>
      <c r="R296" s="11" t="s">
        <v>82</v>
      </c>
      <c r="S296" s="11" t="s">
        <v>82</v>
      </c>
      <c r="T296" s="11" t="s">
        <v>396</v>
      </c>
      <c r="U296" s="5" t="s">
        <v>246</v>
      </c>
      <c r="V296" s="11" t="s">
        <v>484</v>
      </c>
      <c r="W296" s="11" t="s">
        <v>944</v>
      </c>
      <c r="X296" s="11" t="s">
        <v>945</v>
      </c>
      <c r="Y296" s="11" t="s">
        <v>397</v>
      </c>
      <c r="Z296" s="11" t="s">
        <v>1297</v>
      </c>
    </row>
    <row r="297" spans="1:26">
      <c r="A297" s="11" t="s">
        <v>486</v>
      </c>
      <c r="B297" s="11" t="s">
        <v>393</v>
      </c>
      <c r="C297" s="15">
        <v>0.17</v>
      </c>
      <c r="D297" s="15"/>
      <c r="E297" s="11" t="s">
        <v>254</v>
      </c>
      <c r="F297" s="13" t="s">
        <v>487</v>
      </c>
      <c r="G297" s="14">
        <v>24</v>
      </c>
      <c r="H297" s="11" t="s">
        <v>73</v>
      </c>
      <c r="I297" s="11" t="s">
        <v>282</v>
      </c>
      <c r="J297" s="11" t="s">
        <v>283</v>
      </c>
      <c r="K297" s="11" t="s">
        <v>240</v>
      </c>
      <c r="L297" s="11" t="s">
        <v>886</v>
      </c>
      <c r="M297" s="5" t="s">
        <v>1290</v>
      </c>
      <c r="N297" s="5" t="s">
        <v>1266</v>
      </c>
      <c r="O297" s="5" t="s">
        <v>1298</v>
      </c>
      <c r="P297" s="5" t="s">
        <v>852</v>
      </c>
      <c r="Q297" s="11" t="s">
        <v>82</v>
      </c>
      <c r="R297" s="11" t="s">
        <v>82</v>
      </c>
      <c r="S297" s="11" t="s">
        <v>82</v>
      </c>
      <c r="T297" s="11" t="s">
        <v>396</v>
      </c>
      <c r="U297" s="5" t="s">
        <v>246</v>
      </c>
      <c r="V297" s="11" t="s">
        <v>492</v>
      </c>
      <c r="W297" s="11" t="s">
        <v>493</v>
      </c>
      <c r="X297" s="11" t="s">
        <v>494</v>
      </c>
      <c r="Y297" s="11" t="s">
        <v>397</v>
      </c>
      <c r="Z297" s="11" t="s">
        <v>1299</v>
      </c>
    </row>
    <row r="298" spans="1:26">
      <c r="A298" s="11" t="s">
        <v>496</v>
      </c>
      <c r="B298" s="11" t="s">
        <v>393</v>
      </c>
      <c r="C298" s="15">
        <v>0.17</v>
      </c>
      <c r="D298" s="15"/>
      <c r="E298" s="11" t="s">
        <v>254</v>
      </c>
      <c r="F298" s="13" t="s">
        <v>497</v>
      </c>
      <c r="G298" s="14">
        <v>28</v>
      </c>
      <c r="H298" s="11" t="s">
        <v>73</v>
      </c>
      <c r="I298" s="11" t="s">
        <v>282</v>
      </c>
      <c r="J298" s="11" t="s">
        <v>283</v>
      </c>
      <c r="K298" s="11" t="s">
        <v>240</v>
      </c>
      <c r="L298" s="11" t="s">
        <v>886</v>
      </c>
      <c r="M298" s="5" t="s">
        <v>1290</v>
      </c>
      <c r="N298" s="5" t="s">
        <v>1269</v>
      </c>
      <c r="O298" s="5" t="s">
        <v>1300</v>
      </c>
      <c r="P298" s="5" t="s">
        <v>852</v>
      </c>
      <c r="Q298" s="11" t="s">
        <v>82</v>
      </c>
      <c r="R298" s="11" t="s">
        <v>82</v>
      </c>
      <c r="S298" s="11" t="s">
        <v>82</v>
      </c>
      <c r="T298" s="11" t="s">
        <v>396</v>
      </c>
      <c r="U298" s="5" t="s">
        <v>246</v>
      </c>
      <c r="V298" s="11" t="s">
        <v>501</v>
      </c>
      <c r="W298" s="11" t="s">
        <v>502</v>
      </c>
      <c r="X298" s="11" t="s">
        <v>503</v>
      </c>
      <c r="Y298" s="11" t="s">
        <v>397</v>
      </c>
      <c r="Z298" s="11" t="s">
        <v>1301</v>
      </c>
    </row>
    <row r="299" spans="1:26">
      <c r="A299" s="11" t="s">
        <v>505</v>
      </c>
      <c r="B299" s="11" t="s">
        <v>393</v>
      </c>
      <c r="C299" s="15">
        <v>0.13</v>
      </c>
      <c r="D299" s="15"/>
      <c r="E299" s="11" t="s">
        <v>254</v>
      </c>
      <c r="F299" s="13" t="s">
        <v>506</v>
      </c>
      <c r="G299" s="14">
        <v>31</v>
      </c>
      <c r="H299" s="11" t="s">
        <v>73</v>
      </c>
      <c r="I299" s="11" t="s">
        <v>282</v>
      </c>
      <c r="J299" s="11" t="s">
        <v>283</v>
      </c>
      <c r="K299" s="11" t="s">
        <v>240</v>
      </c>
      <c r="L299" s="11" t="s">
        <v>886</v>
      </c>
      <c r="M299" s="5" t="s">
        <v>1290</v>
      </c>
      <c r="N299" s="5" t="s">
        <v>1272</v>
      </c>
      <c r="O299" s="5" t="s">
        <v>1302</v>
      </c>
      <c r="P299" s="5" t="s">
        <v>852</v>
      </c>
      <c r="Q299" s="11" t="s">
        <v>82</v>
      </c>
      <c r="R299" s="11" t="s">
        <v>82</v>
      </c>
      <c r="S299" s="11" t="s">
        <v>82</v>
      </c>
      <c r="T299" s="11" t="s">
        <v>396</v>
      </c>
      <c r="U299" s="5" t="s">
        <v>246</v>
      </c>
      <c r="V299" s="11" t="s">
        <v>510</v>
      </c>
      <c r="W299" s="11" t="s">
        <v>511</v>
      </c>
      <c r="X299" s="11" t="s">
        <v>512</v>
      </c>
      <c r="Y299" s="11" t="s">
        <v>397</v>
      </c>
      <c r="Z299" s="11" t="s">
        <v>1303</v>
      </c>
    </row>
    <row r="300" spans="1:26">
      <c r="A300" s="11" t="s">
        <v>514</v>
      </c>
      <c r="B300" s="11" t="s">
        <v>393</v>
      </c>
      <c r="C300" s="15"/>
      <c r="D300" s="15"/>
      <c r="E300" s="11" t="s">
        <v>254</v>
      </c>
      <c r="F300" s="13" t="s">
        <v>956</v>
      </c>
      <c r="G300" s="11"/>
      <c r="H300" s="11" t="s">
        <v>1233</v>
      </c>
      <c r="I300" s="11" t="s">
        <v>282</v>
      </c>
      <c r="J300" s="11" t="s">
        <v>283</v>
      </c>
      <c r="K300" s="11" t="s">
        <v>240</v>
      </c>
      <c r="L300" s="11" t="s">
        <v>75</v>
      </c>
      <c r="M300" s="5" t="s">
        <v>1290</v>
      </c>
      <c r="N300" s="5" t="s">
        <v>75</v>
      </c>
      <c r="O300" s="5" t="s">
        <v>1234</v>
      </c>
      <c r="P300" s="5" t="s">
        <v>75</v>
      </c>
      <c r="Q300" s="11" t="s">
        <v>82</v>
      </c>
      <c r="R300" s="11" t="s">
        <v>82</v>
      </c>
      <c r="S300" s="11" t="s">
        <v>82</v>
      </c>
      <c r="T300" s="11" t="s">
        <v>396</v>
      </c>
      <c r="U300" s="5" t="s">
        <v>246</v>
      </c>
      <c r="V300" s="11" t="s">
        <v>521</v>
      </c>
      <c r="W300" s="11" t="s">
        <v>959</v>
      </c>
      <c r="X300" s="11" t="s">
        <v>960</v>
      </c>
      <c r="Y300" s="11" t="s">
        <v>397</v>
      </c>
      <c r="Z300" s="11" t="s">
        <v>1304</v>
      </c>
    </row>
    <row r="301" spans="1:26">
      <c r="A301" s="11" t="s">
        <v>523</v>
      </c>
      <c r="B301" s="11" t="s">
        <v>393</v>
      </c>
      <c r="C301" s="15">
        <v>0.13</v>
      </c>
      <c r="D301" s="15"/>
      <c r="E301" s="11" t="s">
        <v>254</v>
      </c>
      <c r="F301" s="13" t="s">
        <v>524</v>
      </c>
      <c r="G301" s="14">
        <v>24</v>
      </c>
      <c r="H301" s="11" t="s">
        <v>73</v>
      </c>
      <c r="I301" s="11" t="s">
        <v>282</v>
      </c>
      <c r="J301" s="11" t="s">
        <v>283</v>
      </c>
      <c r="K301" s="11" t="s">
        <v>240</v>
      </c>
      <c r="L301" s="11" t="s">
        <v>886</v>
      </c>
      <c r="M301" s="5" t="s">
        <v>1290</v>
      </c>
      <c r="N301" s="5" t="s">
        <v>1276</v>
      </c>
      <c r="O301" s="5" t="s">
        <v>1305</v>
      </c>
      <c r="P301" s="5" t="s">
        <v>852</v>
      </c>
      <c r="Q301" s="11" t="s">
        <v>82</v>
      </c>
      <c r="R301" s="11" t="s">
        <v>82</v>
      </c>
      <c r="S301" s="11" t="s">
        <v>82</v>
      </c>
      <c r="T301" s="11" t="s">
        <v>396</v>
      </c>
      <c r="U301" s="5" t="s">
        <v>246</v>
      </c>
      <c r="V301" s="11" t="s">
        <v>528</v>
      </c>
      <c r="W301" s="11" t="s">
        <v>529</v>
      </c>
      <c r="X301" s="11" t="s">
        <v>530</v>
      </c>
      <c r="Y301" s="11" t="s">
        <v>397</v>
      </c>
      <c r="Z301" s="11" t="s">
        <v>1306</v>
      </c>
    </row>
    <row r="302" spans="1:26">
      <c r="A302" s="11" t="s">
        <v>532</v>
      </c>
      <c r="B302" s="11" t="s">
        <v>393</v>
      </c>
      <c r="C302" s="15">
        <v>0.3</v>
      </c>
      <c r="D302" s="15"/>
      <c r="E302" s="11" t="s">
        <v>254</v>
      </c>
      <c r="F302" s="13" t="s">
        <v>533</v>
      </c>
      <c r="G302" s="14">
        <v>28</v>
      </c>
      <c r="H302" s="11" t="s">
        <v>73</v>
      </c>
      <c r="I302" s="11" t="s">
        <v>282</v>
      </c>
      <c r="J302" s="11" t="s">
        <v>283</v>
      </c>
      <c r="K302" s="11" t="s">
        <v>240</v>
      </c>
      <c r="L302" s="11" t="s">
        <v>886</v>
      </c>
      <c r="M302" s="5" t="s">
        <v>1290</v>
      </c>
      <c r="N302" s="5" t="s">
        <v>1279</v>
      </c>
      <c r="O302" s="5" t="s">
        <v>1307</v>
      </c>
      <c r="P302" s="5" t="s">
        <v>852</v>
      </c>
      <c r="Q302" s="11" t="s">
        <v>82</v>
      </c>
      <c r="R302" s="11" t="s">
        <v>82</v>
      </c>
      <c r="S302" s="11" t="s">
        <v>82</v>
      </c>
      <c r="T302" s="11" t="s">
        <v>396</v>
      </c>
      <c r="U302" s="5" t="s">
        <v>246</v>
      </c>
      <c r="V302" s="11" t="s">
        <v>537</v>
      </c>
      <c r="W302" s="11" t="s">
        <v>538</v>
      </c>
      <c r="X302" s="11" t="s">
        <v>539</v>
      </c>
      <c r="Y302" s="11" t="s">
        <v>397</v>
      </c>
      <c r="Z302" s="11" t="s">
        <v>1308</v>
      </c>
    </row>
    <row r="303" spans="1:26">
      <c r="A303" s="11" t="s">
        <v>541</v>
      </c>
      <c r="B303" s="11" t="s">
        <v>393</v>
      </c>
      <c r="C303" s="15">
        <v>0.16</v>
      </c>
      <c r="D303" s="15"/>
      <c r="E303" s="11" t="s">
        <v>254</v>
      </c>
      <c r="F303" s="13" t="s">
        <v>542</v>
      </c>
      <c r="G303" s="14">
        <v>28</v>
      </c>
      <c r="H303" s="11" t="s">
        <v>73</v>
      </c>
      <c r="I303" s="11" t="s">
        <v>282</v>
      </c>
      <c r="J303" s="11" t="s">
        <v>283</v>
      </c>
      <c r="K303" s="11" t="s">
        <v>240</v>
      </c>
      <c r="L303" s="11" t="s">
        <v>886</v>
      </c>
      <c r="M303" s="5" t="s">
        <v>1290</v>
      </c>
      <c r="N303" s="5" t="s">
        <v>1282</v>
      </c>
      <c r="O303" s="5" t="s">
        <v>1309</v>
      </c>
      <c r="P303" s="5" t="s">
        <v>852</v>
      </c>
      <c r="Q303" s="11" t="s">
        <v>82</v>
      </c>
      <c r="R303" s="11" t="s">
        <v>82</v>
      </c>
      <c r="S303" s="11" t="s">
        <v>82</v>
      </c>
      <c r="T303" s="11" t="s">
        <v>396</v>
      </c>
      <c r="U303" s="5" t="s">
        <v>246</v>
      </c>
      <c r="V303" s="11" t="s">
        <v>546</v>
      </c>
      <c r="W303" s="11" t="s">
        <v>547</v>
      </c>
      <c r="X303" s="11" t="s">
        <v>548</v>
      </c>
      <c r="Y303" s="11" t="s">
        <v>397</v>
      </c>
      <c r="Z303" s="11" t="s">
        <v>1310</v>
      </c>
    </row>
    <row r="304" spans="1:26">
      <c r="A304" s="11" t="s">
        <v>550</v>
      </c>
      <c r="B304" s="11" t="s">
        <v>393</v>
      </c>
      <c r="C304" s="15"/>
      <c r="D304" s="15"/>
      <c r="E304" s="11" t="s">
        <v>254</v>
      </c>
      <c r="F304" s="13" t="s">
        <v>971</v>
      </c>
      <c r="G304" s="11"/>
      <c r="H304" s="11" t="s">
        <v>1233</v>
      </c>
      <c r="I304" s="11" t="s">
        <v>282</v>
      </c>
      <c r="J304" s="11" t="s">
        <v>283</v>
      </c>
      <c r="K304" s="11" t="s">
        <v>240</v>
      </c>
      <c r="L304" s="11" t="s">
        <v>75</v>
      </c>
      <c r="M304" s="5" t="s">
        <v>1290</v>
      </c>
      <c r="N304" s="5" t="s">
        <v>75</v>
      </c>
      <c r="O304" s="5" t="s">
        <v>1234</v>
      </c>
      <c r="P304" s="5" t="s">
        <v>75</v>
      </c>
      <c r="Q304" s="11" t="s">
        <v>82</v>
      </c>
      <c r="R304" s="11" t="s">
        <v>82</v>
      </c>
      <c r="S304" s="11" t="s">
        <v>82</v>
      </c>
      <c r="T304" s="11" t="s">
        <v>396</v>
      </c>
      <c r="U304" s="5" t="s">
        <v>246</v>
      </c>
      <c r="V304" s="11" t="s">
        <v>557</v>
      </c>
      <c r="W304" s="11" t="s">
        <v>974</v>
      </c>
      <c r="X304" s="11" t="s">
        <v>975</v>
      </c>
      <c r="Y304" s="11" t="s">
        <v>397</v>
      </c>
      <c r="Z304" s="11" t="s">
        <v>1311</v>
      </c>
    </row>
    <row r="305" spans="1:26">
      <c r="A305" s="11" t="s">
        <v>445</v>
      </c>
      <c r="B305" s="11" t="s">
        <v>403</v>
      </c>
      <c r="C305" s="15">
        <v>0.09</v>
      </c>
      <c r="D305" s="15"/>
      <c r="E305" s="11" t="s">
        <v>254</v>
      </c>
      <c r="F305" s="13" t="s">
        <v>446</v>
      </c>
      <c r="G305" s="14">
        <v>22</v>
      </c>
      <c r="H305" s="11" t="s">
        <v>73</v>
      </c>
      <c r="I305" s="11" t="s">
        <v>282</v>
      </c>
      <c r="J305" s="11" t="s">
        <v>296</v>
      </c>
      <c r="K305" s="11" t="s">
        <v>255</v>
      </c>
      <c r="L305" s="11" t="s">
        <v>886</v>
      </c>
      <c r="M305" s="5" t="s">
        <v>1312</v>
      </c>
      <c r="N305" s="5" t="s">
        <v>1313</v>
      </c>
      <c r="O305" s="5" t="s">
        <v>1314</v>
      </c>
      <c r="P305" s="5" t="s">
        <v>852</v>
      </c>
      <c r="Q305" s="11" t="s">
        <v>82</v>
      </c>
      <c r="R305" s="11" t="s">
        <v>82</v>
      </c>
      <c r="S305" s="11" t="s">
        <v>82</v>
      </c>
      <c r="T305" s="11" t="s">
        <v>407</v>
      </c>
      <c r="U305" s="5" t="s">
        <v>246</v>
      </c>
      <c r="V305" s="11" t="s">
        <v>454</v>
      </c>
      <c r="W305" s="11" t="s">
        <v>455</v>
      </c>
      <c r="X305" s="11" t="s">
        <v>456</v>
      </c>
      <c r="Y305" s="11" t="s">
        <v>408</v>
      </c>
      <c r="Z305" s="11" t="s">
        <v>1315</v>
      </c>
    </row>
    <row r="306" spans="1:26">
      <c r="A306" s="11" t="s">
        <v>458</v>
      </c>
      <c r="B306" s="11" t="s">
        <v>403</v>
      </c>
      <c r="C306" s="15">
        <v>0.08</v>
      </c>
      <c r="D306" s="15"/>
      <c r="E306" s="11" t="s">
        <v>254</v>
      </c>
      <c r="F306" s="13" t="s">
        <v>459</v>
      </c>
      <c r="G306" s="14">
        <v>27</v>
      </c>
      <c r="H306" s="11" t="s">
        <v>73</v>
      </c>
      <c r="I306" s="11" t="s">
        <v>282</v>
      </c>
      <c r="J306" s="11" t="s">
        <v>296</v>
      </c>
      <c r="K306" s="11" t="s">
        <v>255</v>
      </c>
      <c r="L306" s="11" t="s">
        <v>886</v>
      </c>
      <c r="M306" s="5" t="s">
        <v>1312</v>
      </c>
      <c r="N306" s="5" t="s">
        <v>1316</v>
      </c>
      <c r="O306" s="5" t="s">
        <v>1257</v>
      </c>
      <c r="P306" s="5" t="s">
        <v>852</v>
      </c>
      <c r="Q306" s="11" t="s">
        <v>82</v>
      </c>
      <c r="R306" s="11" t="s">
        <v>82</v>
      </c>
      <c r="S306" s="11" t="s">
        <v>82</v>
      </c>
      <c r="T306" s="11" t="s">
        <v>407</v>
      </c>
      <c r="U306" s="5" t="s">
        <v>246</v>
      </c>
      <c r="V306" s="11" t="s">
        <v>463</v>
      </c>
      <c r="W306" s="11" t="s">
        <v>464</v>
      </c>
      <c r="X306" s="11" t="s">
        <v>465</v>
      </c>
      <c r="Y306" s="11" t="s">
        <v>408</v>
      </c>
      <c r="Z306" s="11" t="s">
        <v>1317</v>
      </c>
    </row>
    <row r="307" spans="1:26">
      <c r="A307" s="11" t="s">
        <v>467</v>
      </c>
      <c r="B307" s="11" t="s">
        <v>403</v>
      </c>
      <c r="C307" s="15">
        <v>0.05</v>
      </c>
      <c r="D307" s="15"/>
      <c r="E307" s="11" t="s">
        <v>254</v>
      </c>
      <c r="F307" s="13" t="s">
        <v>468</v>
      </c>
      <c r="G307" s="14">
        <v>27</v>
      </c>
      <c r="H307" s="11" t="s">
        <v>73</v>
      </c>
      <c r="I307" s="11" t="s">
        <v>282</v>
      </c>
      <c r="J307" s="11" t="s">
        <v>296</v>
      </c>
      <c r="K307" s="11" t="s">
        <v>255</v>
      </c>
      <c r="L307" s="11" t="s">
        <v>886</v>
      </c>
      <c r="M307" s="5" t="s">
        <v>1312</v>
      </c>
      <c r="N307" s="5" t="s">
        <v>1318</v>
      </c>
      <c r="O307" s="5" t="s">
        <v>1319</v>
      </c>
      <c r="P307" s="5" t="s">
        <v>852</v>
      </c>
      <c r="Q307" s="11" t="s">
        <v>82</v>
      </c>
      <c r="R307" s="11" t="s">
        <v>82</v>
      </c>
      <c r="S307" s="11" t="s">
        <v>82</v>
      </c>
      <c r="T307" s="11" t="s">
        <v>407</v>
      </c>
      <c r="U307" s="5" t="s">
        <v>246</v>
      </c>
      <c r="V307" s="11" t="s">
        <v>472</v>
      </c>
      <c r="W307" s="11" t="s">
        <v>473</v>
      </c>
      <c r="X307" s="11" t="s">
        <v>474</v>
      </c>
      <c r="Y307" s="11" t="s">
        <v>408</v>
      </c>
      <c r="Z307" s="11" t="s">
        <v>1320</v>
      </c>
    </row>
    <row r="308" spans="1:26">
      <c r="A308" s="11" t="s">
        <v>476</v>
      </c>
      <c r="B308" s="11" t="s">
        <v>403</v>
      </c>
      <c r="C308" s="15"/>
      <c r="D308" s="15"/>
      <c r="E308" s="11" t="s">
        <v>254</v>
      </c>
      <c r="F308" s="13" t="s">
        <v>937</v>
      </c>
      <c r="G308" s="11"/>
      <c r="H308" s="11" t="s">
        <v>1233</v>
      </c>
      <c r="I308" s="11" t="s">
        <v>282</v>
      </c>
      <c r="J308" s="11" t="s">
        <v>296</v>
      </c>
      <c r="K308" s="11" t="s">
        <v>255</v>
      </c>
      <c r="L308" s="11" t="s">
        <v>75</v>
      </c>
      <c r="M308" s="5" t="s">
        <v>1312</v>
      </c>
      <c r="N308" s="5" t="s">
        <v>75</v>
      </c>
      <c r="O308" s="5" t="s">
        <v>1234</v>
      </c>
      <c r="P308" s="5" t="s">
        <v>75</v>
      </c>
      <c r="Q308" s="11" t="s">
        <v>82</v>
      </c>
      <c r="R308" s="11" t="s">
        <v>82</v>
      </c>
      <c r="S308" s="11" t="s">
        <v>82</v>
      </c>
      <c r="T308" s="11" t="s">
        <v>407</v>
      </c>
      <c r="U308" s="5" t="s">
        <v>246</v>
      </c>
      <c r="V308" s="11" t="s">
        <v>484</v>
      </c>
      <c r="W308" s="11" t="s">
        <v>944</v>
      </c>
      <c r="X308" s="11" t="s">
        <v>945</v>
      </c>
      <c r="Y308" s="11" t="s">
        <v>408</v>
      </c>
      <c r="Z308" s="11" t="s">
        <v>1321</v>
      </c>
    </row>
    <row r="309" spans="1:26">
      <c r="A309" s="11" t="s">
        <v>486</v>
      </c>
      <c r="B309" s="11" t="s">
        <v>403</v>
      </c>
      <c r="C309" s="15">
        <v>0.04</v>
      </c>
      <c r="D309" s="15"/>
      <c r="E309" s="11" t="s">
        <v>254</v>
      </c>
      <c r="F309" s="13" t="s">
        <v>487</v>
      </c>
      <c r="G309" s="14">
        <v>24</v>
      </c>
      <c r="H309" s="11" t="s">
        <v>73</v>
      </c>
      <c r="I309" s="11" t="s">
        <v>282</v>
      </c>
      <c r="J309" s="11" t="s">
        <v>296</v>
      </c>
      <c r="K309" s="11" t="s">
        <v>255</v>
      </c>
      <c r="L309" s="11" t="s">
        <v>886</v>
      </c>
      <c r="M309" s="5" t="s">
        <v>1312</v>
      </c>
      <c r="N309" s="5" t="s">
        <v>1322</v>
      </c>
      <c r="O309" s="5" t="s">
        <v>1323</v>
      </c>
      <c r="P309" s="5" t="s">
        <v>852</v>
      </c>
      <c r="Q309" s="11" t="s">
        <v>82</v>
      </c>
      <c r="R309" s="11" t="s">
        <v>82</v>
      </c>
      <c r="S309" s="11" t="s">
        <v>82</v>
      </c>
      <c r="T309" s="11" t="s">
        <v>407</v>
      </c>
      <c r="U309" s="5" t="s">
        <v>246</v>
      </c>
      <c r="V309" s="11" t="s">
        <v>492</v>
      </c>
      <c r="W309" s="11" t="s">
        <v>493</v>
      </c>
      <c r="X309" s="11" t="s">
        <v>494</v>
      </c>
      <c r="Y309" s="11" t="s">
        <v>408</v>
      </c>
      <c r="Z309" s="11" t="s">
        <v>1324</v>
      </c>
    </row>
    <row r="310" spans="1:26">
      <c r="A310" s="11" t="s">
        <v>496</v>
      </c>
      <c r="B310" s="11" t="s">
        <v>403</v>
      </c>
      <c r="C310" s="15">
        <v>0.08</v>
      </c>
      <c r="D310" s="15"/>
      <c r="E310" s="11" t="s">
        <v>254</v>
      </c>
      <c r="F310" s="13" t="s">
        <v>497</v>
      </c>
      <c r="G310" s="14">
        <v>28</v>
      </c>
      <c r="H310" s="11" t="s">
        <v>73</v>
      </c>
      <c r="I310" s="11" t="s">
        <v>282</v>
      </c>
      <c r="J310" s="11" t="s">
        <v>296</v>
      </c>
      <c r="K310" s="11" t="s">
        <v>255</v>
      </c>
      <c r="L310" s="11" t="s">
        <v>886</v>
      </c>
      <c r="M310" s="5" t="s">
        <v>1312</v>
      </c>
      <c r="N310" s="5" t="s">
        <v>1325</v>
      </c>
      <c r="O310" s="5" t="s">
        <v>1326</v>
      </c>
      <c r="P310" s="5" t="s">
        <v>852</v>
      </c>
      <c r="Q310" s="11" t="s">
        <v>82</v>
      </c>
      <c r="R310" s="11" t="s">
        <v>82</v>
      </c>
      <c r="S310" s="11" t="s">
        <v>82</v>
      </c>
      <c r="T310" s="11" t="s">
        <v>407</v>
      </c>
      <c r="U310" s="5" t="s">
        <v>246</v>
      </c>
      <c r="V310" s="11" t="s">
        <v>501</v>
      </c>
      <c r="W310" s="11" t="s">
        <v>502</v>
      </c>
      <c r="X310" s="11" t="s">
        <v>503</v>
      </c>
      <c r="Y310" s="11" t="s">
        <v>408</v>
      </c>
      <c r="Z310" s="11" t="s">
        <v>1327</v>
      </c>
    </row>
    <row r="311" spans="1:26">
      <c r="A311" s="11" t="s">
        <v>505</v>
      </c>
      <c r="B311" s="11" t="s">
        <v>403</v>
      </c>
      <c r="C311" s="15">
        <v>0.02</v>
      </c>
      <c r="D311" s="15"/>
      <c r="E311" s="11" t="s">
        <v>254</v>
      </c>
      <c r="F311" s="13" t="s">
        <v>506</v>
      </c>
      <c r="G311" s="14">
        <v>31</v>
      </c>
      <c r="H311" s="11" t="s">
        <v>73</v>
      </c>
      <c r="I311" s="11" t="s">
        <v>282</v>
      </c>
      <c r="J311" s="11" t="s">
        <v>296</v>
      </c>
      <c r="K311" s="11" t="s">
        <v>255</v>
      </c>
      <c r="L311" s="11" t="s">
        <v>886</v>
      </c>
      <c r="M311" s="5" t="s">
        <v>1312</v>
      </c>
      <c r="N311" s="5" t="s">
        <v>1328</v>
      </c>
      <c r="O311" s="5" t="s">
        <v>1329</v>
      </c>
      <c r="P311" s="5" t="s">
        <v>852</v>
      </c>
      <c r="Q311" s="11" t="s">
        <v>82</v>
      </c>
      <c r="R311" s="11" t="s">
        <v>82</v>
      </c>
      <c r="S311" s="11" t="s">
        <v>82</v>
      </c>
      <c r="T311" s="11" t="s">
        <v>407</v>
      </c>
      <c r="U311" s="5" t="s">
        <v>246</v>
      </c>
      <c r="V311" s="11" t="s">
        <v>510</v>
      </c>
      <c r="W311" s="11" t="s">
        <v>511</v>
      </c>
      <c r="X311" s="11" t="s">
        <v>512</v>
      </c>
      <c r="Y311" s="11" t="s">
        <v>408</v>
      </c>
      <c r="Z311" s="11" t="s">
        <v>1330</v>
      </c>
    </row>
    <row r="312" spans="1:26">
      <c r="A312" s="11" t="s">
        <v>514</v>
      </c>
      <c r="B312" s="11" t="s">
        <v>403</v>
      </c>
      <c r="C312" s="15"/>
      <c r="D312" s="15"/>
      <c r="E312" s="11" t="s">
        <v>254</v>
      </c>
      <c r="F312" s="13" t="s">
        <v>956</v>
      </c>
      <c r="G312" s="11"/>
      <c r="H312" s="11" t="s">
        <v>1233</v>
      </c>
      <c r="I312" s="11" t="s">
        <v>282</v>
      </c>
      <c r="J312" s="11" t="s">
        <v>296</v>
      </c>
      <c r="K312" s="11" t="s">
        <v>255</v>
      </c>
      <c r="L312" s="11" t="s">
        <v>75</v>
      </c>
      <c r="M312" s="5" t="s">
        <v>1312</v>
      </c>
      <c r="N312" s="5" t="s">
        <v>75</v>
      </c>
      <c r="O312" s="5" t="s">
        <v>1234</v>
      </c>
      <c r="P312" s="5" t="s">
        <v>75</v>
      </c>
      <c r="Q312" s="11" t="s">
        <v>82</v>
      </c>
      <c r="R312" s="11" t="s">
        <v>82</v>
      </c>
      <c r="S312" s="11" t="s">
        <v>82</v>
      </c>
      <c r="T312" s="11" t="s">
        <v>407</v>
      </c>
      <c r="U312" s="5" t="s">
        <v>246</v>
      </c>
      <c r="V312" s="11" t="s">
        <v>521</v>
      </c>
      <c r="W312" s="11" t="s">
        <v>959</v>
      </c>
      <c r="X312" s="11" t="s">
        <v>960</v>
      </c>
      <c r="Y312" s="11" t="s">
        <v>408</v>
      </c>
      <c r="Z312" s="11" t="s">
        <v>1331</v>
      </c>
    </row>
    <row r="313" spans="1:26">
      <c r="A313" s="11" t="s">
        <v>523</v>
      </c>
      <c r="B313" s="11" t="s">
        <v>403</v>
      </c>
      <c r="C313" s="15">
        <v>-0.07000000000000001</v>
      </c>
      <c r="D313" s="15"/>
      <c r="E313" s="11" t="s">
        <v>254</v>
      </c>
      <c r="F313" s="13" t="s">
        <v>524</v>
      </c>
      <c r="G313" s="14">
        <v>24</v>
      </c>
      <c r="H313" s="11" t="s">
        <v>73</v>
      </c>
      <c r="I313" s="11" t="s">
        <v>282</v>
      </c>
      <c r="J313" s="11" t="s">
        <v>296</v>
      </c>
      <c r="K313" s="11" t="s">
        <v>255</v>
      </c>
      <c r="L313" s="11" t="s">
        <v>886</v>
      </c>
      <c r="M313" s="5" t="s">
        <v>1312</v>
      </c>
      <c r="N313" s="5" t="s">
        <v>1332</v>
      </c>
      <c r="O313" s="5" t="s">
        <v>1270</v>
      </c>
      <c r="P313" s="5" t="s">
        <v>852</v>
      </c>
      <c r="Q313" s="11" t="s">
        <v>82</v>
      </c>
      <c r="R313" s="11" t="s">
        <v>82</v>
      </c>
      <c r="S313" s="11" t="s">
        <v>82</v>
      </c>
      <c r="T313" s="11" t="s">
        <v>407</v>
      </c>
      <c r="U313" s="5" t="s">
        <v>246</v>
      </c>
      <c r="V313" s="11" t="s">
        <v>528</v>
      </c>
      <c r="W313" s="11" t="s">
        <v>529</v>
      </c>
      <c r="X313" s="11" t="s">
        <v>530</v>
      </c>
      <c r="Y313" s="11" t="s">
        <v>408</v>
      </c>
      <c r="Z313" s="11" t="s">
        <v>1333</v>
      </c>
    </row>
    <row r="314" spans="1:26">
      <c r="A314" s="11" t="s">
        <v>532</v>
      </c>
      <c r="B314" s="11" t="s">
        <v>403</v>
      </c>
      <c r="C314" s="15">
        <v>-0.02</v>
      </c>
      <c r="D314" s="15"/>
      <c r="E314" s="11" t="s">
        <v>254</v>
      </c>
      <c r="F314" s="13" t="s">
        <v>533</v>
      </c>
      <c r="G314" s="14">
        <v>28</v>
      </c>
      <c r="H314" s="11" t="s">
        <v>73</v>
      </c>
      <c r="I314" s="11" t="s">
        <v>282</v>
      </c>
      <c r="J314" s="11" t="s">
        <v>296</v>
      </c>
      <c r="K314" s="11" t="s">
        <v>255</v>
      </c>
      <c r="L314" s="11" t="s">
        <v>886</v>
      </c>
      <c r="M314" s="5" t="s">
        <v>1312</v>
      </c>
      <c r="N314" s="5" t="s">
        <v>1334</v>
      </c>
      <c r="O314" s="5" t="s">
        <v>1335</v>
      </c>
      <c r="P314" s="5" t="s">
        <v>852</v>
      </c>
      <c r="Q314" s="11" t="s">
        <v>82</v>
      </c>
      <c r="R314" s="11" t="s">
        <v>82</v>
      </c>
      <c r="S314" s="11" t="s">
        <v>82</v>
      </c>
      <c r="T314" s="11" t="s">
        <v>407</v>
      </c>
      <c r="U314" s="5" t="s">
        <v>246</v>
      </c>
      <c r="V314" s="11" t="s">
        <v>537</v>
      </c>
      <c r="W314" s="11" t="s">
        <v>538</v>
      </c>
      <c r="X314" s="11" t="s">
        <v>539</v>
      </c>
      <c r="Y314" s="11" t="s">
        <v>408</v>
      </c>
      <c r="Z314" s="11" t="s">
        <v>1336</v>
      </c>
    </row>
    <row r="315" spans="1:26">
      <c r="A315" s="11" t="s">
        <v>541</v>
      </c>
      <c r="B315" s="11" t="s">
        <v>403</v>
      </c>
      <c r="C315" s="15">
        <v>-0.08</v>
      </c>
      <c r="D315" s="15"/>
      <c r="E315" s="11" t="s">
        <v>254</v>
      </c>
      <c r="F315" s="13" t="s">
        <v>542</v>
      </c>
      <c r="G315" s="14">
        <v>28</v>
      </c>
      <c r="H315" s="11" t="s">
        <v>73</v>
      </c>
      <c r="I315" s="11" t="s">
        <v>282</v>
      </c>
      <c r="J315" s="11" t="s">
        <v>296</v>
      </c>
      <c r="K315" s="11" t="s">
        <v>255</v>
      </c>
      <c r="L315" s="11" t="s">
        <v>886</v>
      </c>
      <c r="M315" s="5" t="s">
        <v>1312</v>
      </c>
      <c r="N315" s="5" t="s">
        <v>1337</v>
      </c>
      <c r="O315" s="5" t="s">
        <v>1338</v>
      </c>
      <c r="P315" s="5" t="s">
        <v>852</v>
      </c>
      <c r="Q315" s="11" t="s">
        <v>82</v>
      </c>
      <c r="R315" s="11" t="s">
        <v>82</v>
      </c>
      <c r="S315" s="11" t="s">
        <v>82</v>
      </c>
      <c r="T315" s="11" t="s">
        <v>407</v>
      </c>
      <c r="U315" s="5" t="s">
        <v>246</v>
      </c>
      <c r="V315" s="11" t="s">
        <v>546</v>
      </c>
      <c r="W315" s="11" t="s">
        <v>547</v>
      </c>
      <c r="X315" s="11" t="s">
        <v>548</v>
      </c>
      <c r="Y315" s="11" t="s">
        <v>408</v>
      </c>
      <c r="Z315" s="11" t="s">
        <v>1339</v>
      </c>
    </row>
    <row r="316" spans="1:26">
      <c r="A316" s="11" t="s">
        <v>550</v>
      </c>
      <c r="B316" s="11" t="s">
        <v>403</v>
      </c>
      <c r="C316" s="15"/>
      <c r="D316" s="15"/>
      <c r="E316" s="11" t="s">
        <v>254</v>
      </c>
      <c r="F316" s="13" t="s">
        <v>971</v>
      </c>
      <c r="G316" s="11"/>
      <c r="H316" s="11" t="s">
        <v>1233</v>
      </c>
      <c r="I316" s="11" t="s">
        <v>282</v>
      </c>
      <c r="J316" s="11" t="s">
        <v>296</v>
      </c>
      <c r="K316" s="11" t="s">
        <v>255</v>
      </c>
      <c r="L316" s="11" t="s">
        <v>75</v>
      </c>
      <c r="M316" s="5" t="s">
        <v>1312</v>
      </c>
      <c r="N316" s="5" t="s">
        <v>75</v>
      </c>
      <c r="O316" s="5" t="s">
        <v>1234</v>
      </c>
      <c r="P316" s="5" t="s">
        <v>75</v>
      </c>
      <c r="Q316" s="11" t="s">
        <v>82</v>
      </c>
      <c r="R316" s="11" t="s">
        <v>82</v>
      </c>
      <c r="S316" s="11" t="s">
        <v>82</v>
      </c>
      <c r="T316" s="11" t="s">
        <v>407</v>
      </c>
      <c r="U316" s="5" t="s">
        <v>246</v>
      </c>
      <c r="V316" s="11" t="s">
        <v>557</v>
      </c>
      <c r="W316" s="11" t="s">
        <v>974</v>
      </c>
      <c r="X316" s="11" t="s">
        <v>975</v>
      </c>
      <c r="Y316" s="11" t="s">
        <v>408</v>
      </c>
      <c r="Z316" s="11" t="s">
        <v>1340</v>
      </c>
    </row>
    <row r="317" spans="1:26">
      <c r="A317" s="11" t="s">
        <v>445</v>
      </c>
      <c r="B317" s="11" t="s">
        <v>416</v>
      </c>
      <c r="C317" s="15">
        <v>0.09</v>
      </c>
      <c r="D317" s="15"/>
      <c r="E317" s="11" t="s">
        <v>254</v>
      </c>
      <c r="F317" s="13" t="s">
        <v>446</v>
      </c>
      <c r="G317" s="14">
        <v>22</v>
      </c>
      <c r="H317" s="11" t="s">
        <v>73</v>
      </c>
      <c r="I317" s="11" t="s">
        <v>282</v>
      </c>
      <c r="J317" s="11" t="s">
        <v>296</v>
      </c>
      <c r="K317" s="11" t="s">
        <v>240</v>
      </c>
      <c r="L317" s="11" t="s">
        <v>886</v>
      </c>
      <c r="M317" s="5" t="s">
        <v>1341</v>
      </c>
      <c r="N317" s="5" t="s">
        <v>1313</v>
      </c>
      <c r="O317" s="5" t="s">
        <v>1342</v>
      </c>
      <c r="P317" s="5" t="s">
        <v>852</v>
      </c>
      <c r="Q317" s="11" t="s">
        <v>82</v>
      </c>
      <c r="R317" s="11" t="s">
        <v>82</v>
      </c>
      <c r="S317" s="11" t="s">
        <v>82</v>
      </c>
      <c r="T317" s="11" t="s">
        <v>418</v>
      </c>
      <c r="U317" s="5" t="s">
        <v>246</v>
      </c>
      <c r="V317" s="11" t="s">
        <v>454</v>
      </c>
      <c r="W317" s="11" t="s">
        <v>455</v>
      </c>
      <c r="X317" s="11" t="s">
        <v>456</v>
      </c>
      <c r="Y317" s="11" t="s">
        <v>419</v>
      </c>
      <c r="Z317" s="11" t="s">
        <v>1343</v>
      </c>
    </row>
    <row r="318" spans="1:26">
      <c r="A318" s="11" t="s">
        <v>458</v>
      </c>
      <c r="B318" s="11" t="s">
        <v>416</v>
      </c>
      <c r="C318" s="15">
        <v>0.13</v>
      </c>
      <c r="D318" s="15"/>
      <c r="E318" s="11" t="s">
        <v>254</v>
      </c>
      <c r="F318" s="13" t="s">
        <v>459</v>
      </c>
      <c r="G318" s="14">
        <v>27</v>
      </c>
      <c r="H318" s="11" t="s">
        <v>73</v>
      </c>
      <c r="I318" s="11" t="s">
        <v>282</v>
      </c>
      <c r="J318" s="11" t="s">
        <v>296</v>
      </c>
      <c r="K318" s="11" t="s">
        <v>240</v>
      </c>
      <c r="L318" s="11" t="s">
        <v>886</v>
      </c>
      <c r="M318" s="5" t="s">
        <v>1341</v>
      </c>
      <c r="N318" s="5" t="s">
        <v>1316</v>
      </c>
      <c r="O318" s="5" t="s">
        <v>1344</v>
      </c>
      <c r="P318" s="5" t="s">
        <v>852</v>
      </c>
      <c r="Q318" s="11" t="s">
        <v>82</v>
      </c>
      <c r="R318" s="11" t="s">
        <v>82</v>
      </c>
      <c r="S318" s="11" t="s">
        <v>82</v>
      </c>
      <c r="T318" s="11" t="s">
        <v>418</v>
      </c>
      <c r="U318" s="5" t="s">
        <v>246</v>
      </c>
      <c r="V318" s="11" t="s">
        <v>463</v>
      </c>
      <c r="W318" s="11" t="s">
        <v>464</v>
      </c>
      <c r="X318" s="11" t="s">
        <v>465</v>
      </c>
      <c r="Y318" s="11" t="s">
        <v>419</v>
      </c>
      <c r="Z318" s="11" t="s">
        <v>1345</v>
      </c>
    </row>
    <row r="319" spans="1:26">
      <c r="A319" s="11" t="s">
        <v>467</v>
      </c>
      <c r="B319" s="11" t="s">
        <v>416</v>
      </c>
      <c r="C319" s="15">
        <v>0.1</v>
      </c>
      <c r="D319" s="15"/>
      <c r="E319" s="11" t="s">
        <v>254</v>
      </c>
      <c r="F319" s="13" t="s">
        <v>468</v>
      </c>
      <c r="G319" s="14">
        <v>27</v>
      </c>
      <c r="H319" s="11" t="s">
        <v>73</v>
      </c>
      <c r="I319" s="11" t="s">
        <v>282</v>
      </c>
      <c r="J319" s="11" t="s">
        <v>296</v>
      </c>
      <c r="K319" s="11" t="s">
        <v>240</v>
      </c>
      <c r="L319" s="11" t="s">
        <v>886</v>
      </c>
      <c r="M319" s="5" t="s">
        <v>1341</v>
      </c>
      <c r="N319" s="5" t="s">
        <v>1318</v>
      </c>
      <c r="O319" s="5" t="s">
        <v>1346</v>
      </c>
      <c r="P319" s="5" t="s">
        <v>852</v>
      </c>
      <c r="Q319" s="11" t="s">
        <v>82</v>
      </c>
      <c r="R319" s="11" t="s">
        <v>82</v>
      </c>
      <c r="S319" s="11" t="s">
        <v>82</v>
      </c>
      <c r="T319" s="11" t="s">
        <v>418</v>
      </c>
      <c r="U319" s="5" t="s">
        <v>246</v>
      </c>
      <c r="V319" s="11" t="s">
        <v>472</v>
      </c>
      <c r="W319" s="11" t="s">
        <v>473</v>
      </c>
      <c r="X319" s="11" t="s">
        <v>474</v>
      </c>
      <c r="Y319" s="11" t="s">
        <v>419</v>
      </c>
      <c r="Z319" s="11" t="s">
        <v>1347</v>
      </c>
    </row>
    <row r="320" spans="1:26">
      <c r="A320" s="11" t="s">
        <v>476</v>
      </c>
      <c r="B320" s="11" t="s">
        <v>416</v>
      </c>
      <c r="C320" s="15"/>
      <c r="D320" s="15"/>
      <c r="E320" s="11" t="s">
        <v>254</v>
      </c>
      <c r="F320" s="13" t="s">
        <v>937</v>
      </c>
      <c r="G320" s="11"/>
      <c r="H320" s="11" t="s">
        <v>1233</v>
      </c>
      <c r="I320" s="11" t="s">
        <v>282</v>
      </c>
      <c r="J320" s="11" t="s">
        <v>296</v>
      </c>
      <c r="K320" s="11" t="s">
        <v>240</v>
      </c>
      <c r="L320" s="11" t="s">
        <v>75</v>
      </c>
      <c r="M320" s="5" t="s">
        <v>1341</v>
      </c>
      <c r="N320" s="5" t="s">
        <v>75</v>
      </c>
      <c r="O320" s="5" t="s">
        <v>1234</v>
      </c>
      <c r="P320" s="5" t="s">
        <v>75</v>
      </c>
      <c r="Q320" s="11" t="s">
        <v>82</v>
      </c>
      <c r="R320" s="11" t="s">
        <v>82</v>
      </c>
      <c r="S320" s="11" t="s">
        <v>82</v>
      </c>
      <c r="T320" s="11" t="s">
        <v>418</v>
      </c>
      <c r="U320" s="5" t="s">
        <v>246</v>
      </c>
      <c r="V320" s="11" t="s">
        <v>484</v>
      </c>
      <c r="W320" s="11" t="s">
        <v>944</v>
      </c>
      <c r="X320" s="11" t="s">
        <v>945</v>
      </c>
      <c r="Y320" s="11" t="s">
        <v>419</v>
      </c>
      <c r="Z320" s="11" t="s">
        <v>1348</v>
      </c>
    </row>
    <row r="321" spans="1:26">
      <c r="A321" s="11" t="s">
        <v>486</v>
      </c>
      <c r="B321" s="11" t="s">
        <v>416</v>
      </c>
      <c r="C321" s="15">
        <v>0.08</v>
      </c>
      <c r="D321" s="15"/>
      <c r="E321" s="11" t="s">
        <v>254</v>
      </c>
      <c r="F321" s="13" t="s">
        <v>487</v>
      </c>
      <c r="G321" s="14">
        <v>24</v>
      </c>
      <c r="H321" s="11" t="s">
        <v>73</v>
      </c>
      <c r="I321" s="11" t="s">
        <v>282</v>
      </c>
      <c r="J321" s="11" t="s">
        <v>296</v>
      </c>
      <c r="K321" s="11" t="s">
        <v>240</v>
      </c>
      <c r="L321" s="11" t="s">
        <v>886</v>
      </c>
      <c r="M321" s="5" t="s">
        <v>1341</v>
      </c>
      <c r="N321" s="5" t="s">
        <v>1322</v>
      </c>
      <c r="O321" s="5" t="s">
        <v>1349</v>
      </c>
      <c r="P321" s="5" t="s">
        <v>852</v>
      </c>
      <c r="Q321" s="11" t="s">
        <v>82</v>
      </c>
      <c r="R321" s="11" t="s">
        <v>82</v>
      </c>
      <c r="S321" s="11" t="s">
        <v>82</v>
      </c>
      <c r="T321" s="11" t="s">
        <v>418</v>
      </c>
      <c r="U321" s="5" t="s">
        <v>246</v>
      </c>
      <c r="V321" s="11" t="s">
        <v>492</v>
      </c>
      <c r="W321" s="11" t="s">
        <v>493</v>
      </c>
      <c r="X321" s="11" t="s">
        <v>494</v>
      </c>
      <c r="Y321" s="11" t="s">
        <v>419</v>
      </c>
      <c r="Z321" s="11" t="s">
        <v>1350</v>
      </c>
    </row>
    <row r="322" spans="1:26">
      <c r="A322" s="11" t="s">
        <v>496</v>
      </c>
      <c r="B322" s="11" t="s">
        <v>416</v>
      </c>
      <c r="C322" s="15">
        <v>0.1</v>
      </c>
      <c r="D322" s="15"/>
      <c r="E322" s="11" t="s">
        <v>254</v>
      </c>
      <c r="F322" s="13" t="s">
        <v>497</v>
      </c>
      <c r="G322" s="14">
        <v>28</v>
      </c>
      <c r="H322" s="11" t="s">
        <v>73</v>
      </c>
      <c r="I322" s="11" t="s">
        <v>282</v>
      </c>
      <c r="J322" s="11" t="s">
        <v>296</v>
      </c>
      <c r="K322" s="11" t="s">
        <v>240</v>
      </c>
      <c r="L322" s="11" t="s">
        <v>886</v>
      </c>
      <c r="M322" s="5" t="s">
        <v>1341</v>
      </c>
      <c r="N322" s="5" t="s">
        <v>1325</v>
      </c>
      <c r="O322" s="5" t="s">
        <v>1351</v>
      </c>
      <c r="P322" s="5" t="s">
        <v>852</v>
      </c>
      <c r="Q322" s="11" t="s">
        <v>82</v>
      </c>
      <c r="R322" s="11" t="s">
        <v>82</v>
      </c>
      <c r="S322" s="11" t="s">
        <v>82</v>
      </c>
      <c r="T322" s="11" t="s">
        <v>418</v>
      </c>
      <c r="U322" s="5" t="s">
        <v>246</v>
      </c>
      <c r="V322" s="11" t="s">
        <v>501</v>
      </c>
      <c r="W322" s="11" t="s">
        <v>502</v>
      </c>
      <c r="X322" s="11" t="s">
        <v>503</v>
      </c>
      <c r="Y322" s="11" t="s">
        <v>419</v>
      </c>
      <c r="Z322" s="11" t="s">
        <v>1352</v>
      </c>
    </row>
    <row r="323" spans="1:26">
      <c r="A323" s="11" t="s">
        <v>505</v>
      </c>
      <c r="B323" s="11" t="s">
        <v>416</v>
      </c>
      <c r="C323" s="15">
        <v>0.04</v>
      </c>
      <c r="D323" s="15"/>
      <c r="E323" s="11" t="s">
        <v>254</v>
      </c>
      <c r="F323" s="13" t="s">
        <v>506</v>
      </c>
      <c r="G323" s="14">
        <v>31</v>
      </c>
      <c r="H323" s="11" t="s">
        <v>73</v>
      </c>
      <c r="I323" s="11" t="s">
        <v>282</v>
      </c>
      <c r="J323" s="11" t="s">
        <v>296</v>
      </c>
      <c r="K323" s="11" t="s">
        <v>240</v>
      </c>
      <c r="L323" s="11" t="s">
        <v>886</v>
      </c>
      <c r="M323" s="5" t="s">
        <v>1341</v>
      </c>
      <c r="N323" s="5" t="s">
        <v>1328</v>
      </c>
      <c r="O323" s="5" t="s">
        <v>1353</v>
      </c>
      <c r="P323" s="5" t="s">
        <v>852</v>
      </c>
      <c r="Q323" s="11" t="s">
        <v>82</v>
      </c>
      <c r="R323" s="11" t="s">
        <v>82</v>
      </c>
      <c r="S323" s="11" t="s">
        <v>82</v>
      </c>
      <c r="T323" s="11" t="s">
        <v>418</v>
      </c>
      <c r="U323" s="5" t="s">
        <v>246</v>
      </c>
      <c r="V323" s="11" t="s">
        <v>510</v>
      </c>
      <c r="W323" s="11" t="s">
        <v>511</v>
      </c>
      <c r="X323" s="11" t="s">
        <v>512</v>
      </c>
      <c r="Y323" s="11" t="s">
        <v>419</v>
      </c>
      <c r="Z323" s="11" t="s">
        <v>1354</v>
      </c>
    </row>
    <row r="324" spans="1:26">
      <c r="A324" s="11" t="s">
        <v>514</v>
      </c>
      <c r="B324" s="11" t="s">
        <v>416</v>
      </c>
      <c r="C324" s="15"/>
      <c r="D324" s="15"/>
      <c r="E324" s="11" t="s">
        <v>254</v>
      </c>
      <c r="F324" s="13" t="s">
        <v>956</v>
      </c>
      <c r="G324" s="11"/>
      <c r="H324" s="11" t="s">
        <v>1233</v>
      </c>
      <c r="I324" s="11" t="s">
        <v>282</v>
      </c>
      <c r="J324" s="11" t="s">
        <v>296</v>
      </c>
      <c r="K324" s="11" t="s">
        <v>240</v>
      </c>
      <c r="L324" s="11" t="s">
        <v>75</v>
      </c>
      <c r="M324" s="5" t="s">
        <v>1341</v>
      </c>
      <c r="N324" s="5" t="s">
        <v>75</v>
      </c>
      <c r="O324" s="5" t="s">
        <v>1234</v>
      </c>
      <c r="P324" s="5" t="s">
        <v>75</v>
      </c>
      <c r="Q324" s="11" t="s">
        <v>82</v>
      </c>
      <c r="R324" s="11" t="s">
        <v>82</v>
      </c>
      <c r="S324" s="11" t="s">
        <v>82</v>
      </c>
      <c r="T324" s="11" t="s">
        <v>418</v>
      </c>
      <c r="U324" s="5" t="s">
        <v>246</v>
      </c>
      <c r="V324" s="11" t="s">
        <v>521</v>
      </c>
      <c r="W324" s="11" t="s">
        <v>959</v>
      </c>
      <c r="X324" s="11" t="s">
        <v>960</v>
      </c>
      <c r="Y324" s="11" t="s">
        <v>419</v>
      </c>
      <c r="Z324" s="11" t="s">
        <v>1355</v>
      </c>
    </row>
    <row r="325" spans="1:26">
      <c r="A325" s="11" t="s">
        <v>523</v>
      </c>
      <c r="B325" s="11" t="s">
        <v>416</v>
      </c>
      <c r="C325" s="15">
        <v>-0.06</v>
      </c>
      <c r="D325" s="15"/>
      <c r="E325" s="11" t="s">
        <v>254</v>
      </c>
      <c r="F325" s="13" t="s">
        <v>524</v>
      </c>
      <c r="G325" s="14">
        <v>24</v>
      </c>
      <c r="H325" s="11" t="s">
        <v>73</v>
      </c>
      <c r="I325" s="11" t="s">
        <v>282</v>
      </c>
      <c r="J325" s="11" t="s">
        <v>296</v>
      </c>
      <c r="K325" s="11" t="s">
        <v>240</v>
      </c>
      <c r="L325" s="11" t="s">
        <v>886</v>
      </c>
      <c r="M325" s="5" t="s">
        <v>1341</v>
      </c>
      <c r="N325" s="5" t="s">
        <v>1332</v>
      </c>
      <c r="O325" s="5" t="s">
        <v>1356</v>
      </c>
      <c r="P325" s="5" t="s">
        <v>852</v>
      </c>
      <c r="Q325" s="11" t="s">
        <v>82</v>
      </c>
      <c r="R325" s="11" t="s">
        <v>82</v>
      </c>
      <c r="S325" s="11" t="s">
        <v>82</v>
      </c>
      <c r="T325" s="11" t="s">
        <v>418</v>
      </c>
      <c r="U325" s="5" t="s">
        <v>246</v>
      </c>
      <c r="V325" s="11" t="s">
        <v>528</v>
      </c>
      <c r="W325" s="11" t="s">
        <v>529</v>
      </c>
      <c r="X325" s="11" t="s">
        <v>530</v>
      </c>
      <c r="Y325" s="11" t="s">
        <v>419</v>
      </c>
      <c r="Z325" s="11" t="s">
        <v>1357</v>
      </c>
    </row>
    <row r="326" spans="1:26">
      <c r="A326" s="11" t="s">
        <v>532</v>
      </c>
      <c r="B326" s="11" t="s">
        <v>416</v>
      </c>
      <c r="C326" s="15">
        <v>-0.04</v>
      </c>
      <c r="D326" s="15"/>
      <c r="E326" s="11" t="s">
        <v>254</v>
      </c>
      <c r="F326" s="13" t="s">
        <v>533</v>
      </c>
      <c r="G326" s="14">
        <v>28</v>
      </c>
      <c r="H326" s="11" t="s">
        <v>73</v>
      </c>
      <c r="I326" s="11" t="s">
        <v>282</v>
      </c>
      <c r="J326" s="11" t="s">
        <v>296</v>
      </c>
      <c r="K326" s="11" t="s">
        <v>240</v>
      </c>
      <c r="L326" s="11" t="s">
        <v>886</v>
      </c>
      <c r="M326" s="5" t="s">
        <v>1341</v>
      </c>
      <c r="N326" s="5" t="s">
        <v>1334</v>
      </c>
      <c r="O326" s="5" t="s">
        <v>1358</v>
      </c>
      <c r="P326" s="5" t="s">
        <v>852</v>
      </c>
      <c r="Q326" s="11" t="s">
        <v>82</v>
      </c>
      <c r="R326" s="11" t="s">
        <v>82</v>
      </c>
      <c r="S326" s="11" t="s">
        <v>82</v>
      </c>
      <c r="T326" s="11" t="s">
        <v>418</v>
      </c>
      <c r="U326" s="5" t="s">
        <v>246</v>
      </c>
      <c r="V326" s="11" t="s">
        <v>537</v>
      </c>
      <c r="W326" s="11" t="s">
        <v>538</v>
      </c>
      <c r="X326" s="11" t="s">
        <v>539</v>
      </c>
      <c r="Y326" s="11" t="s">
        <v>419</v>
      </c>
      <c r="Z326" s="11" t="s">
        <v>1359</v>
      </c>
    </row>
    <row r="327" spans="1:26">
      <c r="A327" s="11" t="s">
        <v>541</v>
      </c>
      <c r="B327" s="11" t="s">
        <v>416</v>
      </c>
      <c r="C327" s="15">
        <v>-0.11</v>
      </c>
      <c r="D327" s="15"/>
      <c r="E327" s="11" t="s">
        <v>254</v>
      </c>
      <c r="F327" s="13" t="s">
        <v>542</v>
      </c>
      <c r="G327" s="14">
        <v>28</v>
      </c>
      <c r="H327" s="11" t="s">
        <v>73</v>
      </c>
      <c r="I327" s="11" t="s">
        <v>282</v>
      </c>
      <c r="J327" s="11" t="s">
        <v>296</v>
      </c>
      <c r="K327" s="11" t="s">
        <v>240</v>
      </c>
      <c r="L327" s="11" t="s">
        <v>886</v>
      </c>
      <c r="M327" s="5" t="s">
        <v>1341</v>
      </c>
      <c r="N327" s="5" t="s">
        <v>1337</v>
      </c>
      <c r="O327" s="5" t="s">
        <v>1360</v>
      </c>
      <c r="P327" s="5" t="s">
        <v>852</v>
      </c>
      <c r="Q327" s="11" t="s">
        <v>82</v>
      </c>
      <c r="R327" s="11" t="s">
        <v>82</v>
      </c>
      <c r="S327" s="11" t="s">
        <v>82</v>
      </c>
      <c r="T327" s="11" t="s">
        <v>418</v>
      </c>
      <c r="U327" s="5" t="s">
        <v>246</v>
      </c>
      <c r="V327" s="11" t="s">
        <v>546</v>
      </c>
      <c r="W327" s="11" t="s">
        <v>547</v>
      </c>
      <c r="X327" s="11" t="s">
        <v>548</v>
      </c>
      <c r="Y327" s="11" t="s">
        <v>419</v>
      </c>
      <c r="Z327" s="11" t="s">
        <v>1361</v>
      </c>
    </row>
    <row r="328" spans="1:26">
      <c r="A328" s="11" t="s">
        <v>550</v>
      </c>
      <c r="B328" s="11" t="s">
        <v>416</v>
      </c>
      <c r="C328" s="15"/>
      <c r="D328" s="15"/>
      <c r="E328" s="11" t="s">
        <v>254</v>
      </c>
      <c r="F328" s="13" t="s">
        <v>971</v>
      </c>
      <c r="G328" s="11"/>
      <c r="H328" s="11" t="s">
        <v>1233</v>
      </c>
      <c r="I328" s="11" t="s">
        <v>282</v>
      </c>
      <c r="J328" s="11" t="s">
        <v>296</v>
      </c>
      <c r="K328" s="11" t="s">
        <v>240</v>
      </c>
      <c r="L328" s="11" t="s">
        <v>75</v>
      </c>
      <c r="M328" s="5" t="s">
        <v>1341</v>
      </c>
      <c r="N328" s="5" t="s">
        <v>75</v>
      </c>
      <c r="O328" s="5" t="s">
        <v>1234</v>
      </c>
      <c r="P328" s="5" t="s">
        <v>75</v>
      </c>
      <c r="Q328" s="11" t="s">
        <v>82</v>
      </c>
      <c r="R328" s="11" t="s">
        <v>82</v>
      </c>
      <c r="S328" s="11" t="s">
        <v>82</v>
      </c>
      <c r="T328" s="11" t="s">
        <v>418</v>
      </c>
      <c r="U328" s="5" t="s">
        <v>246</v>
      </c>
      <c r="V328" s="11" t="s">
        <v>557</v>
      </c>
      <c r="W328" s="11" t="s">
        <v>974</v>
      </c>
      <c r="X328" s="11" t="s">
        <v>975</v>
      </c>
      <c r="Y328" s="11" t="s">
        <v>419</v>
      </c>
      <c r="Z328" s="11" t="s">
        <v>1362</v>
      </c>
    </row>
    <row r="329" spans="1:26">
      <c r="A329" s="11" t="s">
        <v>445</v>
      </c>
      <c r="B329" s="11" t="s">
        <v>423</v>
      </c>
      <c r="C329" s="15">
        <v>0.1</v>
      </c>
      <c r="D329" s="15"/>
      <c r="E329" s="11" t="s">
        <v>254</v>
      </c>
      <c r="F329" s="13" t="s">
        <v>446</v>
      </c>
      <c r="G329" s="14">
        <v>22</v>
      </c>
      <c r="H329" s="11" t="s">
        <v>73</v>
      </c>
      <c r="I329" s="11" t="s">
        <v>282</v>
      </c>
      <c r="J329" s="11" t="s">
        <v>320</v>
      </c>
      <c r="K329" s="11" t="s">
        <v>255</v>
      </c>
      <c r="L329" s="11" t="s">
        <v>886</v>
      </c>
      <c r="M329" s="5" t="s">
        <v>1363</v>
      </c>
      <c r="N329" s="5" t="s">
        <v>1364</v>
      </c>
      <c r="O329" s="5" t="s">
        <v>1365</v>
      </c>
      <c r="P329" s="5" t="s">
        <v>852</v>
      </c>
      <c r="Q329" s="11" t="s">
        <v>82</v>
      </c>
      <c r="R329" s="11" t="s">
        <v>82</v>
      </c>
      <c r="S329" s="11" t="s">
        <v>82</v>
      </c>
      <c r="T329" s="11" t="s">
        <v>427</v>
      </c>
      <c r="U329" s="5" t="s">
        <v>246</v>
      </c>
      <c r="V329" s="11" t="s">
        <v>454</v>
      </c>
      <c r="W329" s="11" t="s">
        <v>455</v>
      </c>
      <c r="X329" s="11" t="s">
        <v>456</v>
      </c>
      <c r="Y329" s="11" t="s">
        <v>428</v>
      </c>
      <c r="Z329" s="11" t="s">
        <v>1366</v>
      </c>
    </row>
    <row r="330" spans="1:26">
      <c r="A330" s="11" t="s">
        <v>458</v>
      </c>
      <c r="B330" s="11" t="s">
        <v>423</v>
      </c>
      <c r="C330" s="15">
        <v>0.1</v>
      </c>
      <c r="D330" s="15"/>
      <c r="E330" s="11" t="s">
        <v>254</v>
      </c>
      <c r="F330" s="13" t="s">
        <v>459</v>
      </c>
      <c r="G330" s="14">
        <v>27</v>
      </c>
      <c r="H330" s="11" t="s">
        <v>73</v>
      </c>
      <c r="I330" s="11" t="s">
        <v>282</v>
      </c>
      <c r="J330" s="11" t="s">
        <v>320</v>
      </c>
      <c r="K330" s="11" t="s">
        <v>255</v>
      </c>
      <c r="L330" s="11" t="s">
        <v>886</v>
      </c>
      <c r="M330" s="5" t="s">
        <v>1363</v>
      </c>
      <c r="N330" s="5" t="s">
        <v>1367</v>
      </c>
      <c r="O330" s="5" t="s">
        <v>1368</v>
      </c>
      <c r="P330" s="5" t="s">
        <v>852</v>
      </c>
      <c r="Q330" s="11" t="s">
        <v>82</v>
      </c>
      <c r="R330" s="11" t="s">
        <v>82</v>
      </c>
      <c r="S330" s="11" t="s">
        <v>82</v>
      </c>
      <c r="T330" s="11" t="s">
        <v>427</v>
      </c>
      <c r="U330" s="5" t="s">
        <v>246</v>
      </c>
      <c r="V330" s="11" t="s">
        <v>463</v>
      </c>
      <c r="W330" s="11" t="s">
        <v>464</v>
      </c>
      <c r="X330" s="11" t="s">
        <v>465</v>
      </c>
      <c r="Y330" s="11" t="s">
        <v>428</v>
      </c>
      <c r="Z330" s="11" t="s">
        <v>1369</v>
      </c>
    </row>
    <row r="331" spans="1:26">
      <c r="A331" s="11" t="s">
        <v>467</v>
      </c>
      <c r="B331" s="11" t="s">
        <v>423</v>
      </c>
      <c r="C331" s="15">
        <v>0.08</v>
      </c>
      <c r="D331" s="15"/>
      <c r="E331" s="11" t="s">
        <v>254</v>
      </c>
      <c r="F331" s="13" t="s">
        <v>468</v>
      </c>
      <c r="G331" s="14">
        <v>27</v>
      </c>
      <c r="H331" s="11" t="s">
        <v>73</v>
      </c>
      <c r="I331" s="11" t="s">
        <v>282</v>
      </c>
      <c r="J331" s="11" t="s">
        <v>320</v>
      </c>
      <c r="K331" s="11" t="s">
        <v>255</v>
      </c>
      <c r="L331" s="11" t="s">
        <v>886</v>
      </c>
      <c r="M331" s="5" t="s">
        <v>1363</v>
      </c>
      <c r="N331" s="5" t="s">
        <v>1370</v>
      </c>
      <c r="O331" s="5" t="s">
        <v>1371</v>
      </c>
      <c r="P331" s="5" t="s">
        <v>852</v>
      </c>
      <c r="Q331" s="11" t="s">
        <v>82</v>
      </c>
      <c r="R331" s="11" t="s">
        <v>82</v>
      </c>
      <c r="S331" s="11" t="s">
        <v>82</v>
      </c>
      <c r="T331" s="11" t="s">
        <v>427</v>
      </c>
      <c r="U331" s="5" t="s">
        <v>246</v>
      </c>
      <c r="V331" s="11" t="s">
        <v>472</v>
      </c>
      <c r="W331" s="11" t="s">
        <v>473</v>
      </c>
      <c r="X331" s="11" t="s">
        <v>474</v>
      </c>
      <c r="Y331" s="11" t="s">
        <v>428</v>
      </c>
      <c r="Z331" s="11" t="s">
        <v>1372</v>
      </c>
    </row>
    <row r="332" spans="1:26">
      <c r="A332" s="11" t="s">
        <v>476</v>
      </c>
      <c r="B332" s="11" t="s">
        <v>423</v>
      </c>
      <c r="C332" s="15">
        <v>0.05</v>
      </c>
      <c r="D332" s="15"/>
      <c r="E332" s="11" t="s">
        <v>254</v>
      </c>
      <c r="F332" s="13" t="s">
        <v>937</v>
      </c>
      <c r="G332" s="11"/>
      <c r="H332" s="11" t="s">
        <v>73</v>
      </c>
      <c r="I332" s="11" t="s">
        <v>282</v>
      </c>
      <c r="J332" s="11" t="s">
        <v>320</v>
      </c>
      <c r="K332" s="11" t="s">
        <v>938</v>
      </c>
      <c r="L332" s="11" t="s">
        <v>939</v>
      </c>
      <c r="M332" s="5" t="s">
        <v>940</v>
      </c>
      <c r="N332" s="5" t="s">
        <v>1373</v>
      </c>
      <c r="O332" s="5" t="s">
        <v>1374</v>
      </c>
      <c r="P332" s="5" t="s">
        <v>852</v>
      </c>
      <c r="Q332" s="11" t="s">
        <v>82</v>
      </c>
      <c r="R332" s="11" t="s">
        <v>82</v>
      </c>
      <c r="S332" s="11" t="s">
        <v>82</v>
      </c>
      <c r="T332" s="11" t="s">
        <v>427</v>
      </c>
      <c r="U332" s="5" t="s">
        <v>943</v>
      </c>
      <c r="V332" s="11" t="s">
        <v>484</v>
      </c>
      <c r="W332" s="11" t="s">
        <v>944</v>
      </c>
      <c r="X332" s="11" t="s">
        <v>945</v>
      </c>
      <c r="Y332" s="11" t="s">
        <v>428</v>
      </c>
      <c r="Z332" s="11" t="s">
        <v>1375</v>
      </c>
    </row>
    <row r="333" spans="1:26">
      <c r="A333" s="11" t="s">
        <v>486</v>
      </c>
      <c r="B333" s="11" t="s">
        <v>423</v>
      </c>
      <c r="C333" s="15">
        <v>0.07000000000000001</v>
      </c>
      <c r="D333" s="15"/>
      <c r="E333" s="11" t="s">
        <v>254</v>
      </c>
      <c r="F333" s="13" t="s">
        <v>487</v>
      </c>
      <c r="G333" s="14">
        <v>24</v>
      </c>
      <c r="H333" s="11" t="s">
        <v>73</v>
      </c>
      <c r="I333" s="11" t="s">
        <v>282</v>
      </c>
      <c r="J333" s="11" t="s">
        <v>320</v>
      </c>
      <c r="K333" s="11" t="s">
        <v>255</v>
      </c>
      <c r="L333" s="11" t="s">
        <v>886</v>
      </c>
      <c r="M333" s="5" t="s">
        <v>1363</v>
      </c>
      <c r="N333" s="5" t="s">
        <v>1376</v>
      </c>
      <c r="O333" s="5" t="s">
        <v>1377</v>
      </c>
      <c r="P333" s="5" t="s">
        <v>852</v>
      </c>
      <c r="Q333" s="11" t="s">
        <v>82</v>
      </c>
      <c r="R333" s="11" t="s">
        <v>82</v>
      </c>
      <c r="S333" s="11" t="s">
        <v>82</v>
      </c>
      <c r="T333" s="11" t="s">
        <v>427</v>
      </c>
      <c r="U333" s="5" t="s">
        <v>246</v>
      </c>
      <c r="V333" s="11" t="s">
        <v>492</v>
      </c>
      <c r="W333" s="11" t="s">
        <v>493</v>
      </c>
      <c r="X333" s="11" t="s">
        <v>494</v>
      </c>
      <c r="Y333" s="11" t="s">
        <v>428</v>
      </c>
      <c r="Z333" s="11" t="s">
        <v>1378</v>
      </c>
    </row>
    <row r="334" spans="1:26">
      <c r="A334" s="11" t="s">
        <v>496</v>
      </c>
      <c r="B334" s="11" t="s">
        <v>423</v>
      </c>
      <c r="C334" s="15">
        <v>0.1</v>
      </c>
      <c r="D334" s="15"/>
      <c r="E334" s="11" t="s">
        <v>254</v>
      </c>
      <c r="F334" s="13" t="s">
        <v>497</v>
      </c>
      <c r="G334" s="14">
        <v>28</v>
      </c>
      <c r="H334" s="11" t="s">
        <v>73</v>
      </c>
      <c r="I334" s="11" t="s">
        <v>282</v>
      </c>
      <c r="J334" s="11" t="s">
        <v>320</v>
      </c>
      <c r="K334" s="11" t="s">
        <v>255</v>
      </c>
      <c r="L334" s="11" t="s">
        <v>886</v>
      </c>
      <c r="M334" s="5" t="s">
        <v>1363</v>
      </c>
      <c r="N334" s="5" t="s">
        <v>1379</v>
      </c>
      <c r="O334" s="5" t="s">
        <v>1380</v>
      </c>
      <c r="P334" s="5" t="s">
        <v>852</v>
      </c>
      <c r="Q334" s="11" t="s">
        <v>82</v>
      </c>
      <c r="R334" s="11" t="s">
        <v>82</v>
      </c>
      <c r="S334" s="11" t="s">
        <v>82</v>
      </c>
      <c r="T334" s="11" t="s">
        <v>427</v>
      </c>
      <c r="U334" s="5" t="s">
        <v>246</v>
      </c>
      <c r="V334" s="11" t="s">
        <v>501</v>
      </c>
      <c r="W334" s="11" t="s">
        <v>502</v>
      </c>
      <c r="X334" s="11" t="s">
        <v>503</v>
      </c>
      <c r="Y334" s="11" t="s">
        <v>428</v>
      </c>
      <c r="Z334" s="11" t="s">
        <v>1381</v>
      </c>
    </row>
    <row r="335" spans="1:26">
      <c r="A335" s="11" t="s">
        <v>505</v>
      </c>
      <c r="B335" s="11" t="s">
        <v>423</v>
      </c>
      <c r="C335" s="15">
        <v>0.05</v>
      </c>
      <c r="D335" s="15"/>
      <c r="E335" s="11" t="s">
        <v>254</v>
      </c>
      <c r="F335" s="13" t="s">
        <v>506</v>
      </c>
      <c r="G335" s="14">
        <v>31</v>
      </c>
      <c r="H335" s="11" t="s">
        <v>73</v>
      </c>
      <c r="I335" s="11" t="s">
        <v>282</v>
      </c>
      <c r="J335" s="11" t="s">
        <v>320</v>
      </c>
      <c r="K335" s="11" t="s">
        <v>255</v>
      </c>
      <c r="L335" s="11" t="s">
        <v>886</v>
      </c>
      <c r="M335" s="5" t="s">
        <v>1363</v>
      </c>
      <c r="N335" s="5" t="s">
        <v>1382</v>
      </c>
      <c r="O335" s="5" t="s">
        <v>1383</v>
      </c>
      <c r="P335" s="5" t="s">
        <v>852</v>
      </c>
      <c r="Q335" s="11" t="s">
        <v>82</v>
      </c>
      <c r="R335" s="11" t="s">
        <v>82</v>
      </c>
      <c r="S335" s="11" t="s">
        <v>82</v>
      </c>
      <c r="T335" s="11" t="s">
        <v>427</v>
      </c>
      <c r="U335" s="5" t="s">
        <v>246</v>
      </c>
      <c r="V335" s="11" t="s">
        <v>510</v>
      </c>
      <c r="W335" s="11" t="s">
        <v>511</v>
      </c>
      <c r="X335" s="11" t="s">
        <v>512</v>
      </c>
      <c r="Y335" s="11" t="s">
        <v>428</v>
      </c>
      <c r="Z335" s="11" t="s">
        <v>1384</v>
      </c>
    </row>
    <row r="336" spans="1:26">
      <c r="A336" s="11" t="s">
        <v>514</v>
      </c>
      <c r="B336" s="11" t="s">
        <v>423</v>
      </c>
      <c r="C336" s="15">
        <v>-0.38</v>
      </c>
      <c r="D336" s="15"/>
      <c r="E336" s="11" t="s">
        <v>254</v>
      </c>
      <c r="F336" s="13" t="s">
        <v>956</v>
      </c>
      <c r="G336" s="11"/>
      <c r="H336" s="11" t="s">
        <v>73</v>
      </c>
      <c r="I336" s="11" t="s">
        <v>282</v>
      </c>
      <c r="J336" s="11" t="s">
        <v>320</v>
      </c>
      <c r="K336" s="11" t="s">
        <v>938</v>
      </c>
      <c r="L336" s="11" t="s">
        <v>939</v>
      </c>
      <c r="M336" s="5" t="s">
        <v>940</v>
      </c>
      <c r="N336" s="5" t="s">
        <v>1385</v>
      </c>
      <c r="O336" s="5" t="s">
        <v>1386</v>
      </c>
      <c r="P336" s="5" t="s">
        <v>852</v>
      </c>
      <c r="Q336" s="11" t="s">
        <v>82</v>
      </c>
      <c r="R336" s="11" t="s">
        <v>82</v>
      </c>
      <c r="S336" s="11" t="s">
        <v>82</v>
      </c>
      <c r="T336" s="11" t="s">
        <v>427</v>
      </c>
      <c r="U336" s="5" t="s">
        <v>943</v>
      </c>
      <c r="V336" s="11" t="s">
        <v>521</v>
      </c>
      <c r="W336" s="11" t="s">
        <v>959</v>
      </c>
      <c r="X336" s="11" t="s">
        <v>960</v>
      </c>
      <c r="Y336" s="11" t="s">
        <v>428</v>
      </c>
      <c r="Z336" s="11" t="s">
        <v>1387</v>
      </c>
    </row>
    <row r="337" spans="1:26">
      <c r="A337" s="11" t="s">
        <v>523</v>
      </c>
      <c r="B337" s="11" t="s">
        <v>423</v>
      </c>
      <c r="C337" s="15">
        <v>-0.01</v>
      </c>
      <c r="D337" s="15"/>
      <c r="E337" s="11" t="s">
        <v>254</v>
      </c>
      <c r="F337" s="13" t="s">
        <v>524</v>
      </c>
      <c r="G337" s="14">
        <v>24</v>
      </c>
      <c r="H337" s="11" t="s">
        <v>73</v>
      </c>
      <c r="I337" s="11" t="s">
        <v>282</v>
      </c>
      <c r="J337" s="11" t="s">
        <v>320</v>
      </c>
      <c r="K337" s="11" t="s">
        <v>255</v>
      </c>
      <c r="L337" s="11" t="s">
        <v>886</v>
      </c>
      <c r="M337" s="5" t="s">
        <v>1363</v>
      </c>
      <c r="N337" s="5" t="s">
        <v>1388</v>
      </c>
      <c r="O337" s="5" t="s">
        <v>1389</v>
      </c>
      <c r="P337" s="5" t="s">
        <v>852</v>
      </c>
      <c r="Q337" s="11" t="s">
        <v>82</v>
      </c>
      <c r="R337" s="11" t="s">
        <v>82</v>
      </c>
      <c r="S337" s="11" t="s">
        <v>82</v>
      </c>
      <c r="T337" s="11" t="s">
        <v>427</v>
      </c>
      <c r="U337" s="5" t="s">
        <v>246</v>
      </c>
      <c r="V337" s="11" t="s">
        <v>528</v>
      </c>
      <c r="W337" s="11" t="s">
        <v>529</v>
      </c>
      <c r="X337" s="11" t="s">
        <v>530</v>
      </c>
      <c r="Y337" s="11" t="s">
        <v>428</v>
      </c>
      <c r="Z337" s="11" t="s">
        <v>1390</v>
      </c>
    </row>
    <row r="338" spans="1:26">
      <c r="A338" s="11" t="s">
        <v>532</v>
      </c>
      <c r="B338" s="11" t="s">
        <v>423</v>
      </c>
      <c r="C338" s="15">
        <v>0.09</v>
      </c>
      <c r="D338" s="15"/>
      <c r="E338" s="11" t="s">
        <v>254</v>
      </c>
      <c r="F338" s="13" t="s">
        <v>533</v>
      </c>
      <c r="G338" s="14">
        <v>28</v>
      </c>
      <c r="H338" s="11" t="s">
        <v>73</v>
      </c>
      <c r="I338" s="11" t="s">
        <v>282</v>
      </c>
      <c r="J338" s="11" t="s">
        <v>320</v>
      </c>
      <c r="K338" s="11" t="s">
        <v>255</v>
      </c>
      <c r="L338" s="11" t="s">
        <v>886</v>
      </c>
      <c r="M338" s="5" t="s">
        <v>1363</v>
      </c>
      <c r="N338" s="5" t="s">
        <v>1391</v>
      </c>
      <c r="O338" s="5" t="s">
        <v>1392</v>
      </c>
      <c r="P338" s="5" t="s">
        <v>852</v>
      </c>
      <c r="Q338" s="11" t="s">
        <v>82</v>
      </c>
      <c r="R338" s="11" t="s">
        <v>82</v>
      </c>
      <c r="S338" s="11" t="s">
        <v>82</v>
      </c>
      <c r="T338" s="11" t="s">
        <v>427</v>
      </c>
      <c r="U338" s="5" t="s">
        <v>246</v>
      </c>
      <c r="V338" s="11" t="s">
        <v>537</v>
      </c>
      <c r="W338" s="11" t="s">
        <v>538</v>
      </c>
      <c r="X338" s="11" t="s">
        <v>539</v>
      </c>
      <c r="Y338" s="11" t="s">
        <v>428</v>
      </c>
      <c r="Z338" s="11" t="s">
        <v>1393</v>
      </c>
    </row>
    <row r="339" spans="1:26">
      <c r="A339" s="11" t="s">
        <v>541</v>
      </c>
      <c r="B339" s="11" t="s">
        <v>423</v>
      </c>
      <c r="C339" s="15">
        <v>0.02</v>
      </c>
      <c r="D339" s="15"/>
      <c r="E339" s="11" t="s">
        <v>254</v>
      </c>
      <c r="F339" s="13" t="s">
        <v>542</v>
      </c>
      <c r="G339" s="14">
        <v>28</v>
      </c>
      <c r="H339" s="11" t="s">
        <v>73</v>
      </c>
      <c r="I339" s="11" t="s">
        <v>282</v>
      </c>
      <c r="J339" s="11" t="s">
        <v>320</v>
      </c>
      <c r="K339" s="11" t="s">
        <v>255</v>
      </c>
      <c r="L339" s="11" t="s">
        <v>886</v>
      </c>
      <c r="M339" s="5" t="s">
        <v>1363</v>
      </c>
      <c r="N339" s="5" t="s">
        <v>1394</v>
      </c>
      <c r="O339" s="5" t="s">
        <v>1395</v>
      </c>
      <c r="P339" s="5" t="s">
        <v>852</v>
      </c>
      <c r="Q339" s="11" t="s">
        <v>82</v>
      </c>
      <c r="R339" s="11" t="s">
        <v>82</v>
      </c>
      <c r="S339" s="11" t="s">
        <v>82</v>
      </c>
      <c r="T339" s="11" t="s">
        <v>427</v>
      </c>
      <c r="U339" s="5" t="s">
        <v>246</v>
      </c>
      <c r="V339" s="11" t="s">
        <v>546</v>
      </c>
      <c r="W339" s="11" t="s">
        <v>547</v>
      </c>
      <c r="X339" s="11" t="s">
        <v>548</v>
      </c>
      <c r="Y339" s="11" t="s">
        <v>428</v>
      </c>
      <c r="Z339" s="11" t="s">
        <v>1396</v>
      </c>
    </row>
    <row r="340" spans="1:26">
      <c r="A340" s="11" t="s">
        <v>550</v>
      </c>
      <c r="B340" s="11" t="s">
        <v>423</v>
      </c>
      <c r="C340" s="15">
        <v>0.96</v>
      </c>
      <c r="D340" s="15"/>
      <c r="E340" s="11" t="s">
        <v>254</v>
      </c>
      <c r="F340" s="13" t="s">
        <v>971</v>
      </c>
      <c r="G340" s="11"/>
      <c r="H340" s="11" t="s">
        <v>73</v>
      </c>
      <c r="I340" s="11" t="s">
        <v>282</v>
      </c>
      <c r="J340" s="11" t="s">
        <v>320</v>
      </c>
      <c r="K340" s="11" t="s">
        <v>938</v>
      </c>
      <c r="L340" s="11" t="s">
        <v>939</v>
      </c>
      <c r="M340" s="5" t="s">
        <v>940</v>
      </c>
      <c r="N340" s="5" t="s">
        <v>1397</v>
      </c>
      <c r="O340" s="5" t="s">
        <v>1398</v>
      </c>
      <c r="P340" s="5" t="s">
        <v>852</v>
      </c>
      <c r="Q340" s="11" t="s">
        <v>82</v>
      </c>
      <c r="R340" s="11" t="s">
        <v>82</v>
      </c>
      <c r="S340" s="11" t="s">
        <v>82</v>
      </c>
      <c r="T340" s="11" t="s">
        <v>427</v>
      </c>
      <c r="U340" s="5" t="s">
        <v>943</v>
      </c>
      <c r="V340" s="11" t="s">
        <v>557</v>
      </c>
      <c r="W340" s="11" t="s">
        <v>974</v>
      </c>
      <c r="X340" s="11" t="s">
        <v>975</v>
      </c>
      <c r="Y340" s="11" t="s">
        <v>428</v>
      </c>
      <c r="Z340" s="11" t="s">
        <v>1399</v>
      </c>
    </row>
    <row r="341" spans="1:26">
      <c r="A341" s="11" t="s">
        <v>445</v>
      </c>
      <c r="B341" s="11" t="s">
        <v>436</v>
      </c>
      <c r="C341" s="15">
        <v>0.1</v>
      </c>
      <c r="D341" s="15"/>
      <c r="E341" s="11" t="s">
        <v>254</v>
      </c>
      <c r="F341" s="13" t="s">
        <v>446</v>
      </c>
      <c r="G341" s="14">
        <v>22</v>
      </c>
      <c r="H341" s="11" t="s">
        <v>73</v>
      </c>
      <c r="I341" s="11" t="s">
        <v>282</v>
      </c>
      <c r="J341" s="11" t="s">
        <v>320</v>
      </c>
      <c r="K341" s="11" t="s">
        <v>240</v>
      </c>
      <c r="L341" s="11" t="s">
        <v>886</v>
      </c>
      <c r="M341" s="5" t="s">
        <v>1400</v>
      </c>
      <c r="N341" s="5" t="s">
        <v>1364</v>
      </c>
      <c r="O341" s="5" t="s">
        <v>978</v>
      </c>
      <c r="P341" s="5" t="s">
        <v>852</v>
      </c>
      <c r="Q341" s="11" t="s">
        <v>82</v>
      </c>
      <c r="R341" s="11" t="s">
        <v>82</v>
      </c>
      <c r="S341" s="11" t="s">
        <v>82</v>
      </c>
      <c r="T341" s="11" t="s">
        <v>438</v>
      </c>
      <c r="U341" s="5" t="s">
        <v>246</v>
      </c>
      <c r="V341" s="11" t="s">
        <v>454</v>
      </c>
      <c r="W341" s="11" t="s">
        <v>455</v>
      </c>
      <c r="X341" s="11" t="s">
        <v>456</v>
      </c>
      <c r="Y341" s="11" t="s">
        <v>439</v>
      </c>
      <c r="Z341" s="11" t="s">
        <v>1401</v>
      </c>
    </row>
    <row r="342" spans="1:26">
      <c r="A342" s="11" t="s">
        <v>458</v>
      </c>
      <c r="B342" s="11" t="s">
        <v>436</v>
      </c>
      <c r="C342" s="15">
        <v>0.14</v>
      </c>
      <c r="D342" s="15"/>
      <c r="E342" s="11" t="s">
        <v>254</v>
      </c>
      <c r="F342" s="13" t="s">
        <v>459</v>
      </c>
      <c r="G342" s="14">
        <v>27</v>
      </c>
      <c r="H342" s="11" t="s">
        <v>73</v>
      </c>
      <c r="I342" s="11" t="s">
        <v>282</v>
      </c>
      <c r="J342" s="11" t="s">
        <v>320</v>
      </c>
      <c r="K342" s="11" t="s">
        <v>240</v>
      </c>
      <c r="L342" s="11" t="s">
        <v>886</v>
      </c>
      <c r="M342" s="5" t="s">
        <v>1400</v>
      </c>
      <c r="N342" s="5" t="s">
        <v>1367</v>
      </c>
      <c r="O342" s="5" t="s">
        <v>980</v>
      </c>
      <c r="P342" s="5" t="s">
        <v>852</v>
      </c>
      <c r="Q342" s="11" t="s">
        <v>82</v>
      </c>
      <c r="R342" s="11" t="s">
        <v>82</v>
      </c>
      <c r="S342" s="11" t="s">
        <v>82</v>
      </c>
      <c r="T342" s="11" t="s">
        <v>438</v>
      </c>
      <c r="U342" s="5" t="s">
        <v>246</v>
      </c>
      <c r="V342" s="11" t="s">
        <v>463</v>
      </c>
      <c r="W342" s="11" t="s">
        <v>464</v>
      </c>
      <c r="X342" s="11" t="s">
        <v>465</v>
      </c>
      <c r="Y342" s="11" t="s">
        <v>439</v>
      </c>
      <c r="Z342" s="11" t="s">
        <v>1402</v>
      </c>
    </row>
    <row r="343" spans="1:26">
      <c r="A343" s="11" t="s">
        <v>467</v>
      </c>
      <c r="B343" s="11" t="s">
        <v>436</v>
      </c>
      <c r="C343" s="15">
        <v>0.12</v>
      </c>
      <c r="D343" s="15"/>
      <c r="E343" s="11" t="s">
        <v>254</v>
      </c>
      <c r="F343" s="13" t="s">
        <v>468</v>
      </c>
      <c r="G343" s="14">
        <v>27</v>
      </c>
      <c r="H343" s="11" t="s">
        <v>73</v>
      </c>
      <c r="I343" s="11" t="s">
        <v>282</v>
      </c>
      <c r="J343" s="11" t="s">
        <v>320</v>
      </c>
      <c r="K343" s="11" t="s">
        <v>240</v>
      </c>
      <c r="L343" s="11" t="s">
        <v>886</v>
      </c>
      <c r="M343" s="5" t="s">
        <v>1400</v>
      </c>
      <c r="N343" s="5" t="s">
        <v>1370</v>
      </c>
      <c r="O343" s="5" t="s">
        <v>982</v>
      </c>
      <c r="P343" s="5" t="s">
        <v>852</v>
      </c>
      <c r="Q343" s="11" t="s">
        <v>82</v>
      </c>
      <c r="R343" s="11" t="s">
        <v>82</v>
      </c>
      <c r="S343" s="11" t="s">
        <v>82</v>
      </c>
      <c r="T343" s="11" t="s">
        <v>438</v>
      </c>
      <c r="U343" s="5" t="s">
        <v>246</v>
      </c>
      <c r="V343" s="11" t="s">
        <v>472</v>
      </c>
      <c r="W343" s="11" t="s">
        <v>473</v>
      </c>
      <c r="X343" s="11" t="s">
        <v>474</v>
      </c>
      <c r="Y343" s="11" t="s">
        <v>439</v>
      </c>
      <c r="Z343" s="11" t="s">
        <v>1403</v>
      </c>
    </row>
    <row r="344" spans="1:26">
      <c r="A344" s="11" t="s">
        <v>476</v>
      </c>
      <c r="B344" s="11" t="s">
        <v>436</v>
      </c>
      <c r="C344" s="15">
        <v>0.1</v>
      </c>
      <c r="D344" s="15"/>
      <c r="E344" s="11" t="s">
        <v>254</v>
      </c>
      <c r="F344" s="13" t="s">
        <v>937</v>
      </c>
      <c r="G344" s="11"/>
      <c r="H344" s="11" t="s">
        <v>73</v>
      </c>
      <c r="I344" s="11" t="s">
        <v>282</v>
      </c>
      <c r="J344" s="11" t="s">
        <v>320</v>
      </c>
      <c r="K344" s="11" t="s">
        <v>938</v>
      </c>
      <c r="L344" s="11" t="s">
        <v>939</v>
      </c>
      <c r="M344" s="5" t="s">
        <v>940</v>
      </c>
      <c r="N344" s="5" t="s">
        <v>1373</v>
      </c>
      <c r="O344" s="5" t="s">
        <v>1404</v>
      </c>
      <c r="P344" s="5" t="s">
        <v>852</v>
      </c>
      <c r="Q344" s="11" t="s">
        <v>82</v>
      </c>
      <c r="R344" s="11" t="s">
        <v>82</v>
      </c>
      <c r="S344" s="11" t="s">
        <v>82</v>
      </c>
      <c r="T344" s="11" t="s">
        <v>438</v>
      </c>
      <c r="U344" s="5" t="s">
        <v>943</v>
      </c>
      <c r="V344" s="11" t="s">
        <v>484</v>
      </c>
      <c r="W344" s="11" t="s">
        <v>944</v>
      </c>
      <c r="X344" s="11" t="s">
        <v>945</v>
      </c>
      <c r="Y344" s="11" t="s">
        <v>439</v>
      </c>
      <c r="Z344" s="11" t="s">
        <v>1405</v>
      </c>
    </row>
    <row r="345" spans="1:26">
      <c r="A345" s="11" t="s">
        <v>486</v>
      </c>
      <c r="B345" s="11" t="s">
        <v>436</v>
      </c>
      <c r="C345" s="15">
        <v>0.1</v>
      </c>
      <c r="D345" s="15"/>
      <c r="E345" s="11" t="s">
        <v>254</v>
      </c>
      <c r="F345" s="13" t="s">
        <v>487</v>
      </c>
      <c r="G345" s="14">
        <v>24</v>
      </c>
      <c r="H345" s="11" t="s">
        <v>73</v>
      </c>
      <c r="I345" s="11" t="s">
        <v>282</v>
      </c>
      <c r="J345" s="11" t="s">
        <v>320</v>
      </c>
      <c r="K345" s="11" t="s">
        <v>240</v>
      </c>
      <c r="L345" s="11" t="s">
        <v>886</v>
      </c>
      <c r="M345" s="5" t="s">
        <v>1400</v>
      </c>
      <c r="N345" s="5" t="s">
        <v>1376</v>
      </c>
      <c r="O345" s="5" t="s">
        <v>986</v>
      </c>
      <c r="P345" s="5" t="s">
        <v>852</v>
      </c>
      <c r="Q345" s="11" t="s">
        <v>82</v>
      </c>
      <c r="R345" s="11" t="s">
        <v>82</v>
      </c>
      <c r="S345" s="11" t="s">
        <v>82</v>
      </c>
      <c r="T345" s="11" t="s">
        <v>438</v>
      </c>
      <c r="U345" s="5" t="s">
        <v>246</v>
      </c>
      <c r="V345" s="11" t="s">
        <v>492</v>
      </c>
      <c r="W345" s="11" t="s">
        <v>493</v>
      </c>
      <c r="X345" s="11" t="s">
        <v>494</v>
      </c>
      <c r="Y345" s="11" t="s">
        <v>439</v>
      </c>
      <c r="Z345" s="11" t="s">
        <v>1406</v>
      </c>
    </row>
    <row r="346" spans="1:26">
      <c r="A346" s="11" t="s">
        <v>496</v>
      </c>
      <c r="B346" s="11" t="s">
        <v>436</v>
      </c>
      <c r="C346" s="15">
        <v>0.12</v>
      </c>
      <c r="D346" s="15"/>
      <c r="E346" s="11" t="s">
        <v>254</v>
      </c>
      <c r="F346" s="13" t="s">
        <v>497</v>
      </c>
      <c r="G346" s="14">
        <v>28</v>
      </c>
      <c r="H346" s="11" t="s">
        <v>73</v>
      </c>
      <c r="I346" s="11" t="s">
        <v>282</v>
      </c>
      <c r="J346" s="11" t="s">
        <v>320</v>
      </c>
      <c r="K346" s="11" t="s">
        <v>240</v>
      </c>
      <c r="L346" s="11" t="s">
        <v>886</v>
      </c>
      <c r="M346" s="5" t="s">
        <v>1400</v>
      </c>
      <c r="N346" s="5" t="s">
        <v>1379</v>
      </c>
      <c r="O346" s="5" t="s">
        <v>988</v>
      </c>
      <c r="P346" s="5" t="s">
        <v>852</v>
      </c>
      <c r="Q346" s="11" t="s">
        <v>82</v>
      </c>
      <c r="R346" s="11" t="s">
        <v>82</v>
      </c>
      <c r="S346" s="11" t="s">
        <v>82</v>
      </c>
      <c r="T346" s="11" t="s">
        <v>438</v>
      </c>
      <c r="U346" s="5" t="s">
        <v>246</v>
      </c>
      <c r="V346" s="11" t="s">
        <v>501</v>
      </c>
      <c r="W346" s="11" t="s">
        <v>502</v>
      </c>
      <c r="X346" s="11" t="s">
        <v>503</v>
      </c>
      <c r="Y346" s="11" t="s">
        <v>439</v>
      </c>
      <c r="Z346" s="11" t="s">
        <v>1407</v>
      </c>
    </row>
    <row r="347" spans="1:26">
      <c r="A347" s="11" t="s">
        <v>505</v>
      </c>
      <c r="B347" s="11" t="s">
        <v>436</v>
      </c>
      <c r="C347" s="15">
        <v>0.06</v>
      </c>
      <c r="D347" s="15"/>
      <c r="E347" s="11" t="s">
        <v>254</v>
      </c>
      <c r="F347" s="13" t="s">
        <v>506</v>
      </c>
      <c r="G347" s="14">
        <v>31</v>
      </c>
      <c r="H347" s="11" t="s">
        <v>73</v>
      </c>
      <c r="I347" s="11" t="s">
        <v>282</v>
      </c>
      <c r="J347" s="11" t="s">
        <v>320</v>
      </c>
      <c r="K347" s="11" t="s">
        <v>240</v>
      </c>
      <c r="L347" s="11" t="s">
        <v>886</v>
      </c>
      <c r="M347" s="5" t="s">
        <v>1400</v>
      </c>
      <c r="N347" s="5" t="s">
        <v>1382</v>
      </c>
      <c r="O347" s="5" t="s">
        <v>990</v>
      </c>
      <c r="P347" s="5" t="s">
        <v>852</v>
      </c>
      <c r="Q347" s="11" t="s">
        <v>82</v>
      </c>
      <c r="R347" s="11" t="s">
        <v>82</v>
      </c>
      <c r="S347" s="11" t="s">
        <v>82</v>
      </c>
      <c r="T347" s="11" t="s">
        <v>438</v>
      </c>
      <c r="U347" s="5" t="s">
        <v>246</v>
      </c>
      <c r="V347" s="11" t="s">
        <v>510</v>
      </c>
      <c r="W347" s="11" t="s">
        <v>511</v>
      </c>
      <c r="X347" s="11" t="s">
        <v>512</v>
      </c>
      <c r="Y347" s="11" t="s">
        <v>439</v>
      </c>
      <c r="Z347" s="11" t="s">
        <v>1408</v>
      </c>
    </row>
    <row r="348" spans="1:26">
      <c r="A348" s="11" t="s">
        <v>514</v>
      </c>
      <c r="B348" s="11" t="s">
        <v>436</v>
      </c>
      <c r="C348" s="15">
        <v>-0.36</v>
      </c>
      <c r="D348" s="15"/>
      <c r="E348" s="11" t="s">
        <v>254</v>
      </c>
      <c r="F348" s="13" t="s">
        <v>956</v>
      </c>
      <c r="G348" s="11"/>
      <c r="H348" s="11" t="s">
        <v>73</v>
      </c>
      <c r="I348" s="11" t="s">
        <v>282</v>
      </c>
      <c r="J348" s="11" t="s">
        <v>320</v>
      </c>
      <c r="K348" s="11" t="s">
        <v>938</v>
      </c>
      <c r="L348" s="11" t="s">
        <v>939</v>
      </c>
      <c r="M348" s="5" t="s">
        <v>940</v>
      </c>
      <c r="N348" s="5" t="s">
        <v>1385</v>
      </c>
      <c r="O348" s="5" t="s">
        <v>1409</v>
      </c>
      <c r="P348" s="5" t="s">
        <v>852</v>
      </c>
      <c r="Q348" s="11" t="s">
        <v>82</v>
      </c>
      <c r="R348" s="11" t="s">
        <v>82</v>
      </c>
      <c r="S348" s="11" t="s">
        <v>82</v>
      </c>
      <c r="T348" s="11" t="s">
        <v>438</v>
      </c>
      <c r="U348" s="5" t="s">
        <v>943</v>
      </c>
      <c r="V348" s="11" t="s">
        <v>521</v>
      </c>
      <c r="W348" s="11" t="s">
        <v>959</v>
      </c>
      <c r="X348" s="11" t="s">
        <v>960</v>
      </c>
      <c r="Y348" s="11" t="s">
        <v>439</v>
      </c>
      <c r="Z348" s="11" t="s">
        <v>1410</v>
      </c>
    </row>
    <row r="349" spans="1:26">
      <c r="A349" s="11" t="s">
        <v>523</v>
      </c>
      <c r="B349" s="11" t="s">
        <v>436</v>
      </c>
      <c r="C349" s="15">
        <v>0</v>
      </c>
      <c r="D349" s="15"/>
      <c r="E349" s="11" t="s">
        <v>254</v>
      </c>
      <c r="F349" s="13" t="s">
        <v>524</v>
      </c>
      <c r="G349" s="14">
        <v>24</v>
      </c>
      <c r="H349" s="11" t="s">
        <v>73</v>
      </c>
      <c r="I349" s="11" t="s">
        <v>282</v>
      </c>
      <c r="J349" s="11" t="s">
        <v>320</v>
      </c>
      <c r="K349" s="11" t="s">
        <v>240</v>
      </c>
      <c r="L349" s="11" t="s">
        <v>886</v>
      </c>
      <c r="M349" s="5" t="s">
        <v>1400</v>
      </c>
      <c r="N349" s="5" t="s">
        <v>1388</v>
      </c>
      <c r="O349" s="5" t="s">
        <v>993</v>
      </c>
      <c r="P349" s="5" t="s">
        <v>852</v>
      </c>
      <c r="Q349" s="11" t="s">
        <v>82</v>
      </c>
      <c r="R349" s="11" t="s">
        <v>82</v>
      </c>
      <c r="S349" s="11" t="s">
        <v>82</v>
      </c>
      <c r="T349" s="11" t="s">
        <v>438</v>
      </c>
      <c r="U349" s="5" t="s">
        <v>246</v>
      </c>
      <c r="V349" s="11" t="s">
        <v>528</v>
      </c>
      <c r="W349" s="11" t="s">
        <v>529</v>
      </c>
      <c r="X349" s="11" t="s">
        <v>530</v>
      </c>
      <c r="Y349" s="11" t="s">
        <v>439</v>
      </c>
      <c r="Z349" s="11" t="s">
        <v>1411</v>
      </c>
    </row>
    <row r="350" spans="1:26">
      <c r="A350" s="11" t="s">
        <v>532</v>
      </c>
      <c r="B350" s="11" t="s">
        <v>436</v>
      </c>
      <c r="C350" s="15">
        <v>0.08</v>
      </c>
      <c r="D350" s="15"/>
      <c r="E350" s="11" t="s">
        <v>254</v>
      </c>
      <c r="F350" s="13" t="s">
        <v>533</v>
      </c>
      <c r="G350" s="14">
        <v>28</v>
      </c>
      <c r="H350" s="11" t="s">
        <v>73</v>
      </c>
      <c r="I350" s="11" t="s">
        <v>282</v>
      </c>
      <c r="J350" s="11" t="s">
        <v>320</v>
      </c>
      <c r="K350" s="11" t="s">
        <v>240</v>
      </c>
      <c r="L350" s="11" t="s">
        <v>886</v>
      </c>
      <c r="M350" s="5" t="s">
        <v>1400</v>
      </c>
      <c r="N350" s="5" t="s">
        <v>1391</v>
      </c>
      <c r="O350" s="5" t="s">
        <v>995</v>
      </c>
      <c r="P350" s="5" t="s">
        <v>852</v>
      </c>
      <c r="Q350" s="11" t="s">
        <v>82</v>
      </c>
      <c r="R350" s="11" t="s">
        <v>82</v>
      </c>
      <c r="S350" s="11" t="s">
        <v>82</v>
      </c>
      <c r="T350" s="11" t="s">
        <v>438</v>
      </c>
      <c r="U350" s="5" t="s">
        <v>246</v>
      </c>
      <c r="V350" s="11" t="s">
        <v>537</v>
      </c>
      <c r="W350" s="11" t="s">
        <v>538</v>
      </c>
      <c r="X350" s="11" t="s">
        <v>539</v>
      </c>
      <c r="Y350" s="11" t="s">
        <v>439</v>
      </c>
      <c r="Z350" s="11" t="s">
        <v>1412</v>
      </c>
    </row>
    <row r="351" spans="1:26">
      <c r="A351" s="11" t="s">
        <v>541</v>
      </c>
      <c r="B351" s="11" t="s">
        <v>436</v>
      </c>
      <c r="C351" s="15">
        <v>-0.02</v>
      </c>
      <c r="D351" s="15"/>
      <c r="E351" s="11" t="s">
        <v>254</v>
      </c>
      <c r="F351" s="13" t="s">
        <v>542</v>
      </c>
      <c r="G351" s="14">
        <v>28</v>
      </c>
      <c r="H351" s="11" t="s">
        <v>73</v>
      </c>
      <c r="I351" s="11" t="s">
        <v>282</v>
      </c>
      <c r="J351" s="11" t="s">
        <v>320</v>
      </c>
      <c r="K351" s="11" t="s">
        <v>240</v>
      </c>
      <c r="L351" s="11" t="s">
        <v>886</v>
      </c>
      <c r="M351" s="5" t="s">
        <v>1400</v>
      </c>
      <c r="N351" s="5" t="s">
        <v>1394</v>
      </c>
      <c r="O351" s="5" t="s">
        <v>997</v>
      </c>
      <c r="P351" s="5" t="s">
        <v>852</v>
      </c>
      <c r="Q351" s="11" t="s">
        <v>82</v>
      </c>
      <c r="R351" s="11" t="s">
        <v>82</v>
      </c>
      <c r="S351" s="11" t="s">
        <v>82</v>
      </c>
      <c r="T351" s="11" t="s">
        <v>438</v>
      </c>
      <c r="U351" s="5" t="s">
        <v>246</v>
      </c>
      <c r="V351" s="11" t="s">
        <v>546</v>
      </c>
      <c r="W351" s="11" t="s">
        <v>547</v>
      </c>
      <c r="X351" s="11" t="s">
        <v>548</v>
      </c>
      <c r="Y351" s="11" t="s">
        <v>439</v>
      </c>
      <c r="Z351" s="11" t="s">
        <v>1413</v>
      </c>
    </row>
    <row r="352" spans="1:26">
      <c r="A352" s="11" t="s">
        <v>550</v>
      </c>
      <c r="B352" s="11" t="s">
        <v>436</v>
      </c>
      <c r="C352" s="15">
        <v>0.88</v>
      </c>
      <c r="D352" s="15"/>
      <c r="E352" s="11" t="s">
        <v>254</v>
      </c>
      <c r="F352" s="13" t="s">
        <v>971</v>
      </c>
      <c r="G352" s="11"/>
      <c r="H352" s="11" t="s">
        <v>73</v>
      </c>
      <c r="I352" s="11" t="s">
        <v>282</v>
      </c>
      <c r="J352" s="11" t="s">
        <v>320</v>
      </c>
      <c r="K352" s="11" t="s">
        <v>938</v>
      </c>
      <c r="L352" s="11" t="s">
        <v>939</v>
      </c>
      <c r="M352" s="5" t="s">
        <v>940</v>
      </c>
      <c r="N352" s="5" t="s">
        <v>1397</v>
      </c>
      <c r="O352" s="5" t="s">
        <v>1404</v>
      </c>
      <c r="P352" s="5" t="s">
        <v>852</v>
      </c>
      <c r="Q352" s="11" t="s">
        <v>82</v>
      </c>
      <c r="R352" s="11" t="s">
        <v>82</v>
      </c>
      <c r="S352" s="11" t="s">
        <v>82</v>
      </c>
      <c r="T352" s="11" t="s">
        <v>438</v>
      </c>
      <c r="U352" s="5" t="s">
        <v>943</v>
      </c>
      <c r="V352" s="11" t="s">
        <v>557</v>
      </c>
      <c r="W352" s="11" t="s">
        <v>974</v>
      </c>
      <c r="X352" s="11" t="s">
        <v>975</v>
      </c>
      <c r="Y352" s="11" t="s">
        <v>439</v>
      </c>
      <c r="Z352" s="11" t="s">
        <v>1414</v>
      </c>
    </row>
  </sheetData>
  <autoFilter ref="A4:Z352"/>
  <mergeCells count="2">
    <mergeCell ref="A1:H1"/>
    <mergeCell ref="A2:H2"/>
  </mergeCells>
  <conditionalFormatting sqref="H5:H701">
    <cfRule type="cellIs" dxfId="0" priority="1" operator="equal">
      <formula>"Chờ người kiểm tra"</formula>
    </cfRule>
    <cfRule type="cellIs" dxfId="1" priority="2" operator="equal">
      <formula>"Thiếu / không công bố"</formula>
    </cfRule>
    <cfRule type="cellIs" dxfId="2" priority="3" operator="equal">
      <formula>"Đã xác minh (người)"</formula>
    </cfRule>
    <cfRule type="cellIs" dxfId="3" priority="4" operator="equal">
      <formula>"Bằng chứng mâu thuẫn"</formula>
    </cfRule>
  </conditionalFormatting>
  <dataValidations count="1">
    <dataValidation type="list" allowBlank="1" showInputMessage="1" showErrorMessage="1" errorTitle="Trạng thái không hợp lệ" error="Chọn một trạng thái trong danh sách." sqref="H5:H701">
      <formula1>"Khớp nguồn chính thức,Chờ người kiểm tra,Đã xác minh (người),Thiếu / không công bố,Bằng chứng mâu thuẫn"</formula1>
    </dataValidation>
  </dataValidations>
  <hyperlinks>
    <hyperlink ref="F5" r:id="rId1" tooltip="NIKE, Inc. Form 10-Q for the quarterly period ended August 31, 2018 – SEC EDGAR"/>
    <hyperlink ref="F6" r:id="rId2" tooltip="NIKE, Inc. Form 10-Q for the quarterly period ended November 30, 2018 – SEC EDGAR"/>
    <hyperlink ref="F7" r:id="rId3" tooltip="NIKE, Inc. Form 10-Q for the quarterly period ended February 28, 2019 – SEC EDGAR"/>
    <hyperlink ref="F8" r:id="rId4" tooltip="NIKE, Inc. Form 10-K for the fiscal year ended May 31, 2019 – SEC EDGAR. 10-Q Q3 FY2019: link ở sheet 07."/>
    <hyperlink ref="F9" r:id="rId5" tooltip="NIKE, Inc. Form 10-Q for the quarterly period ended August 31, 2019 – SEC EDGAR"/>
    <hyperlink ref="F10" r:id="rId6" tooltip="NIKE, Inc. Form 10-Q for the quarterly period ended November 30, 2019 – SEC EDGAR"/>
    <hyperlink ref="F11" r:id="rId7" tooltip="NIKE, Inc. Form 10-Q for the quarterly period ended February 29, 2020 – SEC EDGAR"/>
    <hyperlink ref="F12" r:id="rId8" tooltip="NIKE, Inc. Form 10-K for the fiscal year ended May 31, 2020 – SEC EDGAR. 10-Q Q3 FY2020: link ở sheet 07."/>
    <hyperlink ref="F13" r:id="rId9" tooltip="NIKE, Inc. Form 10-Q for the quarterly period ended August 31, 2020 – SEC EDGAR"/>
    <hyperlink ref="F14" r:id="rId10" tooltip="NIKE, Inc. Form 10-Q for the quarterly period ended November 30, 2020 – SEC EDGAR"/>
    <hyperlink ref="F15" r:id="rId11" tooltip="NIKE, Inc. Form 10-Q for the quarterly period ended February 28, 2021 – SEC EDGAR"/>
    <hyperlink ref="F16" r:id="rId12" tooltip="NIKE, Inc. Form 10-K for the fiscal year ended May 31, 2021 – SEC EDGAR. 10-Q Q3 FY2021: link ở sheet 07."/>
    <hyperlink ref="F17" r:id="rId13" tooltip="NIKE, Inc. Form 10-Q for the quarterly period ended August 31, 2018 – SEC EDGAR"/>
    <hyperlink ref="F18" r:id="rId14" tooltip="NIKE, Inc. Form 10-Q for the quarterly period ended November 30, 2018 – SEC EDGAR"/>
    <hyperlink ref="F19" r:id="rId15" tooltip="NIKE, Inc. Form 10-Q for the quarterly period ended February 28, 2019 – SEC EDGAR"/>
    <hyperlink ref="F20" r:id="rId16" tooltip="NIKE, Inc. Form 10-K for the fiscal year ended May 31, 2019 – SEC EDGAR. 10-Q Q3 FY2019: link ở sheet 07."/>
    <hyperlink ref="F21" r:id="rId17" tooltip="NIKE, Inc. Form 10-Q for the quarterly period ended August 31, 2019 – SEC EDGAR"/>
    <hyperlink ref="F22" r:id="rId18" tooltip="NIKE, Inc. Form 10-Q for the quarterly period ended November 30, 2019 – SEC EDGAR"/>
    <hyperlink ref="F23" r:id="rId19" tooltip="NIKE, Inc. Form 10-Q for the quarterly period ended February 29, 2020 – SEC EDGAR"/>
    <hyperlink ref="F24" r:id="rId20" tooltip="NIKE, Inc. Form 10-K for the fiscal year ended May 31, 2020 – SEC EDGAR. 10-Q Q3 FY2020: link ở sheet 07."/>
    <hyperlink ref="F25" r:id="rId21" tooltip="NIKE, Inc. Form 10-Q for the quarterly period ended August 31, 2020 – SEC EDGAR"/>
    <hyperlink ref="F26" r:id="rId22" tooltip="NIKE, Inc. Form 10-Q for the quarterly period ended November 30, 2020 – SEC EDGAR"/>
    <hyperlink ref="F27" r:id="rId23" tooltip="NIKE, Inc. Form 10-Q for the quarterly period ended February 28, 2021 – SEC EDGAR"/>
    <hyperlink ref="F28" r:id="rId24" tooltip="NIKE, Inc. Form 10-K for the fiscal year ended May 31, 2021 – SEC EDGAR. 10-Q Q3 FY2021: link ở sheet 07."/>
    <hyperlink ref="F29" r:id="rId25" tooltip="NIKE, Inc. Form 10-Q for the quarterly period ended August 31, 2018 – SEC EDGAR"/>
    <hyperlink ref="F30" r:id="rId26" tooltip="NIKE, Inc. Form 10-Q for the quarterly period ended November 30, 2018 – SEC EDGAR"/>
    <hyperlink ref="F31" r:id="rId27" tooltip="NIKE, Inc. Form 10-Q for the quarterly period ended February 28, 2019 – SEC EDGAR"/>
    <hyperlink ref="F32" r:id="rId28" tooltip="NIKE, Inc. Form 10-K for the fiscal year ended May 31, 2019 – SEC EDGAR. 10-Q Q3 FY2019: link ở sheet 07."/>
    <hyperlink ref="F33" r:id="rId29" tooltip="NIKE, Inc. Form 10-Q for the quarterly period ended August 31, 2019 – SEC EDGAR"/>
    <hyperlink ref="F34" r:id="rId30" tooltip="NIKE, Inc. Form 10-Q for the quarterly period ended November 30, 2019 – SEC EDGAR"/>
    <hyperlink ref="F35" r:id="rId31" tooltip="NIKE, Inc. Form 10-Q for the quarterly period ended February 29, 2020 – SEC EDGAR"/>
    <hyperlink ref="F36" r:id="rId32" tooltip="NIKE, Inc. Form 10-K for the fiscal year ended May 31, 2020 – SEC EDGAR. 10-Q Q3 FY2020: link ở sheet 07."/>
    <hyperlink ref="F37" r:id="rId33" tooltip="NIKE, Inc. Form 10-Q for the quarterly period ended August 31, 2020 – SEC EDGAR"/>
    <hyperlink ref="F38" r:id="rId34" tooltip="NIKE, Inc. Form 10-Q for the quarterly period ended November 30, 2020 – SEC EDGAR"/>
    <hyperlink ref="F39" r:id="rId35" tooltip="NIKE, Inc. Form 10-Q for the quarterly period ended February 28, 2021 – SEC EDGAR"/>
    <hyperlink ref="F40" r:id="rId36" tooltip="NIKE, Inc. Form 10-K for the fiscal year ended May 31, 2021 – SEC EDGAR. 10-Q Q3 FY2021: link ở sheet 07."/>
    <hyperlink ref="F41" r:id="rId37" tooltip="NIKE, Inc. Form 10-Q for the quarterly period ended August 31, 2018 – SEC EDGAR"/>
    <hyperlink ref="F42" r:id="rId38" tooltip="NIKE, Inc. Form 10-Q for the quarterly period ended November 30, 2018 – SEC EDGAR"/>
    <hyperlink ref="F43" r:id="rId39" tooltip="NIKE, Inc. Form 10-Q for the quarterly period ended February 28, 2019 – SEC EDGAR"/>
    <hyperlink ref="F44" r:id="rId40" tooltip="NIKE, Inc. Form 10-K for the fiscal year ended May 31, 2019 – SEC EDGAR. 10-Q Q3 FY2019: link ở sheet 07."/>
    <hyperlink ref="F45" r:id="rId41" tooltip="NIKE, Inc. Form 10-Q for the quarterly period ended August 31, 2019 – SEC EDGAR"/>
    <hyperlink ref="F46" r:id="rId42" tooltip="NIKE, Inc. Form 10-Q for the quarterly period ended November 30, 2019 – SEC EDGAR"/>
    <hyperlink ref="F47" r:id="rId43" tooltip="NIKE, Inc. Form 10-Q for the quarterly period ended February 29, 2020 – SEC EDGAR"/>
    <hyperlink ref="F48" r:id="rId44" tooltip="NIKE, Inc. Form 10-K for the fiscal year ended May 31, 2020 – SEC EDGAR. 10-Q Q3 FY2020: link ở sheet 07."/>
    <hyperlink ref="F49" r:id="rId45" tooltip="NIKE, Inc. Form 10-Q for the quarterly period ended August 31, 2020 – SEC EDGAR"/>
    <hyperlink ref="F50" r:id="rId46" tooltip="NIKE, Inc. Form 10-Q for the quarterly period ended November 30, 2020 – SEC EDGAR"/>
    <hyperlink ref="F51" r:id="rId47" tooltip="NIKE, Inc. Form 10-Q for the quarterly period ended February 28, 2021 – SEC EDGAR"/>
    <hyperlink ref="F52" r:id="rId48" tooltip="NIKE, Inc. Form 10-K for the fiscal year ended May 31, 2021 – SEC EDGAR. 10-Q Q3 FY2021: link ở sheet 07."/>
    <hyperlink ref="F53" r:id="rId49" tooltip="NIKE, Inc. Form 10-Q for the quarterly period ended August 31, 2018 – SEC EDGAR"/>
    <hyperlink ref="F54" r:id="rId50" tooltip="NIKE, Inc. Form 10-Q for the quarterly period ended November 30, 2018 – SEC EDGAR"/>
    <hyperlink ref="F55" r:id="rId51" tooltip="NIKE, Inc. Form 10-Q for the quarterly period ended February 28, 2019 – SEC EDGAR"/>
    <hyperlink ref="F56" r:id="rId52" tooltip="NIKE, Inc. Form 10-K for the fiscal year ended May 31, 2019 – SEC EDGAR. 10-Q Q3 FY2019: link ở sheet 07."/>
    <hyperlink ref="F57" r:id="rId53" tooltip="NIKE, Inc. Form 10-Q for the quarterly period ended August 31, 2019 – SEC EDGAR"/>
    <hyperlink ref="F58" r:id="rId54" tooltip="NIKE, Inc. Form 10-Q for the quarterly period ended November 30, 2019 – SEC EDGAR"/>
    <hyperlink ref="F59" r:id="rId55" tooltip="NIKE, Inc. Form 10-Q for the quarterly period ended February 29, 2020 – SEC EDGAR"/>
    <hyperlink ref="F60" r:id="rId56" tooltip="NIKE, Inc. Form 10-K for the fiscal year ended May 31, 2020 – SEC EDGAR. 10-Q Q3 FY2020: link ở sheet 07."/>
    <hyperlink ref="F61" r:id="rId57" tooltip="NIKE, Inc. Form 10-Q for the quarterly period ended August 31, 2020 – SEC EDGAR"/>
    <hyperlink ref="F62" r:id="rId58" tooltip="NIKE, Inc. Form 10-Q for the quarterly period ended November 30, 2020 – SEC EDGAR"/>
    <hyperlink ref="F63" r:id="rId59" tooltip="NIKE, Inc. Form 10-Q for the quarterly period ended February 28, 2021 – SEC EDGAR"/>
    <hyperlink ref="F64" r:id="rId60" tooltip="NIKE, Inc. Form 10-K for the fiscal year ended May 31, 2021 – SEC EDGAR. 10-Q Q3 FY2021: link ở sheet 07."/>
    <hyperlink ref="F65" r:id="rId61" tooltip="NIKE, Inc. Form 10-Q for the quarterly period ended August 31, 2018 – SEC EDGAR"/>
    <hyperlink ref="F66" r:id="rId62" tooltip="NIKE, Inc. Form 10-Q for the quarterly period ended November 30, 2018 – SEC EDGAR"/>
    <hyperlink ref="F67" r:id="rId63" tooltip="NIKE, Inc. Form 10-Q for the quarterly period ended February 28, 2019 – SEC EDGAR"/>
    <hyperlink ref="F68" r:id="rId64" tooltip="NIKE, Inc. Form 10-K for the fiscal year ended May 31, 2019 – SEC EDGAR. 10-Q Q3 FY2019: link ở sheet 07."/>
    <hyperlink ref="F69" r:id="rId65" tooltip="NIKE, Inc. Form 10-Q for the quarterly period ended August 31, 2019 – SEC EDGAR"/>
    <hyperlink ref="F70" r:id="rId66" tooltip="NIKE, Inc. Form 10-Q for the quarterly period ended November 30, 2019 – SEC EDGAR"/>
    <hyperlink ref="F71" r:id="rId67" tooltip="NIKE, Inc. Form 10-Q for the quarterly period ended February 29, 2020 – SEC EDGAR"/>
    <hyperlink ref="F72" r:id="rId68" tooltip="NIKE, Inc. Form 10-K for the fiscal year ended May 31, 2020 – SEC EDGAR. 10-Q Q3 FY2020: link ở sheet 07."/>
    <hyperlink ref="F73" r:id="rId69" tooltip="NIKE, Inc. Form 10-Q for the quarterly period ended August 31, 2020 – SEC EDGAR"/>
    <hyperlink ref="F74" r:id="rId70" tooltip="NIKE, Inc. Form 10-Q for the quarterly period ended November 30, 2020 – SEC EDGAR"/>
    <hyperlink ref="F75" r:id="rId71" tooltip="NIKE, Inc. Form 10-Q for the quarterly period ended February 28, 2021 – SEC EDGAR"/>
    <hyperlink ref="F76" r:id="rId72" tooltip="NIKE, Inc. Form 10-K for the fiscal year ended May 31, 2021 – SEC EDGAR. 10-Q Q3 FY2021: link ở sheet 07."/>
    <hyperlink ref="F77" r:id="rId73" tooltip="NIKE, Inc. Form 10-Q for the quarterly period ended August 31, 2018 – SEC EDGAR"/>
    <hyperlink ref="F78" r:id="rId74" tooltip="NIKE, Inc. Form 10-Q for the quarterly period ended November 30, 2018 – SEC EDGAR"/>
    <hyperlink ref="F79" r:id="rId75" tooltip="NIKE, Inc. Form 10-Q for the quarterly period ended February 28, 2019 – SEC EDGAR"/>
    <hyperlink ref="F80" r:id="rId76" tooltip="NIKE, Inc. Form 10-K for the fiscal year ended May 31, 2019 – SEC EDGAR. 10-Q Q3 FY2019: link ở sheet 07."/>
    <hyperlink ref="F81" r:id="rId77" tooltip="NIKE, Inc. Form 10-Q for the quarterly period ended August 31, 2019 – SEC EDGAR"/>
    <hyperlink ref="F82" r:id="rId78" tooltip="NIKE, Inc. Form 10-Q for the quarterly period ended November 30, 2019 – SEC EDGAR"/>
    <hyperlink ref="F83" r:id="rId79" tooltip="NIKE, Inc. Form 10-Q for the quarterly period ended February 29, 2020 – SEC EDGAR"/>
    <hyperlink ref="F84" r:id="rId80" tooltip="NIKE, Inc. Form 10-K for the fiscal year ended May 31, 2020 – SEC EDGAR. 10-Q Q3 FY2020: link ở sheet 07."/>
    <hyperlink ref="F85" r:id="rId81" tooltip="NIKE, Inc. Form 10-Q for the quarterly period ended August 31, 2020 – SEC EDGAR"/>
    <hyperlink ref="F86" r:id="rId82" tooltip="NIKE, Inc. Form 10-Q for the quarterly period ended November 30, 2020 – SEC EDGAR"/>
    <hyperlink ref="F87" r:id="rId83" tooltip="NIKE, Inc. Form 10-Q for the quarterly period ended February 28, 2021 – SEC EDGAR"/>
    <hyperlink ref="F88" r:id="rId84" tooltip="NIKE, Inc. Form 10-K for the fiscal year ended May 31, 2021 – SEC EDGAR. 10-Q Q3 FY2021: link ở sheet 07."/>
    <hyperlink ref="F89" r:id="rId85" tooltip="NIKE, Inc. Form 10-Q for the quarterly period ended August 31, 2018 – SEC EDGAR"/>
    <hyperlink ref="F90" r:id="rId86" tooltip="NIKE, Inc. Form 10-Q for the quarterly period ended November 30, 2018 – SEC EDGAR"/>
    <hyperlink ref="F91" r:id="rId87" tooltip="NIKE, Inc. Form 10-Q for the quarterly period ended February 28, 2019 – SEC EDGAR"/>
    <hyperlink ref="F92" r:id="rId88" tooltip="NIKE, Inc. Form 10-K for the fiscal year ended May 31, 2019 – SEC EDGAR. 10-Q Q3 FY2019: link ở sheet 07."/>
    <hyperlink ref="F93" r:id="rId89" tooltip="NIKE, Inc. Form 10-Q for the quarterly period ended August 31, 2019 – SEC EDGAR"/>
    <hyperlink ref="F94" r:id="rId90" tooltip="NIKE, Inc. Form 10-Q for the quarterly period ended November 30, 2019 – SEC EDGAR"/>
    <hyperlink ref="F95" r:id="rId91" tooltip="NIKE, Inc. Form 10-Q for the quarterly period ended February 29, 2020 – SEC EDGAR"/>
    <hyperlink ref="F96" r:id="rId92" tooltip="NIKE, Inc. Form 10-K for the fiscal year ended May 31, 2020 – SEC EDGAR. 10-Q Q3 FY2020: link ở sheet 07."/>
    <hyperlink ref="F97" r:id="rId93" tooltip="NIKE, Inc. Form 10-Q for the quarterly period ended August 31, 2020 – SEC EDGAR"/>
    <hyperlink ref="F98" r:id="rId94" tooltip="NIKE, Inc. Form 10-Q for the quarterly period ended November 30, 2020 – SEC EDGAR"/>
    <hyperlink ref="F99" r:id="rId95" tooltip="NIKE, Inc. Form 10-Q for the quarterly period ended February 28, 2021 – SEC EDGAR"/>
    <hyperlink ref="F100" r:id="rId96" tooltip="NIKE, Inc. Form 10-K for the fiscal year ended May 31, 2021 – SEC EDGAR. 10-Q Q3 FY2021: link ở sheet 07."/>
    <hyperlink ref="F101" r:id="rId97" tooltip="NIKE, Inc. Form 10-Q for the quarterly period ended August 31, 2018 – SEC EDGAR"/>
    <hyperlink ref="F102" r:id="rId98" tooltip="NIKE, Inc. Form 10-Q for the quarterly period ended November 30, 2018 – SEC EDGAR"/>
    <hyperlink ref="F103" r:id="rId99" tooltip="NIKE, Inc. Form 10-Q for the quarterly period ended February 28, 2019 – SEC EDGAR"/>
    <hyperlink ref="F104" r:id="rId100" tooltip="NIKE, Inc. Form 10-K for the fiscal year ended May 31, 2019 – SEC EDGAR. 10-Q Q3 FY2019: link ở sheet 07."/>
    <hyperlink ref="F105" r:id="rId101" tooltip="NIKE, Inc. Form 10-Q for the quarterly period ended August 31, 2019 – SEC EDGAR"/>
    <hyperlink ref="F106" r:id="rId102" tooltip="NIKE, Inc. Form 10-Q for the quarterly period ended November 30, 2019 – SEC EDGAR"/>
    <hyperlink ref="F107" r:id="rId103" tooltip="NIKE, Inc. Form 10-Q for the quarterly period ended February 29, 2020 – SEC EDGAR"/>
    <hyperlink ref="F108" r:id="rId104" tooltip="NIKE, Inc. Form 10-K for the fiscal year ended May 31, 2020 – SEC EDGAR. 10-Q Q3 FY2020: link ở sheet 07."/>
    <hyperlink ref="F109" r:id="rId105" tooltip="NIKE, Inc. Form 10-Q for the quarterly period ended August 31, 2020 – SEC EDGAR"/>
    <hyperlink ref="F110" r:id="rId106" tooltip="NIKE, Inc. Form 10-Q for the quarterly period ended November 30, 2020 – SEC EDGAR"/>
    <hyperlink ref="F111" r:id="rId107" tooltip="NIKE, Inc. Form 10-Q for the quarterly period ended February 28, 2021 – SEC EDGAR"/>
    <hyperlink ref="F112" r:id="rId108" tooltip="NIKE, Inc. Form 10-K for the fiscal year ended May 31, 2021 – SEC EDGAR. 10-Q Q3 FY2021: link ở sheet 07."/>
    <hyperlink ref="F113" r:id="rId109" tooltip="NIKE, Inc. Form 10-Q for the quarterly period ended August 31, 2018 – SEC EDGAR"/>
    <hyperlink ref="F114" r:id="rId110" tooltip="NIKE, Inc. Form 10-Q for the quarterly period ended November 30, 2018 – SEC EDGAR"/>
    <hyperlink ref="F115" r:id="rId111" tooltip="NIKE, Inc. Form 10-Q for the quarterly period ended February 28, 2019 – SEC EDGAR"/>
    <hyperlink ref="F116" r:id="rId112" tooltip="NIKE, Inc. Form 10-K for the fiscal year ended May 31, 2019 – SEC EDGAR. 10-Q Q3 FY2019: link ở sheet 07."/>
    <hyperlink ref="F117" r:id="rId113" tooltip="NIKE, Inc. Form 10-Q for the quarterly period ended August 31, 2019 – SEC EDGAR"/>
    <hyperlink ref="F118" r:id="rId114" tooltip="NIKE, Inc. Form 10-Q for the quarterly period ended November 30, 2019 – SEC EDGAR"/>
    <hyperlink ref="F119" r:id="rId115" tooltip="NIKE, Inc. Form 10-Q for the quarterly period ended February 29, 2020 – SEC EDGAR"/>
    <hyperlink ref="F120" r:id="rId116" tooltip="NIKE, Inc. Form 10-K for the fiscal year ended May 31, 2020 – SEC EDGAR. 10-Q Q3 FY2020: link ở sheet 07."/>
    <hyperlink ref="F121" r:id="rId117" tooltip="NIKE, Inc. Form 10-Q for the quarterly period ended August 31, 2020 – SEC EDGAR"/>
    <hyperlink ref="F122" r:id="rId118" tooltip="NIKE, Inc. Form 10-Q for the quarterly period ended November 30, 2020 – SEC EDGAR"/>
    <hyperlink ref="F123" r:id="rId119" tooltip="NIKE, Inc. Form 10-Q for the quarterly period ended February 28, 2021 – SEC EDGAR"/>
    <hyperlink ref="F124" r:id="rId120" tooltip="NIKE, Inc. Form 10-K for the fiscal year ended May 31, 2021 – SEC EDGAR. 10-Q Q3 FY2021: link ở sheet 07."/>
    <hyperlink ref="F125" r:id="rId121" tooltip="NIKE, Inc. Form 10-Q for the quarterly period ended August 31, 2018 – SEC EDGAR"/>
    <hyperlink ref="F126" r:id="rId122" tooltip="NIKE, Inc. Form 10-Q for the quarterly period ended November 30, 2018 – SEC EDGAR"/>
    <hyperlink ref="F127" r:id="rId123" tooltip="NIKE, Inc. Form 10-Q for the quarterly period ended February 28, 2019 – SEC EDGAR"/>
    <hyperlink ref="F128" r:id="rId124" tooltip="NIKE, Inc. Form 10-K for the fiscal year ended May 31, 2019 – SEC EDGAR. 10-Q Q3 FY2019: link ở sheet 07."/>
    <hyperlink ref="F129" r:id="rId125" tooltip="NIKE, Inc. Form 10-Q for the quarterly period ended August 31, 2019 – SEC EDGAR"/>
    <hyperlink ref="F130" r:id="rId126" tooltip="NIKE, Inc. Form 10-Q for the quarterly period ended November 30, 2019 – SEC EDGAR"/>
    <hyperlink ref="F131" r:id="rId127" tooltip="NIKE, Inc. Form 10-Q for the quarterly period ended February 29, 2020 – SEC EDGAR"/>
    <hyperlink ref="F132" r:id="rId128" tooltip="NIKE, Inc. Form 10-K for the fiscal year ended May 31, 2020 – SEC EDGAR. 10-Q Q3 FY2020: link ở sheet 07."/>
    <hyperlink ref="F133" r:id="rId129" tooltip="NIKE, Inc. Form 10-Q for the quarterly period ended August 31, 2020 – SEC EDGAR"/>
    <hyperlink ref="F134" r:id="rId130" tooltip="NIKE, Inc. Form 10-Q for the quarterly period ended November 30, 2020 – SEC EDGAR"/>
    <hyperlink ref="F135" r:id="rId131" tooltip="NIKE, Inc. Form 10-Q for the quarterly period ended February 28, 2021 – SEC EDGAR"/>
    <hyperlink ref="F136" r:id="rId132" tooltip="NIKE, Inc. Form 10-K for the fiscal year ended May 31, 2021 – SEC EDGAR. 10-Q Q3 FY2021: link ở sheet 07."/>
    <hyperlink ref="F137" r:id="rId133" tooltip="NIKE, Inc. Form 10-Q for the quarterly period ended August 31, 2018 – SEC EDGAR"/>
    <hyperlink ref="F138" r:id="rId134" tooltip="NIKE, Inc. Form 10-Q for the quarterly period ended November 30, 2018 – SEC EDGAR"/>
    <hyperlink ref="F139" r:id="rId135" tooltip="NIKE, Inc. Form 10-Q for the quarterly period ended February 28, 2019 – SEC EDGAR"/>
    <hyperlink ref="F140" r:id="rId136" tooltip="NIKE, Inc. Form 10-K for the fiscal year ended May 31, 2019 – SEC EDGAR"/>
    <hyperlink ref="F141" r:id="rId137" tooltip="NIKE, Inc. Form 10-Q for the quarterly period ended August 31, 2019 – SEC EDGAR"/>
    <hyperlink ref="F142" r:id="rId138" tooltip="NIKE, Inc. Form 10-Q for the quarterly period ended November 30, 2019 – SEC EDGAR"/>
    <hyperlink ref="F143" r:id="rId139" tooltip="NIKE, Inc. Form 10-Q for the quarterly period ended February 29, 2020 – SEC EDGAR"/>
    <hyperlink ref="F144" r:id="rId140" tooltip="NIKE, Inc. Form 10-K for the fiscal year ended May 31, 2020 – SEC EDGAR"/>
    <hyperlink ref="F145" r:id="rId141" tooltip="NIKE, Inc. Form 10-Q for the quarterly period ended August 31, 2020 – SEC EDGAR"/>
    <hyperlink ref="F146" r:id="rId142" tooltip="NIKE, Inc. Form 10-Q for the quarterly period ended November 30, 2020 – SEC EDGAR"/>
    <hyperlink ref="F147" r:id="rId143" tooltip="NIKE, Inc. Form 10-Q for the quarterly period ended February 28, 2021 – SEC EDGAR"/>
    <hyperlink ref="F148" r:id="rId144" tooltip="NIKE, Inc. Form 10-K for the fiscal year ended May 31, 2021 – SEC EDGAR"/>
    <hyperlink ref="F149" r:id="rId145" tooltip="NIKE, Inc. Form 10-Q for the quarterly period ended August 31, 2018 – SEC EDGAR"/>
    <hyperlink ref="F150" r:id="rId146" tooltip="NIKE, Inc. Form 10-Q for the quarterly period ended November 30, 2018 – SEC EDGAR"/>
    <hyperlink ref="F151" r:id="rId147" tooltip="NIKE, Inc. Form 10-Q for the quarterly period ended February 28, 2019 – SEC EDGAR"/>
    <hyperlink ref="F152" r:id="rId148" tooltip="NIKE, Inc. Form 10-K for the fiscal year ended May 31, 2019 – SEC EDGAR. 10-Q Q3 FY2019: link ở sheet 07."/>
    <hyperlink ref="F153" r:id="rId149" tooltip="NIKE, Inc. Form 10-Q for the quarterly period ended August 31, 2019 – SEC EDGAR"/>
    <hyperlink ref="F154" r:id="rId150" tooltip="NIKE, Inc. Form 10-Q for the quarterly period ended November 30, 2019 – SEC EDGAR"/>
    <hyperlink ref="F155" r:id="rId151" tooltip="NIKE, Inc. Form 10-Q for the quarterly period ended February 29, 2020 – SEC EDGAR"/>
    <hyperlink ref="F156" r:id="rId152" tooltip="NIKE, Inc. Form 10-K for the fiscal year ended May 31, 2020 – SEC EDGAR. 10-Q Q3 FY2020: link ở sheet 07."/>
    <hyperlink ref="F157" r:id="rId153" tooltip="NIKE, Inc. Form 10-Q for the quarterly period ended August 31, 2020 – SEC EDGAR"/>
    <hyperlink ref="F158" r:id="rId154" tooltip="NIKE, Inc. Form 10-Q for the quarterly period ended November 30, 2020 – SEC EDGAR"/>
    <hyperlink ref="F159" r:id="rId155" tooltip="NIKE, Inc. Form 10-Q for the quarterly period ended February 28, 2021 – SEC EDGAR"/>
    <hyperlink ref="F160" r:id="rId156" tooltip="NIKE, Inc. Form 10-K for the fiscal year ended May 31, 2021 – SEC EDGAR. 10-Q Q3 FY2021: link ở sheet 07."/>
    <hyperlink ref="F161" r:id="rId157" tooltip="NIKE, Inc. Form 10-Q for the quarterly period ended August 31, 2018 – SEC EDGAR"/>
    <hyperlink ref="F162" r:id="rId158" tooltip="NIKE, Inc. Form 10-Q for the quarterly period ended November 30, 2018 – SEC EDGAR"/>
    <hyperlink ref="F163" r:id="rId159" tooltip="NIKE, Inc. Form 10-Q for the quarterly period ended February 28, 2019 – SEC EDGAR"/>
    <hyperlink ref="F164" r:id="rId160" tooltip="NIKE, Inc. fiscal 2019 fourth quarter and full year results (press release, Form 8-K Exhibit 99.1) – SEC EDGAR"/>
    <hyperlink ref="F165" r:id="rId161" tooltip="NIKE, Inc. Form 10-Q for the quarterly period ended August 31, 2019 – SEC EDGAR"/>
    <hyperlink ref="F166" r:id="rId162" tooltip="NIKE, Inc. Form 10-Q for the quarterly period ended November 30, 2019 – SEC EDGAR"/>
    <hyperlink ref="F167" r:id="rId163" tooltip="NIKE, Inc. Form 10-Q for the quarterly period ended February 29, 2020 – SEC EDGAR"/>
    <hyperlink ref="F168" r:id="rId164" tooltip="NIKE, Inc. fiscal 2020 fourth quarter and full year results (press release, Form 8-K Exhibit 99.1) – SEC EDGAR"/>
    <hyperlink ref="F169" r:id="rId165" tooltip="NIKE, Inc. Form 10-Q for the quarterly period ended August 31, 2020 – SEC EDGAR"/>
    <hyperlink ref="F170" r:id="rId166" tooltip="NIKE, Inc. Form 10-Q for the quarterly period ended November 30, 2020 – SEC EDGAR"/>
    <hyperlink ref="F171" r:id="rId167" tooltip="NIKE, Inc. Form 10-Q for the quarterly period ended February 28, 2021 – SEC EDGAR"/>
    <hyperlink ref="F172" r:id="rId168" tooltip="NIKE, Inc. fiscal 2021 fourth quarter and full year results (press release, Form 8-K Exhibit 99.1) – SEC EDGAR"/>
    <hyperlink ref="F173" r:id="rId169" tooltip="NIKE, Inc. Form 10-Q for the quarterly period ended August 31, 2018 – SEC EDGAR"/>
    <hyperlink ref="F174" r:id="rId170" tooltip="NIKE, Inc. Form 10-Q for the quarterly period ended November 30, 2018 – SEC EDGAR"/>
    <hyperlink ref="F175" r:id="rId171" tooltip="NIKE, Inc. Form 10-Q for the quarterly period ended February 28, 2019 – SEC EDGAR"/>
    <hyperlink ref="F176" r:id="rId172" tooltip="NIKE, Inc. fiscal 2019 fourth quarter and full year results (press release, Form 8-K Exhibit 99.1) – SEC EDGAR"/>
    <hyperlink ref="F177" r:id="rId173" tooltip="NIKE, Inc. Form 10-Q for the quarterly period ended August 31, 2019 – SEC EDGAR"/>
    <hyperlink ref="F178" r:id="rId174" tooltip="NIKE, Inc. Form 10-Q for the quarterly period ended November 30, 2019 – SEC EDGAR"/>
    <hyperlink ref="F179" r:id="rId175" tooltip="NIKE, Inc. Form 10-Q for the quarterly period ended February 29, 2020 – SEC EDGAR"/>
    <hyperlink ref="F180" r:id="rId176" tooltip="NIKE, Inc. fiscal 2020 fourth quarter and full year results (press release, Form 8-K Exhibit 99.1) – SEC EDGAR"/>
    <hyperlink ref="F181" r:id="rId177" tooltip="NIKE, Inc. Form 10-Q for the quarterly period ended August 31, 2020 – SEC EDGAR"/>
    <hyperlink ref="F182" r:id="rId178" tooltip="NIKE, Inc. Form 10-Q for the quarterly period ended November 30, 2020 – SEC EDGAR"/>
    <hyperlink ref="F183" r:id="rId179" tooltip="NIKE, Inc. Form 10-Q for the quarterly period ended February 28, 2021 – SEC EDGAR"/>
    <hyperlink ref="F184" r:id="rId180" tooltip="NIKE, Inc. fiscal 2021 fourth quarter and full year results (press release, Form 8-K Exhibit 99.1) – SEC EDGAR"/>
    <hyperlink ref="F185" r:id="rId181" tooltip="NIKE, Inc. Form 10-Q for the quarterly period ended August 31, 2018 – SEC EDGAR"/>
    <hyperlink ref="F186" r:id="rId182" tooltip="NIKE, Inc. Form 10-Q for the quarterly period ended November 30, 2018 – SEC EDGAR"/>
    <hyperlink ref="F187" r:id="rId183" tooltip="NIKE, Inc. Form 10-Q for the quarterly period ended February 28, 2019 – SEC EDGAR"/>
    <hyperlink ref="F188" r:id="rId184" tooltip="NIKE, Inc. Form 10-K for the fiscal year ended May 31, 2019 – SEC EDGAR. 10-Q Q3 FY2019: link ở sheet 07."/>
    <hyperlink ref="F189" r:id="rId185" tooltip="NIKE, Inc. Form 10-Q for the quarterly period ended August 31, 2019 – SEC EDGAR"/>
    <hyperlink ref="F190" r:id="rId186" tooltip="NIKE, Inc. Form 10-Q for the quarterly period ended November 30, 2019 – SEC EDGAR"/>
    <hyperlink ref="F191" r:id="rId187" tooltip="NIKE, Inc. Form 10-Q for the quarterly period ended February 29, 2020 – SEC EDGAR"/>
    <hyperlink ref="F192" r:id="rId188" tooltip="NIKE, Inc. Form 10-K for the fiscal year ended May 31, 2020 – SEC EDGAR. 10-Q Q3 FY2020: link ở sheet 07."/>
    <hyperlink ref="F193" r:id="rId189" tooltip="NIKE, Inc. Form 10-Q for the quarterly period ended August 31, 2020 – SEC EDGAR"/>
    <hyperlink ref="F194" r:id="rId190" tooltip="NIKE, Inc. Form 10-Q for the quarterly period ended November 30, 2020 – SEC EDGAR"/>
    <hyperlink ref="F195" r:id="rId191" tooltip="NIKE, Inc. Form 10-Q for the quarterly period ended February 28, 2021 – SEC EDGAR"/>
    <hyperlink ref="F196" r:id="rId192" tooltip="NIKE, Inc. Form 10-K for the fiscal year ended May 31, 2021 – SEC EDGAR. 10-Q Q3 FY2021: link ở sheet 07."/>
    <hyperlink ref="F197" r:id="rId193" tooltip="NIKE, Inc. Form 10-Q for the quarterly period ended August 31, 2018 – SEC EDGAR"/>
    <hyperlink ref="F198" r:id="rId194" tooltip="NIKE, Inc. Form 10-Q for the quarterly period ended November 30, 2018 – SEC EDGAR"/>
    <hyperlink ref="F199" r:id="rId195" tooltip="NIKE, Inc. Form 10-Q for the quarterly period ended February 28, 2019 – SEC EDGAR"/>
    <hyperlink ref="F200" r:id="rId196" tooltip="NIKE, Inc. Form 10-K for the fiscal year ended May 31, 2019 – SEC EDGAR. 10-Q Q3 FY2019: link ở sheet 07."/>
    <hyperlink ref="F201" r:id="rId197" tooltip="NIKE, Inc. Form 10-Q for the quarterly period ended August 31, 2019 – SEC EDGAR"/>
    <hyperlink ref="F202" r:id="rId198" tooltip="NIKE, Inc. Form 10-Q for the quarterly period ended November 30, 2019 – SEC EDGAR"/>
    <hyperlink ref="F203" r:id="rId199" tooltip="NIKE, Inc. Form 10-Q for the quarterly period ended February 29, 2020 – SEC EDGAR"/>
    <hyperlink ref="F204" r:id="rId200" tooltip="NIKE, Inc. Form 10-K for the fiscal year ended May 31, 2020 – SEC EDGAR. 10-Q Q3 FY2020: link ở sheet 07."/>
    <hyperlink ref="F205" r:id="rId201" tooltip="NIKE, Inc. Form 10-Q for the quarterly period ended August 31, 2020 – SEC EDGAR"/>
    <hyperlink ref="F206" r:id="rId202" tooltip="NIKE, Inc. Form 10-Q for the quarterly period ended November 30, 2020 – SEC EDGAR"/>
    <hyperlink ref="F207" r:id="rId203" tooltip="NIKE, Inc. Form 10-Q for the quarterly period ended February 28, 2021 – SEC EDGAR"/>
    <hyperlink ref="F208" r:id="rId204" tooltip="NIKE, Inc. Form 10-K for the fiscal year ended May 31, 2021 – SEC EDGAR. 10-Q Q3 FY2021: link ở sheet 07."/>
    <hyperlink ref="F209" r:id="rId205" tooltip="NIKE, Inc. Form 10-Q for the quarterly period ended August 31, 2018 – SEC EDGAR"/>
    <hyperlink ref="F210" r:id="rId206" tooltip="NIKE, Inc. Form 10-Q for the quarterly period ended November 30, 2018 – SEC EDGAR"/>
    <hyperlink ref="F211" r:id="rId207" tooltip="NIKE, Inc. Form 10-Q for the quarterly period ended February 28, 2019 – SEC EDGAR"/>
    <hyperlink ref="F212" r:id="rId208" tooltip="NIKE, Inc. Form 10-K for the fiscal year ended May 31, 2019 – SEC EDGAR. 10-Q Q3 FY2019: link ở sheet 07."/>
    <hyperlink ref="F213" r:id="rId209" tooltip="NIKE, Inc. Form 10-Q for the quarterly period ended August 31, 2019 – SEC EDGAR"/>
    <hyperlink ref="F214" r:id="rId210" tooltip="NIKE, Inc. Form 10-Q for the quarterly period ended November 30, 2019 – SEC EDGAR"/>
    <hyperlink ref="F215" r:id="rId211" tooltip="NIKE, Inc. Form 10-Q for the quarterly period ended February 29, 2020 – SEC EDGAR"/>
    <hyperlink ref="F216" r:id="rId212" tooltip="NIKE, Inc. Form 10-K for the fiscal year ended May 31, 2020 – SEC EDGAR. 10-Q Q3 FY2020: link ở sheet 07."/>
    <hyperlink ref="F217" r:id="rId213" tooltip="NIKE, Inc. Form 10-Q for the quarterly period ended August 31, 2020 – SEC EDGAR"/>
    <hyperlink ref="F218" r:id="rId214" tooltip="NIKE, Inc. Form 10-Q for the quarterly period ended November 30, 2020 – SEC EDGAR"/>
    <hyperlink ref="F219" r:id="rId215" tooltip="NIKE, Inc. Form 10-Q for the quarterly period ended February 28, 2021 – SEC EDGAR"/>
    <hyperlink ref="F220" r:id="rId216" tooltip="NIKE, Inc. Form 10-K for the fiscal year ended May 31, 2021 – SEC EDGAR. 10-Q Q3 FY2021: link ở sheet 07."/>
    <hyperlink ref="F221" r:id="rId217" tooltip="NIKE, Inc. Form 10-Q for the quarterly period ended August 31, 2018 – SEC EDGAR"/>
    <hyperlink ref="F222" r:id="rId218" tooltip="NIKE, Inc. Form 10-Q for the quarterly period ended November 30, 2018 – SEC EDGAR"/>
    <hyperlink ref="F223" r:id="rId219" tooltip="NIKE, Inc. Form 10-Q for the quarterly period ended February 28, 2019 – SEC EDGAR"/>
    <hyperlink ref="F224" r:id="rId220" tooltip="NIKE, Inc. Form 10-K for the fiscal year ended May 31, 2019 – SEC EDGAR. 10-Q Q3 FY2019: link ở sheet 07."/>
    <hyperlink ref="F225" r:id="rId221" tooltip="NIKE, Inc. Form 10-Q for the quarterly period ended August 31, 2019 – SEC EDGAR"/>
    <hyperlink ref="F226" r:id="rId222" tooltip="NIKE, Inc. Form 10-Q for the quarterly period ended November 30, 2019 – SEC EDGAR"/>
    <hyperlink ref="F227" r:id="rId223" tooltip="NIKE, Inc. Form 10-Q for the quarterly period ended February 29, 2020 – SEC EDGAR"/>
    <hyperlink ref="F228" r:id="rId224" tooltip="NIKE, Inc. Form 10-K for the fiscal year ended May 31, 2020 – SEC EDGAR. 10-Q Q3 FY2020: link ở sheet 07."/>
    <hyperlink ref="F229" r:id="rId225" tooltip="NIKE, Inc. Form 10-Q for the quarterly period ended August 31, 2020 – SEC EDGAR"/>
    <hyperlink ref="F230" r:id="rId226" tooltip="NIKE, Inc. Form 10-Q for the quarterly period ended November 30, 2020 – SEC EDGAR"/>
    <hyperlink ref="F231" r:id="rId227" tooltip="NIKE, Inc. Form 10-Q for the quarterly period ended February 28, 2021 – SEC EDGAR"/>
    <hyperlink ref="F232" r:id="rId228" tooltip="NIKE, Inc. Form 10-K for the fiscal year ended May 31, 2021 – SEC EDGAR. 10-Q Q3 FY2021: link ở sheet 07."/>
    <hyperlink ref="F233" r:id="rId229" tooltip="NIKE, Inc. Form 10-Q for the quarterly period ended August 31, 2018 – SEC EDGAR"/>
    <hyperlink ref="F234" r:id="rId230" tooltip="NIKE, Inc. Form 10-Q for the quarterly period ended November 30, 2018 – SEC EDGAR"/>
    <hyperlink ref="F235" r:id="rId231" tooltip="NIKE, Inc. Form 10-Q for the quarterly period ended February 28, 2019 – SEC EDGAR"/>
    <hyperlink ref="F236" r:id="rId232" tooltip="NIKE, Inc. Form 10-K for the fiscal year ended May 31, 2019 – SEC EDGAR. 10-Q Q3 FY2019: link ở sheet 07."/>
    <hyperlink ref="F237" r:id="rId233" tooltip="NIKE, Inc. Form 10-Q for the quarterly period ended August 31, 2019 – SEC EDGAR"/>
    <hyperlink ref="F238" r:id="rId234" tooltip="NIKE, Inc. Form 10-Q for the quarterly period ended November 30, 2019 – SEC EDGAR"/>
    <hyperlink ref="F239" r:id="rId235" tooltip="NIKE, Inc. Form 10-Q for the quarterly period ended February 29, 2020 – SEC EDGAR"/>
    <hyperlink ref="F240" r:id="rId236" tooltip="NIKE, Inc. Form 10-K for the fiscal year ended May 31, 2020 – SEC EDGAR. 10-Q Q3 FY2020: link ở sheet 07."/>
    <hyperlink ref="F241" r:id="rId237" tooltip="NIKE, Inc. Form 10-Q for the quarterly period ended August 31, 2020 – SEC EDGAR"/>
    <hyperlink ref="F242" r:id="rId238" tooltip="NIKE, Inc. Form 10-Q for the quarterly period ended November 30, 2020 – SEC EDGAR"/>
    <hyperlink ref="F243" r:id="rId239" tooltip="NIKE, Inc. Form 10-Q for the quarterly period ended February 28, 2021 – SEC EDGAR"/>
    <hyperlink ref="F244" r:id="rId240" tooltip="NIKE, Inc. Form 10-K for the fiscal year ended May 31, 2021 – SEC EDGAR. 10-Q Q3 FY2021: link ở sheet 07."/>
    <hyperlink ref="F245" r:id="rId241" tooltip="NIKE, Inc. Form 10-Q for the quarterly period ended August 31, 2018 – SEC EDGAR"/>
    <hyperlink ref="F246" r:id="rId242" tooltip="NIKE, Inc. Form 10-Q for the quarterly period ended November 30, 2018 – SEC EDGAR"/>
    <hyperlink ref="F247" r:id="rId243" tooltip="NIKE, Inc. Form 10-Q for the quarterly period ended February 28, 2019 – SEC EDGAR"/>
    <hyperlink ref="F248" r:id="rId244" tooltip="NIKE, Inc. Form 10-K for the fiscal year ended May 31, 2019 – SEC EDGAR. 10-Q Q3 FY2019: link ở sheet 07."/>
    <hyperlink ref="F249" r:id="rId245" tooltip="NIKE, Inc. Form 10-Q for the quarterly period ended August 31, 2019 – SEC EDGAR"/>
    <hyperlink ref="F250" r:id="rId246" tooltip="NIKE, Inc. Form 10-Q for the quarterly period ended November 30, 2019 – SEC EDGAR"/>
    <hyperlink ref="F251" r:id="rId247" tooltip="NIKE, Inc. Form 10-Q for the quarterly period ended February 29, 2020 – SEC EDGAR"/>
    <hyperlink ref="F252" r:id="rId248" tooltip="NIKE, Inc. Form 10-K for the fiscal year ended May 31, 2020 – SEC EDGAR. 10-Q Q3 FY2020: link ở sheet 07."/>
    <hyperlink ref="F253" r:id="rId249" tooltip="NIKE, Inc. Form 10-Q for the quarterly period ended August 31, 2020 – SEC EDGAR"/>
    <hyperlink ref="F254" r:id="rId250" tooltip="NIKE, Inc. Form 10-Q for the quarterly period ended November 30, 2020 – SEC EDGAR"/>
    <hyperlink ref="F255" r:id="rId251" tooltip="NIKE, Inc. Form 10-Q for the quarterly period ended February 28, 2021 – SEC EDGAR"/>
    <hyperlink ref="F256" r:id="rId252" tooltip="NIKE, Inc. Form 10-K for the fiscal year ended May 31, 2021 – SEC EDGAR. 10-Q Q3 FY2021: link ở sheet 07."/>
    <hyperlink ref="F257" r:id="rId253" tooltip="NIKE, Inc. Form 10-Q for the quarterly period ended August 31, 2018 – SEC EDGAR"/>
    <hyperlink ref="F258" r:id="rId254" tooltip="NIKE, Inc. Form 10-Q for the quarterly period ended November 30, 2018 – SEC EDGAR"/>
    <hyperlink ref="F259" r:id="rId255" tooltip="NIKE, Inc. Form 10-Q for the quarterly period ended February 28, 2019 – SEC EDGAR"/>
    <hyperlink ref="F260" r:id="rId256" tooltip="NIKE, Inc. Form 10-K for the fiscal year ended May 31, 2019 – SEC EDGAR. 10-Q Q3 FY2019: link ở sheet 07."/>
    <hyperlink ref="F261" r:id="rId257" tooltip="NIKE, Inc. Form 10-Q for the quarterly period ended August 31, 2019 – SEC EDGAR"/>
    <hyperlink ref="F262" r:id="rId258" tooltip="NIKE, Inc. Form 10-Q for the quarterly period ended November 30, 2019 – SEC EDGAR"/>
    <hyperlink ref="F263" r:id="rId259" tooltip="NIKE, Inc. Form 10-Q for the quarterly period ended February 29, 2020 – SEC EDGAR"/>
    <hyperlink ref="F264" r:id="rId260" tooltip="NIKE, Inc. Form 10-K for the fiscal year ended May 31, 2020 – SEC EDGAR. 10-Q Q3 FY2020: link ở sheet 07."/>
    <hyperlink ref="F265" r:id="rId261" tooltip="NIKE, Inc. Form 10-Q for the quarterly period ended August 31, 2020 – SEC EDGAR"/>
    <hyperlink ref="F266" r:id="rId262" tooltip="NIKE, Inc. Form 10-Q for the quarterly period ended November 30, 2020 – SEC EDGAR"/>
    <hyperlink ref="F267" r:id="rId263" tooltip="NIKE, Inc. Form 10-Q for the quarterly period ended February 28, 2021 – SEC EDGAR"/>
    <hyperlink ref="F268" r:id="rId264" tooltip="NIKE, Inc. Form 10-K for the fiscal year ended May 31, 2021 – SEC EDGAR. 10-Q Q3 FY2021: link ở sheet 07."/>
    <hyperlink ref="F269" r:id="rId265" tooltip="NIKE, Inc. Form 10-Q for the quarterly period ended August 31, 2018 – SEC EDGAR"/>
    <hyperlink ref="F270" r:id="rId266" tooltip="NIKE, Inc. Form 10-Q for the quarterly period ended November 30, 2018 – SEC EDGAR"/>
    <hyperlink ref="F271" r:id="rId267" tooltip="NIKE, Inc. Form 10-Q for the quarterly period ended February 28, 2019 – SEC EDGAR"/>
    <hyperlink ref="F272" r:id="rId268" tooltip="NIKE, Inc. fiscal 2019 fourth quarter and full year results (press release, Form 8-K Exhibit 99.1) – SEC EDGAR"/>
    <hyperlink ref="F273" r:id="rId269" tooltip="NIKE, Inc. Form 10-Q for the quarterly period ended August 31, 2019 – SEC EDGAR"/>
    <hyperlink ref="F274" r:id="rId270" tooltip="NIKE, Inc. Form 10-Q for the quarterly period ended November 30, 2019 – SEC EDGAR"/>
    <hyperlink ref="F275" r:id="rId271" tooltip="NIKE, Inc. Form 10-Q for the quarterly period ended February 29, 2020 – SEC EDGAR"/>
    <hyperlink ref="F276" r:id="rId272" tooltip="NIKE, Inc. fiscal 2020 fourth quarter and full year results (press release, Form 8-K Exhibit 99.1) – SEC EDGAR"/>
    <hyperlink ref="F277" r:id="rId273" tooltip="NIKE, Inc. Form 10-Q for the quarterly period ended August 31, 2020 – SEC EDGAR"/>
    <hyperlink ref="F278" r:id="rId274" tooltip="NIKE, Inc. Form 10-Q for the quarterly period ended November 30, 2020 – SEC EDGAR"/>
    <hyperlink ref="F279" r:id="rId275" tooltip="NIKE, Inc. Form 10-Q for the quarterly period ended February 28, 2021 – SEC EDGAR"/>
    <hyperlink ref="F280" r:id="rId276" tooltip="NIKE, Inc. fiscal 2021 fourth quarter and full year results (press release, Form 8-K Exhibit 99.1) – SEC EDGAR"/>
    <hyperlink ref="F281" r:id="rId277" tooltip="NIKE, Inc. Form 10-Q for the quarterly period ended August 31, 2018 – SEC EDGAR"/>
    <hyperlink ref="F282" r:id="rId278" tooltip="NIKE, Inc. Form 10-Q for the quarterly period ended November 30, 2018 – SEC EDGAR"/>
    <hyperlink ref="F283" r:id="rId279" tooltip="NIKE, Inc. Form 10-Q for the quarterly period ended February 28, 2019 – SEC EDGAR"/>
    <hyperlink ref="F284" r:id="rId280" tooltip="NIKE, Inc. fiscal 2019 fourth quarter and full year results (press release, Form 8-K Exhibit 99.1) – SEC EDGAR"/>
    <hyperlink ref="F285" r:id="rId281" tooltip="NIKE, Inc. Form 10-Q for the quarterly period ended August 31, 2019 – SEC EDGAR"/>
    <hyperlink ref="F286" r:id="rId282" tooltip="NIKE, Inc. Form 10-Q for the quarterly period ended November 30, 2019 – SEC EDGAR"/>
    <hyperlink ref="F287" r:id="rId283" tooltip="NIKE, Inc. Form 10-Q for the quarterly period ended February 29, 2020 – SEC EDGAR"/>
    <hyperlink ref="F288" r:id="rId284" tooltip="NIKE, Inc. fiscal 2020 fourth quarter and full year results (press release, Form 8-K Exhibit 99.1) – SEC EDGAR"/>
    <hyperlink ref="F289" r:id="rId285" tooltip="NIKE, Inc. Form 10-Q for the quarterly period ended August 31, 2020 – SEC EDGAR"/>
    <hyperlink ref="F290" r:id="rId286" tooltip="NIKE, Inc. Form 10-Q for the quarterly period ended November 30, 2020 – SEC EDGAR"/>
    <hyperlink ref="F291" r:id="rId287" tooltip="NIKE, Inc. Form 10-Q for the quarterly period ended February 28, 2021 – SEC EDGAR"/>
    <hyperlink ref="F292" r:id="rId288" tooltip="NIKE, Inc. fiscal 2021 fourth quarter and full year results (press release, Form 8-K Exhibit 99.1) – SEC EDGAR"/>
    <hyperlink ref="F293" r:id="rId289" tooltip="NIKE, Inc. Form 10-Q for the quarterly period ended August 31, 2018 – SEC EDGAR"/>
    <hyperlink ref="F294" r:id="rId290" tooltip="NIKE, Inc. Form 10-Q for the quarterly period ended November 30, 2018 – SEC EDGAR"/>
    <hyperlink ref="F295" r:id="rId291" tooltip="NIKE, Inc. Form 10-Q for the quarterly period ended February 28, 2019 – SEC EDGAR"/>
    <hyperlink ref="F296" r:id="rId292" tooltip="NIKE, Inc. fiscal 2019 fourth quarter and full year results (press release, Form 8-K Exhibit 99.1) – SEC EDGAR"/>
    <hyperlink ref="F297" r:id="rId293" tooltip="NIKE, Inc. Form 10-Q for the quarterly period ended August 31, 2019 – SEC EDGAR"/>
    <hyperlink ref="F298" r:id="rId294" tooltip="NIKE, Inc. Form 10-Q for the quarterly period ended November 30, 2019 – SEC EDGAR"/>
    <hyperlink ref="F299" r:id="rId295" tooltip="NIKE, Inc. Form 10-Q for the quarterly period ended February 29, 2020 – SEC EDGAR"/>
    <hyperlink ref="F300" r:id="rId296" tooltip="NIKE, Inc. fiscal 2020 fourth quarter and full year results (press release, Form 8-K Exhibit 99.1) – SEC EDGAR"/>
    <hyperlink ref="F301" r:id="rId297" tooltip="NIKE, Inc. Form 10-Q for the quarterly period ended August 31, 2020 – SEC EDGAR"/>
    <hyperlink ref="F302" r:id="rId298" tooltip="NIKE, Inc. Form 10-Q for the quarterly period ended November 30, 2020 – SEC EDGAR"/>
    <hyperlink ref="F303" r:id="rId299" tooltip="NIKE, Inc. Form 10-Q for the quarterly period ended February 28, 2021 – SEC EDGAR"/>
    <hyperlink ref="F304" r:id="rId300" tooltip="NIKE, Inc. fiscal 2021 fourth quarter and full year results (press release, Form 8-K Exhibit 99.1) – SEC EDGAR"/>
    <hyperlink ref="F305" r:id="rId301" tooltip="NIKE, Inc. Form 10-Q for the quarterly period ended August 31, 2018 – SEC EDGAR"/>
    <hyperlink ref="F306" r:id="rId302" tooltip="NIKE, Inc. Form 10-Q for the quarterly period ended November 30, 2018 – SEC EDGAR"/>
    <hyperlink ref="F307" r:id="rId303" tooltip="NIKE, Inc. Form 10-Q for the quarterly period ended February 28, 2019 – SEC EDGAR"/>
    <hyperlink ref="F308" r:id="rId304" tooltip="NIKE, Inc. fiscal 2019 fourth quarter and full year results (press release, Form 8-K Exhibit 99.1) – SEC EDGAR"/>
    <hyperlink ref="F309" r:id="rId305" tooltip="NIKE, Inc. Form 10-Q for the quarterly period ended August 31, 2019 – SEC EDGAR"/>
    <hyperlink ref="F310" r:id="rId306" tooltip="NIKE, Inc. Form 10-Q for the quarterly period ended November 30, 2019 – SEC EDGAR"/>
    <hyperlink ref="F311" r:id="rId307" tooltip="NIKE, Inc. Form 10-Q for the quarterly period ended February 29, 2020 – SEC EDGAR"/>
    <hyperlink ref="F312" r:id="rId308" tooltip="NIKE, Inc. fiscal 2020 fourth quarter and full year results (press release, Form 8-K Exhibit 99.1) – SEC EDGAR"/>
    <hyperlink ref="F313" r:id="rId309" tooltip="NIKE, Inc. Form 10-Q for the quarterly period ended August 31, 2020 – SEC EDGAR"/>
    <hyperlink ref="F314" r:id="rId310" tooltip="NIKE, Inc. Form 10-Q for the quarterly period ended November 30, 2020 – SEC EDGAR"/>
    <hyperlink ref="F315" r:id="rId311" tooltip="NIKE, Inc. Form 10-Q for the quarterly period ended February 28, 2021 – SEC EDGAR"/>
    <hyperlink ref="F316" r:id="rId312" tooltip="NIKE, Inc. fiscal 2021 fourth quarter and full year results (press release, Form 8-K Exhibit 99.1) – SEC EDGAR"/>
    <hyperlink ref="F317" r:id="rId313" tooltip="NIKE, Inc. Form 10-Q for the quarterly period ended August 31, 2018 – SEC EDGAR"/>
    <hyperlink ref="F318" r:id="rId314" tooltip="NIKE, Inc. Form 10-Q for the quarterly period ended November 30, 2018 – SEC EDGAR"/>
    <hyperlink ref="F319" r:id="rId315" tooltip="NIKE, Inc. Form 10-Q for the quarterly period ended February 28, 2019 – SEC EDGAR"/>
    <hyperlink ref="F320" r:id="rId316" tooltip="NIKE, Inc. fiscal 2019 fourth quarter and full year results (press release, Form 8-K Exhibit 99.1) – SEC EDGAR"/>
    <hyperlink ref="F321" r:id="rId317" tooltip="NIKE, Inc. Form 10-Q for the quarterly period ended August 31, 2019 – SEC EDGAR"/>
    <hyperlink ref="F322" r:id="rId318" tooltip="NIKE, Inc. Form 10-Q for the quarterly period ended November 30, 2019 – SEC EDGAR"/>
    <hyperlink ref="F323" r:id="rId319" tooltip="NIKE, Inc. Form 10-Q for the quarterly period ended February 29, 2020 – SEC EDGAR"/>
    <hyperlink ref="F324" r:id="rId320" tooltip="NIKE, Inc. fiscal 2020 fourth quarter and full year results (press release, Form 8-K Exhibit 99.1) – SEC EDGAR"/>
    <hyperlink ref="F325" r:id="rId321" tooltip="NIKE, Inc. Form 10-Q for the quarterly period ended August 31, 2020 – SEC EDGAR"/>
    <hyperlink ref="F326" r:id="rId322" tooltip="NIKE, Inc. Form 10-Q for the quarterly period ended November 30, 2020 – SEC EDGAR"/>
    <hyperlink ref="F327" r:id="rId323" tooltip="NIKE, Inc. Form 10-Q for the quarterly period ended February 28, 2021 – SEC EDGAR"/>
    <hyperlink ref="F328" r:id="rId324" tooltip="NIKE, Inc. fiscal 2021 fourth quarter and full year results (press release, Form 8-K Exhibit 99.1) – SEC EDGAR"/>
    <hyperlink ref="F329" r:id="rId325" tooltip="NIKE, Inc. Form 10-Q for the quarterly period ended August 31, 2018 – SEC EDGAR"/>
    <hyperlink ref="F330" r:id="rId326" tooltip="NIKE, Inc. Form 10-Q for the quarterly period ended November 30, 2018 – SEC EDGAR"/>
    <hyperlink ref="F331" r:id="rId327" tooltip="NIKE, Inc. Form 10-Q for the quarterly period ended February 28, 2019 – SEC EDGAR"/>
    <hyperlink ref="F332" r:id="rId328" tooltip="NIKE, Inc. fiscal 2019 fourth quarter and full year results (press release, Form 8-K Exhibit 99.1) – SEC EDGAR"/>
    <hyperlink ref="F333" r:id="rId329" tooltip="NIKE, Inc. Form 10-Q for the quarterly period ended August 31, 2019 – SEC EDGAR"/>
    <hyperlink ref="F334" r:id="rId330" tooltip="NIKE, Inc. Form 10-Q for the quarterly period ended November 30, 2019 – SEC EDGAR"/>
    <hyperlink ref="F335" r:id="rId331" tooltip="NIKE, Inc. Form 10-Q for the quarterly period ended February 29, 2020 – SEC EDGAR"/>
    <hyperlink ref="F336" r:id="rId332" tooltip="NIKE, Inc. fiscal 2020 fourth quarter and full year results (press release, Form 8-K Exhibit 99.1) – SEC EDGAR"/>
    <hyperlink ref="F337" r:id="rId333" tooltip="NIKE, Inc. Form 10-Q for the quarterly period ended August 31, 2020 – SEC EDGAR"/>
    <hyperlink ref="F338" r:id="rId334" tooltip="NIKE, Inc. Form 10-Q for the quarterly period ended November 30, 2020 – SEC EDGAR"/>
    <hyperlink ref="F339" r:id="rId335" tooltip="NIKE, Inc. Form 10-Q for the quarterly period ended February 28, 2021 – SEC EDGAR"/>
    <hyperlink ref="F340" r:id="rId336" tooltip="NIKE, Inc. fiscal 2021 fourth quarter and full year results (press release, Form 8-K Exhibit 99.1) – SEC EDGAR"/>
    <hyperlink ref="F341" r:id="rId337" tooltip="NIKE, Inc. Form 10-Q for the quarterly period ended August 31, 2018 – SEC EDGAR"/>
    <hyperlink ref="F342" r:id="rId338" tooltip="NIKE, Inc. Form 10-Q for the quarterly period ended November 30, 2018 – SEC EDGAR"/>
    <hyperlink ref="F343" r:id="rId339" tooltip="NIKE, Inc. Form 10-Q for the quarterly period ended February 28, 2019 – SEC EDGAR"/>
    <hyperlink ref="F344" r:id="rId340" tooltip="NIKE, Inc. fiscal 2019 fourth quarter and full year results (press release, Form 8-K Exhibit 99.1) – SEC EDGAR"/>
    <hyperlink ref="F345" r:id="rId341" tooltip="NIKE, Inc. Form 10-Q for the quarterly period ended August 31, 2019 – SEC EDGAR"/>
    <hyperlink ref="F346" r:id="rId342" tooltip="NIKE, Inc. Form 10-Q for the quarterly period ended November 30, 2019 – SEC EDGAR"/>
    <hyperlink ref="F347" r:id="rId343" tooltip="NIKE, Inc. Form 10-Q for the quarterly period ended February 29, 2020 – SEC EDGAR"/>
    <hyperlink ref="F348" r:id="rId344" tooltip="NIKE, Inc. fiscal 2020 fourth quarter and full year results (press release, Form 8-K Exhibit 99.1) – SEC EDGAR"/>
    <hyperlink ref="F349" r:id="rId345" tooltip="NIKE, Inc. Form 10-Q for the quarterly period ended August 31, 2020 – SEC EDGAR"/>
    <hyperlink ref="F350" r:id="rId346" tooltip="NIKE, Inc. Form 10-Q for the quarterly period ended November 30, 2020 – SEC EDGAR"/>
    <hyperlink ref="F351" r:id="rId347" tooltip="NIKE, Inc. Form 10-Q for the quarterly period ended February 28, 2021 – SEC EDGAR"/>
    <hyperlink ref="F352" r:id="rId348" tooltip="NIKE, Inc. fiscal 2021 fourth quarter and full year results (press release, Form 8-K Exhibit 99.1) – SEC EDGAR"/>
  </hyperlinks>
  <pageMargins left="0.7" right="0.7" top="0.75" bottom="0.75" header="0.3" footer="0.3"/>
  <pageSetup paperSize="9" fitToHeight="0" orientation="landscape"/>
  <headerFooter>
    <oddFooter>&amp;C&amp;8Trang &amp;P/&amp;N</oddFooter>
  </headerFooter>
</worksheet>
</file>

<file path=xl/worksheets/sheet4.xml><?xml version="1.0" encoding="utf-8"?>
<worksheet xmlns="http://schemas.openxmlformats.org/spreadsheetml/2006/main" xmlns:r="http://schemas.openxmlformats.org/officeDocument/2006/relationships">
  <sheetPr>
    <pageSetUpPr fitToPage="1"/>
  </sheetPr>
  <dimension ref="A1:Z196"/>
  <sheetViews>
    <sheetView showGridLines="0" workbookViewId="0">
      <pane xSplit="2" ySplit="4" topLeftCell="C5" activePane="bottomRight" state="frozen"/>
      <selection pane="topRight" activeCell="C1" sqref="C1"/>
      <selection pane="bottomLeft" activeCell="A5" sqref="A5"/>
      <selection pane="bottomRight"/>
    </sheetView>
  </sheetViews>
  <sheetFormatPr defaultRowHeight="15"/>
  <cols>
    <col min="1" max="1" width="11.7109375" customWidth="1"/>
    <col min="2" max="2" width="42" customWidth="1"/>
    <col min="3" max="3" width="12.7109375" customWidth="1"/>
    <col min="4" max="4" width="14.7109375" customWidth="1"/>
    <col min="5" max="5" width="10.7109375" customWidth="1"/>
    <col min="6" max="6" width="16.7109375" customWidth="1"/>
    <col min="7" max="7" width="10.7109375" customWidth="1"/>
    <col min="8" max="8" width="24" customWidth="1"/>
    <col min="9" max="9" width="14" customWidth="1"/>
    <col min="10" max="10" width="22.7109375" customWidth="1"/>
    <col min="11" max="11" width="44.7109375" customWidth="1"/>
    <col min="12" max="12" width="40.7109375" customWidth="1"/>
    <col min="13" max="13" width="60.7109375" customWidth="1"/>
    <col min="14" max="14" width="50.7109375" customWidth="1"/>
    <col min="15" max="15" width="54.7109375" customWidth="1"/>
    <col min="16" max="16" width="50.7109375" customWidth="1"/>
    <col min="17" max="19" width="8.7109375" hidden="1" customWidth="1"/>
    <col min="20" max="21" width="60.7109375" customWidth="1"/>
    <col min="22" max="22" width="25.7109375" customWidth="1"/>
    <col min="23" max="23" width="12.7109375" customWidth="1"/>
    <col min="24" max="24" width="22.7109375" customWidth="1"/>
    <col min="25" max="25" width="25.28515625" customWidth="1"/>
    <col min="26" max="26" width="36" customWidth="1"/>
  </cols>
  <sheetData>
    <row r="1" spans="1:26">
      <c r="A1" s="7" t="s">
        <v>1415</v>
      </c>
      <c r="B1" s="7"/>
      <c r="C1" s="7"/>
      <c r="D1" s="7"/>
      <c r="E1" s="7"/>
      <c r="F1" s="7"/>
      <c r="G1" s="7"/>
      <c r="H1" s="7"/>
    </row>
    <row r="2" spans="1:26" ht="30" customHeight="1">
      <c r="A2" s="8" t="s">
        <v>1416</v>
      </c>
      <c r="B2" s="8"/>
      <c r="C2" s="8"/>
      <c r="D2" s="8"/>
      <c r="E2" s="8"/>
      <c r="F2" s="8"/>
      <c r="G2" s="8"/>
      <c r="H2" s="8"/>
    </row>
    <row r="4" spans="1:26" ht="44.25" customHeight="1">
      <c r="A4" s="9" t="s">
        <v>45</v>
      </c>
      <c r="B4" s="9" t="s">
        <v>46</v>
      </c>
      <c r="C4" s="9" t="s">
        <v>47</v>
      </c>
      <c r="D4" s="9" t="s">
        <v>13</v>
      </c>
      <c r="E4" s="9" t="s">
        <v>7</v>
      </c>
      <c r="F4" s="9" t="s">
        <v>48</v>
      </c>
      <c r="G4" s="9" t="s">
        <v>49</v>
      </c>
      <c r="H4" s="9" t="s">
        <v>50</v>
      </c>
      <c r="I4" s="9" t="s">
        <v>51</v>
      </c>
      <c r="J4" s="9" t="s">
        <v>52</v>
      </c>
      <c r="K4" s="9" t="s">
        <v>53</v>
      </c>
      <c r="L4" s="9" t="s">
        <v>54</v>
      </c>
      <c r="M4" s="9" t="s">
        <v>55</v>
      </c>
      <c r="N4" s="9" t="s">
        <v>56</v>
      </c>
      <c r="O4" s="9" t="s">
        <v>57</v>
      </c>
      <c r="P4" s="9" t="s">
        <v>58</v>
      </c>
      <c r="Q4" s="10" t="s">
        <v>59</v>
      </c>
      <c r="R4" s="10" t="s">
        <v>60</v>
      </c>
      <c r="S4" s="10" t="s">
        <v>61</v>
      </c>
      <c r="T4" s="9" t="s">
        <v>62</v>
      </c>
      <c r="U4" s="9" t="s">
        <v>63</v>
      </c>
      <c r="V4" s="9" t="s">
        <v>64</v>
      </c>
      <c r="W4" s="9" t="s">
        <v>65</v>
      </c>
      <c r="X4" s="9" t="s">
        <v>66</v>
      </c>
      <c r="Y4" s="9" t="s">
        <v>67</v>
      </c>
      <c r="Z4" s="9" t="s">
        <v>68</v>
      </c>
    </row>
    <row r="5" spans="1:26">
      <c r="A5" s="11" t="s">
        <v>69</v>
      </c>
      <c r="B5" s="11" t="s">
        <v>1417</v>
      </c>
      <c r="C5" s="12">
        <v>15902</v>
      </c>
      <c r="D5" s="12">
        <v>14855</v>
      </c>
      <c r="E5" s="11" t="s">
        <v>71</v>
      </c>
      <c r="F5" s="13" t="s">
        <v>72</v>
      </c>
      <c r="G5" s="14">
        <v>80</v>
      </c>
      <c r="H5" s="11" t="s">
        <v>73</v>
      </c>
      <c r="I5" s="11" t="s">
        <v>282</v>
      </c>
      <c r="J5" s="11" t="s">
        <v>1418</v>
      </c>
      <c r="K5" s="11" t="s">
        <v>76</v>
      </c>
      <c r="L5" s="11" t="s">
        <v>284</v>
      </c>
      <c r="M5" s="5" t="s">
        <v>1419</v>
      </c>
      <c r="N5" s="5" t="s">
        <v>1420</v>
      </c>
      <c r="O5" s="5" t="s">
        <v>93</v>
      </c>
      <c r="P5" s="5" t="s">
        <v>81</v>
      </c>
      <c r="Q5" s="11" t="s">
        <v>82</v>
      </c>
      <c r="R5" s="11" t="s">
        <v>82</v>
      </c>
      <c r="S5" s="11" t="s">
        <v>82</v>
      </c>
      <c r="T5" s="11" t="s">
        <v>1421</v>
      </c>
      <c r="U5" s="5" t="s">
        <v>1422</v>
      </c>
      <c r="V5" s="11" t="s">
        <v>85</v>
      </c>
      <c r="W5" s="11" t="s">
        <v>86</v>
      </c>
      <c r="X5" s="11" t="s">
        <v>87</v>
      </c>
      <c r="Y5" s="11" t="s">
        <v>1423</v>
      </c>
      <c r="Z5" s="11" t="s">
        <v>1424</v>
      </c>
    </row>
    <row r="6" spans="1:26">
      <c r="A6" s="11" t="s">
        <v>90</v>
      </c>
      <c r="B6" s="11" t="s">
        <v>1417</v>
      </c>
      <c r="C6" s="12">
        <v>14484</v>
      </c>
      <c r="D6" s="12">
        <v>15902</v>
      </c>
      <c r="E6" s="11" t="s">
        <v>71</v>
      </c>
      <c r="F6" s="13" t="s">
        <v>91</v>
      </c>
      <c r="G6" s="14">
        <v>88</v>
      </c>
      <c r="H6" s="11" t="s">
        <v>73</v>
      </c>
      <c r="I6" s="11" t="s">
        <v>282</v>
      </c>
      <c r="J6" s="11" t="s">
        <v>1418</v>
      </c>
      <c r="K6" s="11" t="s">
        <v>76</v>
      </c>
      <c r="L6" s="11" t="s">
        <v>284</v>
      </c>
      <c r="M6" s="5" t="s">
        <v>1419</v>
      </c>
      <c r="N6" s="5" t="s">
        <v>1425</v>
      </c>
      <c r="O6" s="5" t="s">
        <v>1426</v>
      </c>
      <c r="P6" s="5" t="s">
        <v>94</v>
      </c>
      <c r="Q6" s="11" t="s">
        <v>82</v>
      </c>
      <c r="R6" s="11" t="s">
        <v>82</v>
      </c>
      <c r="S6" s="11" t="s">
        <v>82</v>
      </c>
      <c r="T6" s="11" t="s">
        <v>1421</v>
      </c>
      <c r="U6" s="5" t="s">
        <v>1422</v>
      </c>
      <c r="V6" s="11" t="s">
        <v>95</v>
      </c>
      <c r="W6" s="11" t="s">
        <v>96</v>
      </c>
      <c r="X6" s="11" t="s">
        <v>97</v>
      </c>
      <c r="Y6" s="11" t="s">
        <v>1423</v>
      </c>
      <c r="Z6" s="11" t="s">
        <v>1427</v>
      </c>
    </row>
    <row r="7" spans="1:26">
      <c r="A7" s="11" t="s">
        <v>99</v>
      </c>
      <c r="B7" s="11" t="s">
        <v>1417</v>
      </c>
      <c r="C7" s="12">
        <v>17179</v>
      </c>
      <c r="D7" s="12">
        <v>14484</v>
      </c>
      <c r="E7" s="11" t="s">
        <v>71</v>
      </c>
      <c r="F7" s="13" t="s">
        <v>100</v>
      </c>
      <c r="G7" s="14">
        <v>86</v>
      </c>
      <c r="H7" s="11" t="s">
        <v>73</v>
      </c>
      <c r="I7" s="11" t="s">
        <v>282</v>
      </c>
      <c r="J7" s="11" t="s">
        <v>1418</v>
      </c>
      <c r="K7" s="11" t="s">
        <v>76</v>
      </c>
      <c r="L7" s="11" t="s">
        <v>284</v>
      </c>
      <c r="M7" s="5" t="s">
        <v>1419</v>
      </c>
      <c r="N7" s="5" t="s">
        <v>1428</v>
      </c>
      <c r="O7" s="5" t="s">
        <v>1429</v>
      </c>
      <c r="P7" s="5" t="s">
        <v>103</v>
      </c>
      <c r="Q7" s="11" t="s">
        <v>82</v>
      </c>
      <c r="R7" s="11" t="s">
        <v>82</v>
      </c>
      <c r="S7" s="11" t="s">
        <v>82</v>
      </c>
      <c r="T7" s="11" t="s">
        <v>1421</v>
      </c>
      <c r="U7" s="5" t="s">
        <v>1422</v>
      </c>
      <c r="V7" s="11" t="s">
        <v>104</v>
      </c>
      <c r="W7" s="11" t="s">
        <v>105</v>
      </c>
      <c r="X7" s="11" t="s">
        <v>106</v>
      </c>
      <c r="Y7" s="11" t="s">
        <v>1423</v>
      </c>
      <c r="Z7" s="11" t="s">
        <v>1430</v>
      </c>
    </row>
    <row r="8" spans="1:26">
      <c r="A8" s="11" t="s">
        <v>445</v>
      </c>
      <c r="B8" s="11" t="s">
        <v>1417</v>
      </c>
      <c r="C8" s="12">
        <v>4145</v>
      </c>
      <c r="D8" s="12">
        <v>3924</v>
      </c>
      <c r="E8" s="11" t="s">
        <v>71</v>
      </c>
      <c r="F8" s="13" t="s">
        <v>446</v>
      </c>
      <c r="G8" s="14">
        <v>18</v>
      </c>
      <c r="H8" s="11" t="s">
        <v>73</v>
      </c>
      <c r="I8" s="11" t="s">
        <v>282</v>
      </c>
      <c r="J8" s="11" t="s">
        <v>1418</v>
      </c>
      <c r="K8" s="11" t="s">
        <v>447</v>
      </c>
      <c r="L8" s="11" t="s">
        <v>1000</v>
      </c>
      <c r="M8" s="5" t="s">
        <v>1431</v>
      </c>
      <c r="N8" s="5" t="s">
        <v>1432</v>
      </c>
      <c r="O8" s="5" t="s">
        <v>1433</v>
      </c>
      <c r="P8" s="5" t="s">
        <v>452</v>
      </c>
      <c r="Q8" s="11" t="s">
        <v>82</v>
      </c>
      <c r="R8" s="11" t="s">
        <v>82</v>
      </c>
      <c r="S8" s="11" t="s">
        <v>82</v>
      </c>
      <c r="T8" s="11" t="s">
        <v>1421</v>
      </c>
      <c r="U8" s="5" t="s">
        <v>1434</v>
      </c>
      <c r="V8" s="11" t="s">
        <v>454</v>
      </c>
      <c r="W8" s="11" t="s">
        <v>455</v>
      </c>
      <c r="X8" s="11" t="s">
        <v>456</v>
      </c>
      <c r="Y8" s="11" t="s">
        <v>1423</v>
      </c>
      <c r="Z8" s="11" t="s">
        <v>1435</v>
      </c>
    </row>
    <row r="9" spans="1:26">
      <c r="A9" s="11" t="s">
        <v>458</v>
      </c>
      <c r="B9" s="11" t="s">
        <v>1417</v>
      </c>
      <c r="C9" s="12">
        <v>3782</v>
      </c>
      <c r="D9" s="12">
        <v>3485</v>
      </c>
      <c r="E9" s="11" t="s">
        <v>71</v>
      </c>
      <c r="F9" s="13" t="s">
        <v>459</v>
      </c>
      <c r="G9" s="14">
        <v>22</v>
      </c>
      <c r="H9" s="11" t="s">
        <v>73</v>
      </c>
      <c r="I9" s="11" t="s">
        <v>282</v>
      </c>
      <c r="J9" s="11" t="s">
        <v>1418</v>
      </c>
      <c r="K9" s="11" t="s">
        <v>447</v>
      </c>
      <c r="L9" s="11" t="s">
        <v>1000</v>
      </c>
      <c r="M9" s="5" t="s">
        <v>1431</v>
      </c>
      <c r="N9" s="5" t="s">
        <v>1436</v>
      </c>
      <c r="O9" s="5" t="s">
        <v>1437</v>
      </c>
      <c r="P9" s="5" t="s">
        <v>462</v>
      </c>
      <c r="Q9" s="11" t="s">
        <v>82</v>
      </c>
      <c r="R9" s="11" t="s">
        <v>82</v>
      </c>
      <c r="S9" s="11" t="s">
        <v>82</v>
      </c>
      <c r="T9" s="11" t="s">
        <v>1421</v>
      </c>
      <c r="U9" s="5" t="s">
        <v>1434</v>
      </c>
      <c r="V9" s="11" t="s">
        <v>463</v>
      </c>
      <c r="W9" s="11" t="s">
        <v>464</v>
      </c>
      <c r="X9" s="11" t="s">
        <v>465</v>
      </c>
      <c r="Y9" s="11" t="s">
        <v>1423</v>
      </c>
      <c r="Z9" s="11" t="s">
        <v>1438</v>
      </c>
    </row>
    <row r="10" spans="1:26">
      <c r="A10" s="11" t="s">
        <v>467</v>
      </c>
      <c r="B10" s="11" t="s">
        <v>1417</v>
      </c>
      <c r="C10" s="12">
        <v>3810</v>
      </c>
      <c r="D10" s="12">
        <v>3571</v>
      </c>
      <c r="E10" s="11" t="s">
        <v>71</v>
      </c>
      <c r="F10" s="13" t="s">
        <v>468</v>
      </c>
      <c r="G10" s="14">
        <v>22</v>
      </c>
      <c r="H10" s="11" t="s">
        <v>73</v>
      </c>
      <c r="I10" s="11" t="s">
        <v>282</v>
      </c>
      <c r="J10" s="11" t="s">
        <v>1418</v>
      </c>
      <c r="K10" s="11" t="s">
        <v>447</v>
      </c>
      <c r="L10" s="11" t="s">
        <v>1000</v>
      </c>
      <c r="M10" s="5" t="s">
        <v>1431</v>
      </c>
      <c r="N10" s="5" t="s">
        <v>1439</v>
      </c>
      <c r="O10" s="5" t="s">
        <v>1440</v>
      </c>
      <c r="P10" s="5" t="s">
        <v>471</v>
      </c>
      <c r="Q10" s="11" t="s">
        <v>82</v>
      </c>
      <c r="R10" s="11" t="s">
        <v>82</v>
      </c>
      <c r="S10" s="11" t="s">
        <v>82</v>
      </c>
      <c r="T10" s="11" t="s">
        <v>1421</v>
      </c>
      <c r="U10" s="5" t="s">
        <v>1422</v>
      </c>
      <c r="V10" s="11" t="s">
        <v>472</v>
      </c>
      <c r="W10" s="11" t="s">
        <v>473</v>
      </c>
      <c r="X10" s="11" t="s">
        <v>474</v>
      </c>
      <c r="Y10" s="11" t="s">
        <v>1423</v>
      </c>
      <c r="Z10" s="11" t="s">
        <v>1441</v>
      </c>
    </row>
    <row r="11" spans="1:26">
      <c r="A11" s="11" t="s">
        <v>476</v>
      </c>
      <c r="B11" s="11" t="s">
        <v>1417</v>
      </c>
      <c r="C11" s="17">
        <v>4165</v>
      </c>
      <c r="D11" s="17">
        <v>3875</v>
      </c>
      <c r="E11" s="11" t="s">
        <v>71</v>
      </c>
      <c r="F11" s="13" t="s">
        <v>477</v>
      </c>
      <c r="G11" s="18" t="s">
        <v>1012</v>
      </c>
      <c r="H11" s="11" t="s">
        <v>73</v>
      </c>
      <c r="I11" s="11" t="s">
        <v>282</v>
      </c>
      <c r="J11" s="11" t="s">
        <v>1418</v>
      </c>
      <c r="K11" s="11" t="s">
        <v>479</v>
      </c>
      <c r="L11" s="11" t="s">
        <v>284</v>
      </c>
      <c r="M11" s="5" t="s">
        <v>1442</v>
      </c>
      <c r="N11" s="5" t="s">
        <v>1443</v>
      </c>
      <c r="O11" s="5" t="s">
        <v>571</v>
      </c>
      <c r="P11" s="5" t="s">
        <v>483</v>
      </c>
      <c r="Q11" s="11" t="s">
        <v>82</v>
      </c>
      <c r="R11" s="11" t="s">
        <v>82</v>
      </c>
      <c r="S11" s="11" t="s">
        <v>82</v>
      </c>
      <c r="T11" s="11" t="s">
        <v>1421</v>
      </c>
      <c r="U11" s="5" t="s">
        <v>1422</v>
      </c>
      <c r="V11" s="11" t="s">
        <v>484</v>
      </c>
      <c r="W11" s="11" t="s">
        <v>86</v>
      </c>
      <c r="X11" s="11" t="s">
        <v>87</v>
      </c>
      <c r="Y11" s="11" t="s">
        <v>1423</v>
      </c>
      <c r="Z11" s="11" t="s">
        <v>1444</v>
      </c>
    </row>
    <row r="12" spans="1:26">
      <c r="A12" s="11" t="s">
        <v>486</v>
      </c>
      <c r="B12" s="11" t="s">
        <v>1417</v>
      </c>
      <c r="C12" s="12">
        <v>4293</v>
      </c>
      <c r="D12" s="12">
        <v>4145</v>
      </c>
      <c r="E12" s="11" t="s">
        <v>71</v>
      </c>
      <c r="F12" s="13" t="s">
        <v>487</v>
      </c>
      <c r="G12" s="14">
        <v>17</v>
      </c>
      <c r="H12" s="11" t="s">
        <v>73</v>
      </c>
      <c r="I12" s="11" t="s">
        <v>282</v>
      </c>
      <c r="J12" s="11" t="s">
        <v>1418</v>
      </c>
      <c r="K12" s="11" t="s">
        <v>447</v>
      </c>
      <c r="L12" s="11" t="s">
        <v>1017</v>
      </c>
      <c r="M12" s="5" t="s">
        <v>1431</v>
      </c>
      <c r="N12" s="5" t="s">
        <v>1445</v>
      </c>
      <c r="O12" s="5" t="s">
        <v>80</v>
      </c>
      <c r="P12" s="5" t="s">
        <v>491</v>
      </c>
      <c r="Q12" s="11" t="s">
        <v>82</v>
      </c>
      <c r="R12" s="11" t="s">
        <v>82</v>
      </c>
      <c r="S12" s="11" t="s">
        <v>82</v>
      </c>
      <c r="T12" s="11" t="s">
        <v>1421</v>
      </c>
      <c r="U12" s="5" t="s">
        <v>1422</v>
      </c>
      <c r="V12" s="11" t="s">
        <v>492</v>
      </c>
      <c r="W12" s="11" t="s">
        <v>493</v>
      </c>
      <c r="X12" s="11" t="s">
        <v>494</v>
      </c>
      <c r="Y12" s="11" t="s">
        <v>1423</v>
      </c>
      <c r="Z12" s="11" t="s">
        <v>1446</v>
      </c>
    </row>
    <row r="13" spans="1:26">
      <c r="A13" s="11" t="s">
        <v>496</v>
      </c>
      <c r="B13" s="11" t="s">
        <v>1417</v>
      </c>
      <c r="C13" s="12">
        <v>3982</v>
      </c>
      <c r="D13" s="12">
        <v>3782</v>
      </c>
      <c r="E13" s="11" t="s">
        <v>71</v>
      </c>
      <c r="F13" s="13" t="s">
        <v>497</v>
      </c>
      <c r="G13" s="14">
        <v>20</v>
      </c>
      <c r="H13" s="11" t="s">
        <v>73</v>
      </c>
      <c r="I13" s="11" t="s">
        <v>282</v>
      </c>
      <c r="J13" s="11" t="s">
        <v>1418</v>
      </c>
      <c r="K13" s="11" t="s">
        <v>447</v>
      </c>
      <c r="L13" s="11" t="s">
        <v>1017</v>
      </c>
      <c r="M13" s="5" t="s">
        <v>1431</v>
      </c>
      <c r="N13" s="5" t="s">
        <v>1447</v>
      </c>
      <c r="O13" s="5" t="s">
        <v>1448</v>
      </c>
      <c r="P13" s="5" t="s">
        <v>500</v>
      </c>
      <c r="Q13" s="11" t="s">
        <v>82</v>
      </c>
      <c r="R13" s="11" t="s">
        <v>82</v>
      </c>
      <c r="S13" s="11" t="s">
        <v>82</v>
      </c>
      <c r="T13" s="11" t="s">
        <v>1421</v>
      </c>
      <c r="U13" s="5" t="s">
        <v>1422</v>
      </c>
      <c r="V13" s="11" t="s">
        <v>501</v>
      </c>
      <c r="W13" s="11" t="s">
        <v>502</v>
      </c>
      <c r="X13" s="11" t="s">
        <v>503</v>
      </c>
      <c r="Y13" s="11" t="s">
        <v>1423</v>
      </c>
      <c r="Z13" s="11" t="s">
        <v>1449</v>
      </c>
    </row>
    <row r="14" spans="1:26">
      <c r="A14" s="11" t="s">
        <v>505</v>
      </c>
      <c r="B14" s="11" t="s">
        <v>1417</v>
      </c>
      <c r="C14" s="12">
        <v>3979</v>
      </c>
      <c r="D14" s="12">
        <v>3810</v>
      </c>
      <c r="E14" s="11" t="s">
        <v>71</v>
      </c>
      <c r="F14" s="13" t="s">
        <v>506</v>
      </c>
      <c r="G14" s="14">
        <v>20</v>
      </c>
      <c r="H14" s="11" t="s">
        <v>73</v>
      </c>
      <c r="I14" s="11" t="s">
        <v>282</v>
      </c>
      <c r="J14" s="11" t="s">
        <v>1418</v>
      </c>
      <c r="K14" s="11" t="s">
        <v>447</v>
      </c>
      <c r="L14" s="11" t="s">
        <v>1017</v>
      </c>
      <c r="M14" s="5" t="s">
        <v>1431</v>
      </c>
      <c r="N14" s="5" t="s">
        <v>1450</v>
      </c>
      <c r="O14" s="5" t="s">
        <v>1451</v>
      </c>
      <c r="P14" s="5" t="s">
        <v>509</v>
      </c>
      <c r="Q14" s="11" t="s">
        <v>82</v>
      </c>
      <c r="R14" s="11" t="s">
        <v>82</v>
      </c>
      <c r="S14" s="11" t="s">
        <v>82</v>
      </c>
      <c r="T14" s="11" t="s">
        <v>1421</v>
      </c>
      <c r="U14" s="5" t="s">
        <v>1422</v>
      </c>
      <c r="V14" s="11" t="s">
        <v>510</v>
      </c>
      <c r="W14" s="11" t="s">
        <v>511</v>
      </c>
      <c r="X14" s="11" t="s">
        <v>512</v>
      </c>
      <c r="Y14" s="11" t="s">
        <v>1423</v>
      </c>
      <c r="Z14" s="11" t="s">
        <v>1452</v>
      </c>
    </row>
    <row r="15" spans="1:26">
      <c r="A15" s="11" t="s">
        <v>514</v>
      </c>
      <c r="B15" s="11" t="s">
        <v>1417</v>
      </c>
      <c r="C15" s="17">
        <v>2230</v>
      </c>
      <c r="D15" s="17">
        <v>4165</v>
      </c>
      <c r="E15" s="11" t="s">
        <v>71</v>
      </c>
      <c r="F15" s="13" t="s">
        <v>515</v>
      </c>
      <c r="G15" s="18" t="s">
        <v>1026</v>
      </c>
      <c r="H15" s="11" t="s">
        <v>73</v>
      </c>
      <c r="I15" s="11" t="s">
        <v>282</v>
      </c>
      <c r="J15" s="11" t="s">
        <v>1418</v>
      </c>
      <c r="K15" s="11" t="s">
        <v>479</v>
      </c>
      <c r="L15" s="11" t="s">
        <v>284</v>
      </c>
      <c r="M15" s="5" t="s">
        <v>1453</v>
      </c>
      <c r="N15" s="5" t="s">
        <v>1454</v>
      </c>
      <c r="O15" s="5" t="s">
        <v>583</v>
      </c>
      <c r="P15" s="5" t="s">
        <v>520</v>
      </c>
      <c r="Q15" s="11" t="s">
        <v>82</v>
      </c>
      <c r="R15" s="11" t="s">
        <v>82</v>
      </c>
      <c r="S15" s="11" t="s">
        <v>82</v>
      </c>
      <c r="T15" s="11" t="s">
        <v>1421</v>
      </c>
      <c r="U15" s="5" t="s">
        <v>1422</v>
      </c>
      <c r="V15" s="11" t="s">
        <v>521</v>
      </c>
      <c r="W15" s="11" t="s">
        <v>96</v>
      </c>
      <c r="X15" s="11" t="s">
        <v>97</v>
      </c>
      <c r="Y15" s="11" t="s">
        <v>1423</v>
      </c>
      <c r="Z15" s="11" t="s">
        <v>1455</v>
      </c>
    </row>
    <row r="16" spans="1:26">
      <c r="A16" s="11" t="s">
        <v>523</v>
      </c>
      <c r="B16" s="11" t="s">
        <v>1417</v>
      </c>
      <c r="C16" s="12">
        <v>4225</v>
      </c>
      <c r="D16" s="12">
        <v>4293</v>
      </c>
      <c r="E16" s="11" t="s">
        <v>71</v>
      </c>
      <c r="F16" s="13" t="s">
        <v>524</v>
      </c>
      <c r="G16" s="14">
        <v>17</v>
      </c>
      <c r="H16" s="11" t="s">
        <v>73</v>
      </c>
      <c r="I16" s="11" t="s">
        <v>282</v>
      </c>
      <c r="J16" s="11" t="s">
        <v>1418</v>
      </c>
      <c r="K16" s="11" t="s">
        <v>447</v>
      </c>
      <c r="L16" s="11" t="s">
        <v>1017</v>
      </c>
      <c r="M16" s="5" t="s">
        <v>1431</v>
      </c>
      <c r="N16" s="5" t="s">
        <v>1456</v>
      </c>
      <c r="O16" s="5" t="s">
        <v>1457</v>
      </c>
      <c r="P16" s="5" t="s">
        <v>527</v>
      </c>
      <c r="Q16" s="11" t="s">
        <v>82</v>
      </c>
      <c r="R16" s="11" t="s">
        <v>82</v>
      </c>
      <c r="S16" s="11" t="s">
        <v>82</v>
      </c>
      <c r="T16" s="11" t="s">
        <v>1421</v>
      </c>
      <c r="U16" s="5" t="s">
        <v>1422</v>
      </c>
      <c r="V16" s="11" t="s">
        <v>528</v>
      </c>
      <c r="W16" s="11" t="s">
        <v>529</v>
      </c>
      <c r="X16" s="11" t="s">
        <v>530</v>
      </c>
      <c r="Y16" s="11" t="s">
        <v>1423</v>
      </c>
      <c r="Z16" s="11" t="s">
        <v>1458</v>
      </c>
    </row>
    <row r="17" spans="1:26">
      <c r="A17" s="11" t="s">
        <v>532</v>
      </c>
      <c r="B17" s="11" t="s">
        <v>1417</v>
      </c>
      <c r="C17" s="12">
        <v>4006</v>
      </c>
      <c r="D17" s="12">
        <v>3982</v>
      </c>
      <c r="E17" s="11" t="s">
        <v>71</v>
      </c>
      <c r="F17" s="13" t="s">
        <v>533</v>
      </c>
      <c r="G17" s="14">
        <v>19</v>
      </c>
      <c r="H17" s="11" t="s">
        <v>73</v>
      </c>
      <c r="I17" s="11" t="s">
        <v>282</v>
      </c>
      <c r="J17" s="11" t="s">
        <v>1418</v>
      </c>
      <c r="K17" s="11" t="s">
        <v>447</v>
      </c>
      <c r="L17" s="11" t="s">
        <v>1017</v>
      </c>
      <c r="M17" s="5" t="s">
        <v>1431</v>
      </c>
      <c r="N17" s="5" t="s">
        <v>1459</v>
      </c>
      <c r="O17" s="5" t="s">
        <v>1460</v>
      </c>
      <c r="P17" s="5" t="s">
        <v>536</v>
      </c>
      <c r="Q17" s="11" t="s">
        <v>82</v>
      </c>
      <c r="R17" s="11" t="s">
        <v>82</v>
      </c>
      <c r="S17" s="11" t="s">
        <v>82</v>
      </c>
      <c r="T17" s="11" t="s">
        <v>1421</v>
      </c>
      <c r="U17" s="5" t="s">
        <v>1422</v>
      </c>
      <c r="V17" s="11" t="s">
        <v>537</v>
      </c>
      <c r="W17" s="11" t="s">
        <v>538</v>
      </c>
      <c r="X17" s="11" t="s">
        <v>539</v>
      </c>
      <c r="Y17" s="11" t="s">
        <v>1423</v>
      </c>
      <c r="Z17" s="11" t="s">
        <v>1461</v>
      </c>
    </row>
    <row r="18" spans="1:26">
      <c r="A18" s="11" t="s">
        <v>541</v>
      </c>
      <c r="B18" s="11" t="s">
        <v>1417</v>
      </c>
      <c r="C18" s="12">
        <v>3564</v>
      </c>
      <c r="D18" s="12">
        <v>3979</v>
      </c>
      <c r="E18" s="11" t="s">
        <v>71</v>
      </c>
      <c r="F18" s="13" t="s">
        <v>542</v>
      </c>
      <c r="G18" s="14">
        <v>19</v>
      </c>
      <c r="H18" s="11" t="s">
        <v>73</v>
      </c>
      <c r="I18" s="11" t="s">
        <v>282</v>
      </c>
      <c r="J18" s="11" t="s">
        <v>1418</v>
      </c>
      <c r="K18" s="11" t="s">
        <v>447</v>
      </c>
      <c r="L18" s="11" t="s">
        <v>1017</v>
      </c>
      <c r="M18" s="5" t="s">
        <v>1431</v>
      </c>
      <c r="N18" s="5" t="s">
        <v>1462</v>
      </c>
      <c r="O18" s="5" t="s">
        <v>1463</v>
      </c>
      <c r="P18" s="5" t="s">
        <v>545</v>
      </c>
      <c r="Q18" s="11" t="s">
        <v>82</v>
      </c>
      <c r="R18" s="11" t="s">
        <v>82</v>
      </c>
      <c r="S18" s="11" t="s">
        <v>82</v>
      </c>
      <c r="T18" s="11" t="s">
        <v>1421</v>
      </c>
      <c r="U18" s="5" t="s">
        <v>1422</v>
      </c>
      <c r="V18" s="11" t="s">
        <v>546</v>
      </c>
      <c r="W18" s="11" t="s">
        <v>547</v>
      </c>
      <c r="X18" s="11" t="s">
        <v>548</v>
      </c>
      <c r="Y18" s="11" t="s">
        <v>1423</v>
      </c>
      <c r="Z18" s="11" t="s">
        <v>1464</v>
      </c>
    </row>
    <row r="19" spans="1:26">
      <c r="A19" s="11" t="s">
        <v>550</v>
      </c>
      <c r="B19" s="11" t="s">
        <v>1417</v>
      </c>
      <c r="C19" s="17">
        <v>5384</v>
      </c>
      <c r="D19" s="17">
        <v>2230</v>
      </c>
      <c r="E19" s="11" t="s">
        <v>71</v>
      </c>
      <c r="F19" s="13" t="s">
        <v>551</v>
      </c>
      <c r="G19" s="18" t="s">
        <v>1038</v>
      </c>
      <c r="H19" s="11" t="s">
        <v>73</v>
      </c>
      <c r="I19" s="11" t="s">
        <v>282</v>
      </c>
      <c r="J19" s="11" t="s">
        <v>1418</v>
      </c>
      <c r="K19" s="11" t="s">
        <v>479</v>
      </c>
      <c r="L19" s="11" t="s">
        <v>284</v>
      </c>
      <c r="M19" s="5" t="s">
        <v>1465</v>
      </c>
      <c r="N19" s="5" t="s">
        <v>1466</v>
      </c>
      <c r="O19" s="5" t="s">
        <v>555</v>
      </c>
      <c r="P19" s="5" t="s">
        <v>556</v>
      </c>
      <c r="Q19" s="11" t="s">
        <v>82</v>
      </c>
      <c r="R19" s="11" t="s">
        <v>82</v>
      </c>
      <c r="S19" s="11" t="s">
        <v>82</v>
      </c>
      <c r="T19" s="11" t="s">
        <v>1421</v>
      </c>
      <c r="U19" s="5" t="s">
        <v>1422</v>
      </c>
      <c r="V19" s="11" t="s">
        <v>557</v>
      </c>
      <c r="W19" s="11" t="s">
        <v>105</v>
      </c>
      <c r="X19" s="11" t="s">
        <v>106</v>
      </c>
      <c r="Y19" s="11" t="s">
        <v>1423</v>
      </c>
      <c r="Z19" s="11" t="s">
        <v>1467</v>
      </c>
    </row>
    <row r="20" spans="1:26">
      <c r="A20" s="11" t="s">
        <v>69</v>
      </c>
      <c r="B20" s="11" t="s">
        <v>1468</v>
      </c>
      <c r="C20" s="12">
        <v>5027</v>
      </c>
      <c r="D20" s="12">
        <v>4696</v>
      </c>
      <c r="E20" s="11" t="s">
        <v>71</v>
      </c>
      <c r="F20" s="13" t="s">
        <v>72</v>
      </c>
      <c r="G20" s="14">
        <v>80</v>
      </c>
      <c r="H20" s="11" t="s">
        <v>73</v>
      </c>
      <c r="I20" s="11" t="s">
        <v>282</v>
      </c>
      <c r="J20" s="11" t="s">
        <v>1469</v>
      </c>
      <c r="K20" s="11" t="s">
        <v>76</v>
      </c>
      <c r="L20" s="11" t="s">
        <v>284</v>
      </c>
      <c r="M20" s="5" t="s">
        <v>1470</v>
      </c>
      <c r="N20" s="5" t="s">
        <v>1471</v>
      </c>
      <c r="O20" s="5" t="s">
        <v>93</v>
      </c>
      <c r="P20" s="5" t="s">
        <v>81</v>
      </c>
      <c r="Q20" s="11" t="s">
        <v>82</v>
      </c>
      <c r="R20" s="11" t="s">
        <v>82</v>
      </c>
      <c r="S20" s="11" t="s">
        <v>82</v>
      </c>
      <c r="T20" s="11" t="s">
        <v>1472</v>
      </c>
      <c r="U20" s="5" t="s">
        <v>1473</v>
      </c>
      <c r="V20" s="11" t="s">
        <v>85</v>
      </c>
      <c r="W20" s="11" t="s">
        <v>86</v>
      </c>
      <c r="X20" s="11" t="s">
        <v>87</v>
      </c>
      <c r="Y20" s="11" t="s">
        <v>1474</v>
      </c>
      <c r="Z20" s="11" t="s">
        <v>1475</v>
      </c>
    </row>
    <row r="21" spans="1:26">
      <c r="A21" s="11" t="s">
        <v>90</v>
      </c>
      <c r="B21" s="11" t="s">
        <v>1468</v>
      </c>
      <c r="C21" s="12">
        <v>5113</v>
      </c>
      <c r="D21" s="12">
        <v>5027</v>
      </c>
      <c r="E21" s="11" t="s">
        <v>71</v>
      </c>
      <c r="F21" s="13" t="s">
        <v>91</v>
      </c>
      <c r="G21" s="14">
        <v>88</v>
      </c>
      <c r="H21" s="11" t="s">
        <v>73</v>
      </c>
      <c r="I21" s="11" t="s">
        <v>282</v>
      </c>
      <c r="J21" s="11" t="s">
        <v>1469</v>
      </c>
      <c r="K21" s="11" t="s">
        <v>76</v>
      </c>
      <c r="L21" s="11" t="s">
        <v>284</v>
      </c>
      <c r="M21" s="5" t="s">
        <v>1470</v>
      </c>
      <c r="N21" s="5" t="s">
        <v>1476</v>
      </c>
      <c r="O21" s="5" t="s">
        <v>1426</v>
      </c>
      <c r="P21" s="5" t="s">
        <v>94</v>
      </c>
      <c r="Q21" s="11" t="s">
        <v>82</v>
      </c>
      <c r="R21" s="11" t="s">
        <v>82</v>
      </c>
      <c r="S21" s="11" t="s">
        <v>82</v>
      </c>
      <c r="T21" s="11" t="s">
        <v>1472</v>
      </c>
      <c r="U21" s="5" t="s">
        <v>1473</v>
      </c>
      <c r="V21" s="11" t="s">
        <v>95</v>
      </c>
      <c r="W21" s="11" t="s">
        <v>96</v>
      </c>
      <c r="X21" s="11" t="s">
        <v>97</v>
      </c>
      <c r="Y21" s="11" t="s">
        <v>1474</v>
      </c>
      <c r="Z21" s="11" t="s">
        <v>1477</v>
      </c>
    </row>
    <row r="22" spans="1:26">
      <c r="A22" s="11" t="s">
        <v>99</v>
      </c>
      <c r="B22" s="11" t="s">
        <v>1468</v>
      </c>
      <c r="C22" s="12">
        <v>6993</v>
      </c>
      <c r="D22" s="12">
        <v>5113</v>
      </c>
      <c r="E22" s="11" t="s">
        <v>71</v>
      </c>
      <c r="F22" s="13" t="s">
        <v>100</v>
      </c>
      <c r="G22" s="14">
        <v>86</v>
      </c>
      <c r="H22" s="11" t="s">
        <v>73</v>
      </c>
      <c r="I22" s="11" t="s">
        <v>282</v>
      </c>
      <c r="J22" s="11" t="s">
        <v>1469</v>
      </c>
      <c r="K22" s="11" t="s">
        <v>76</v>
      </c>
      <c r="L22" s="11" t="s">
        <v>284</v>
      </c>
      <c r="M22" s="5" t="s">
        <v>1470</v>
      </c>
      <c r="N22" s="5" t="s">
        <v>1478</v>
      </c>
      <c r="O22" s="5" t="s">
        <v>1429</v>
      </c>
      <c r="P22" s="5" t="s">
        <v>103</v>
      </c>
      <c r="Q22" s="11" t="s">
        <v>82</v>
      </c>
      <c r="R22" s="11" t="s">
        <v>82</v>
      </c>
      <c r="S22" s="11" t="s">
        <v>82</v>
      </c>
      <c r="T22" s="11" t="s">
        <v>1472</v>
      </c>
      <c r="U22" s="5" t="s">
        <v>1473</v>
      </c>
      <c r="V22" s="11" t="s">
        <v>104</v>
      </c>
      <c r="W22" s="11" t="s">
        <v>105</v>
      </c>
      <c r="X22" s="11" t="s">
        <v>106</v>
      </c>
      <c r="Y22" s="11" t="s">
        <v>1474</v>
      </c>
      <c r="Z22" s="11" t="s">
        <v>1479</v>
      </c>
    </row>
    <row r="23" spans="1:26">
      <c r="A23" s="11" t="s">
        <v>445</v>
      </c>
      <c r="B23" s="11" t="s">
        <v>1468</v>
      </c>
      <c r="C23" s="12">
        <v>1316</v>
      </c>
      <c r="D23" s="12">
        <v>1235</v>
      </c>
      <c r="E23" s="11" t="s">
        <v>71</v>
      </c>
      <c r="F23" s="13" t="s">
        <v>446</v>
      </c>
      <c r="G23" s="14">
        <v>18</v>
      </c>
      <c r="H23" s="11" t="s">
        <v>73</v>
      </c>
      <c r="I23" s="11" t="s">
        <v>282</v>
      </c>
      <c r="J23" s="11" t="s">
        <v>1469</v>
      </c>
      <c r="K23" s="11" t="s">
        <v>447</v>
      </c>
      <c r="L23" s="11" t="s">
        <v>1000</v>
      </c>
      <c r="M23" s="5" t="s">
        <v>1480</v>
      </c>
      <c r="N23" s="5" t="s">
        <v>1481</v>
      </c>
      <c r="O23" s="5" t="s">
        <v>1433</v>
      </c>
      <c r="P23" s="5" t="s">
        <v>452</v>
      </c>
      <c r="Q23" s="11" t="s">
        <v>82</v>
      </c>
      <c r="R23" s="11" t="s">
        <v>82</v>
      </c>
      <c r="S23" s="11" t="s">
        <v>82</v>
      </c>
      <c r="T23" s="11" t="s">
        <v>1472</v>
      </c>
      <c r="U23" s="5" t="s">
        <v>1482</v>
      </c>
      <c r="V23" s="11" t="s">
        <v>454</v>
      </c>
      <c r="W23" s="11" t="s">
        <v>455</v>
      </c>
      <c r="X23" s="11" t="s">
        <v>456</v>
      </c>
      <c r="Y23" s="11" t="s">
        <v>1474</v>
      </c>
      <c r="Z23" s="11" t="s">
        <v>1483</v>
      </c>
    </row>
    <row r="24" spans="1:26">
      <c r="A24" s="11" t="s">
        <v>458</v>
      </c>
      <c r="B24" s="11" t="s">
        <v>1468</v>
      </c>
      <c r="C24" s="12">
        <v>1127</v>
      </c>
      <c r="D24" s="12">
        <v>1049</v>
      </c>
      <c r="E24" s="11" t="s">
        <v>71</v>
      </c>
      <c r="F24" s="13" t="s">
        <v>459</v>
      </c>
      <c r="G24" s="14">
        <v>22</v>
      </c>
      <c r="H24" s="11" t="s">
        <v>73</v>
      </c>
      <c r="I24" s="11" t="s">
        <v>282</v>
      </c>
      <c r="J24" s="11" t="s">
        <v>1469</v>
      </c>
      <c r="K24" s="11" t="s">
        <v>447</v>
      </c>
      <c r="L24" s="11" t="s">
        <v>1000</v>
      </c>
      <c r="M24" s="5" t="s">
        <v>1480</v>
      </c>
      <c r="N24" s="5" t="s">
        <v>1484</v>
      </c>
      <c r="O24" s="5" t="s">
        <v>1437</v>
      </c>
      <c r="P24" s="5" t="s">
        <v>462</v>
      </c>
      <c r="Q24" s="11" t="s">
        <v>82</v>
      </c>
      <c r="R24" s="11" t="s">
        <v>82</v>
      </c>
      <c r="S24" s="11" t="s">
        <v>82</v>
      </c>
      <c r="T24" s="11" t="s">
        <v>1472</v>
      </c>
      <c r="U24" s="5" t="s">
        <v>1482</v>
      </c>
      <c r="V24" s="11" t="s">
        <v>463</v>
      </c>
      <c r="W24" s="11" t="s">
        <v>464</v>
      </c>
      <c r="X24" s="11" t="s">
        <v>465</v>
      </c>
      <c r="Y24" s="11" t="s">
        <v>1474</v>
      </c>
      <c r="Z24" s="11" t="s">
        <v>1485</v>
      </c>
    </row>
    <row r="25" spans="1:26">
      <c r="A25" s="11" t="s">
        <v>467</v>
      </c>
      <c r="B25" s="11" t="s">
        <v>1468</v>
      </c>
      <c r="C25" s="12">
        <v>1263</v>
      </c>
      <c r="D25" s="12">
        <v>1189</v>
      </c>
      <c r="E25" s="11" t="s">
        <v>71</v>
      </c>
      <c r="F25" s="13" t="s">
        <v>468</v>
      </c>
      <c r="G25" s="14">
        <v>22</v>
      </c>
      <c r="H25" s="11" t="s">
        <v>73</v>
      </c>
      <c r="I25" s="11" t="s">
        <v>282</v>
      </c>
      <c r="J25" s="11" t="s">
        <v>1469</v>
      </c>
      <c r="K25" s="11" t="s">
        <v>447</v>
      </c>
      <c r="L25" s="11" t="s">
        <v>1000</v>
      </c>
      <c r="M25" s="5" t="s">
        <v>1480</v>
      </c>
      <c r="N25" s="5" t="s">
        <v>1486</v>
      </c>
      <c r="O25" s="5" t="s">
        <v>1440</v>
      </c>
      <c r="P25" s="5" t="s">
        <v>471</v>
      </c>
      <c r="Q25" s="11" t="s">
        <v>82</v>
      </c>
      <c r="R25" s="11" t="s">
        <v>82</v>
      </c>
      <c r="S25" s="11" t="s">
        <v>82</v>
      </c>
      <c r="T25" s="11" t="s">
        <v>1472</v>
      </c>
      <c r="U25" s="5" t="s">
        <v>1473</v>
      </c>
      <c r="V25" s="11" t="s">
        <v>472</v>
      </c>
      <c r="W25" s="11" t="s">
        <v>473</v>
      </c>
      <c r="X25" s="11" t="s">
        <v>474</v>
      </c>
      <c r="Y25" s="11" t="s">
        <v>1474</v>
      </c>
      <c r="Z25" s="11" t="s">
        <v>1487</v>
      </c>
    </row>
    <row r="26" spans="1:26">
      <c r="A26" s="11" t="s">
        <v>476</v>
      </c>
      <c r="B26" s="11" t="s">
        <v>1468</v>
      </c>
      <c r="C26" s="17">
        <v>1321</v>
      </c>
      <c r="D26" s="17">
        <v>1223</v>
      </c>
      <c r="E26" s="11" t="s">
        <v>71</v>
      </c>
      <c r="F26" s="13" t="s">
        <v>477</v>
      </c>
      <c r="G26" s="18" t="s">
        <v>1012</v>
      </c>
      <c r="H26" s="11" t="s">
        <v>73</v>
      </c>
      <c r="I26" s="11" t="s">
        <v>282</v>
      </c>
      <c r="J26" s="11" t="s">
        <v>1469</v>
      </c>
      <c r="K26" s="11" t="s">
        <v>479</v>
      </c>
      <c r="L26" s="11" t="s">
        <v>284</v>
      </c>
      <c r="M26" s="5" t="s">
        <v>1488</v>
      </c>
      <c r="N26" s="5" t="s">
        <v>1489</v>
      </c>
      <c r="O26" s="5" t="s">
        <v>1015</v>
      </c>
      <c r="P26" s="5" t="s">
        <v>483</v>
      </c>
      <c r="Q26" s="11" t="s">
        <v>82</v>
      </c>
      <c r="R26" s="11" t="s">
        <v>82</v>
      </c>
      <c r="S26" s="11" t="s">
        <v>82</v>
      </c>
      <c r="T26" s="11" t="s">
        <v>1472</v>
      </c>
      <c r="U26" s="5" t="s">
        <v>1473</v>
      </c>
      <c r="V26" s="11" t="s">
        <v>484</v>
      </c>
      <c r="W26" s="11" t="s">
        <v>86</v>
      </c>
      <c r="X26" s="11" t="s">
        <v>87</v>
      </c>
      <c r="Y26" s="11" t="s">
        <v>1474</v>
      </c>
      <c r="Z26" s="11" t="s">
        <v>1490</v>
      </c>
    </row>
    <row r="27" spans="1:26">
      <c r="A27" s="11" t="s">
        <v>486</v>
      </c>
      <c r="B27" s="11" t="s">
        <v>1468</v>
      </c>
      <c r="C27" s="12">
        <v>1429</v>
      </c>
      <c r="D27" s="12">
        <v>1316</v>
      </c>
      <c r="E27" s="11" t="s">
        <v>71</v>
      </c>
      <c r="F27" s="13" t="s">
        <v>487</v>
      </c>
      <c r="G27" s="14">
        <v>17</v>
      </c>
      <c r="H27" s="11" t="s">
        <v>73</v>
      </c>
      <c r="I27" s="11" t="s">
        <v>282</v>
      </c>
      <c r="J27" s="11" t="s">
        <v>1469</v>
      </c>
      <c r="K27" s="11" t="s">
        <v>447</v>
      </c>
      <c r="L27" s="11" t="s">
        <v>1017</v>
      </c>
      <c r="M27" s="5" t="s">
        <v>1480</v>
      </c>
      <c r="N27" s="5" t="s">
        <v>1491</v>
      </c>
      <c r="O27" s="5" t="s">
        <v>80</v>
      </c>
      <c r="P27" s="5" t="s">
        <v>491</v>
      </c>
      <c r="Q27" s="11" t="s">
        <v>82</v>
      </c>
      <c r="R27" s="11" t="s">
        <v>82</v>
      </c>
      <c r="S27" s="11" t="s">
        <v>82</v>
      </c>
      <c r="T27" s="11" t="s">
        <v>1472</v>
      </c>
      <c r="U27" s="5" t="s">
        <v>1473</v>
      </c>
      <c r="V27" s="11" t="s">
        <v>492</v>
      </c>
      <c r="W27" s="11" t="s">
        <v>493</v>
      </c>
      <c r="X27" s="11" t="s">
        <v>494</v>
      </c>
      <c r="Y27" s="11" t="s">
        <v>1474</v>
      </c>
      <c r="Z27" s="11" t="s">
        <v>1492</v>
      </c>
    </row>
    <row r="28" spans="1:26">
      <c r="A28" s="11" t="s">
        <v>496</v>
      </c>
      <c r="B28" s="11" t="s">
        <v>1468</v>
      </c>
      <c r="C28" s="12">
        <v>1248</v>
      </c>
      <c r="D28" s="12">
        <v>1127</v>
      </c>
      <c r="E28" s="11" t="s">
        <v>71</v>
      </c>
      <c r="F28" s="13" t="s">
        <v>497</v>
      </c>
      <c r="G28" s="14">
        <v>20</v>
      </c>
      <c r="H28" s="11" t="s">
        <v>73</v>
      </c>
      <c r="I28" s="11" t="s">
        <v>282</v>
      </c>
      <c r="J28" s="11" t="s">
        <v>1469</v>
      </c>
      <c r="K28" s="11" t="s">
        <v>447</v>
      </c>
      <c r="L28" s="11" t="s">
        <v>1017</v>
      </c>
      <c r="M28" s="5" t="s">
        <v>1480</v>
      </c>
      <c r="N28" s="5" t="s">
        <v>1493</v>
      </c>
      <c r="O28" s="5" t="s">
        <v>1448</v>
      </c>
      <c r="P28" s="5" t="s">
        <v>500</v>
      </c>
      <c r="Q28" s="11" t="s">
        <v>82</v>
      </c>
      <c r="R28" s="11" t="s">
        <v>82</v>
      </c>
      <c r="S28" s="11" t="s">
        <v>82</v>
      </c>
      <c r="T28" s="11" t="s">
        <v>1472</v>
      </c>
      <c r="U28" s="5" t="s">
        <v>1473</v>
      </c>
      <c r="V28" s="11" t="s">
        <v>501</v>
      </c>
      <c r="W28" s="11" t="s">
        <v>502</v>
      </c>
      <c r="X28" s="11" t="s">
        <v>503</v>
      </c>
      <c r="Y28" s="11" t="s">
        <v>1474</v>
      </c>
      <c r="Z28" s="11" t="s">
        <v>1494</v>
      </c>
    </row>
    <row r="29" spans="1:26">
      <c r="A29" s="11" t="s">
        <v>505</v>
      </c>
      <c r="B29" s="11" t="s">
        <v>1468</v>
      </c>
      <c r="C29" s="12">
        <v>1458</v>
      </c>
      <c r="D29" s="12">
        <v>1263</v>
      </c>
      <c r="E29" s="11" t="s">
        <v>71</v>
      </c>
      <c r="F29" s="13" t="s">
        <v>506</v>
      </c>
      <c r="G29" s="14">
        <v>20</v>
      </c>
      <c r="H29" s="11" t="s">
        <v>73</v>
      </c>
      <c r="I29" s="11" t="s">
        <v>282</v>
      </c>
      <c r="J29" s="11" t="s">
        <v>1469</v>
      </c>
      <c r="K29" s="11" t="s">
        <v>447</v>
      </c>
      <c r="L29" s="11" t="s">
        <v>1017</v>
      </c>
      <c r="M29" s="5" t="s">
        <v>1480</v>
      </c>
      <c r="N29" s="5" t="s">
        <v>1495</v>
      </c>
      <c r="O29" s="5" t="s">
        <v>1451</v>
      </c>
      <c r="P29" s="5" t="s">
        <v>509</v>
      </c>
      <c r="Q29" s="11" t="s">
        <v>82</v>
      </c>
      <c r="R29" s="11" t="s">
        <v>82</v>
      </c>
      <c r="S29" s="11" t="s">
        <v>82</v>
      </c>
      <c r="T29" s="11" t="s">
        <v>1472</v>
      </c>
      <c r="U29" s="5" t="s">
        <v>1473</v>
      </c>
      <c r="V29" s="11" t="s">
        <v>510</v>
      </c>
      <c r="W29" s="11" t="s">
        <v>511</v>
      </c>
      <c r="X29" s="11" t="s">
        <v>512</v>
      </c>
      <c r="Y29" s="11" t="s">
        <v>1474</v>
      </c>
      <c r="Z29" s="11" t="s">
        <v>1496</v>
      </c>
    </row>
    <row r="30" spans="1:26">
      <c r="A30" s="11" t="s">
        <v>514</v>
      </c>
      <c r="B30" s="11" t="s">
        <v>1468</v>
      </c>
      <c r="C30" s="17">
        <v>978</v>
      </c>
      <c r="D30" s="17">
        <v>1321</v>
      </c>
      <c r="E30" s="11" t="s">
        <v>71</v>
      </c>
      <c r="F30" s="13" t="s">
        <v>515</v>
      </c>
      <c r="G30" s="18" t="s">
        <v>1026</v>
      </c>
      <c r="H30" s="11" t="s">
        <v>73</v>
      </c>
      <c r="I30" s="11" t="s">
        <v>282</v>
      </c>
      <c r="J30" s="11" t="s">
        <v>1469</v>
      </c>
      <c r="K30" s="11" t="s">
        <v>479</v>
      </c>
      <c r="L30" s="11" t="s">
        <v>284</v>
      </c>
      <c r="M30" s="5" t="s">
        <v>1497</v>
      </c>
      <c r="N30" s="5" t="s">
        <v>1498</v>
      </c>
      <c r="O30" s="5" t="s">
        <v>1015</v>
      </c>
      <c r="P30" s="5" t="s">
        <v>520</v>
      </c>
      <c r="Q30" s="11" t="s">
        <v>82</v>
      </c>
      <c r="R30" s="11" t="s">
        <v>82</v>
      </c>
      <c r="S30" s="11" t="s">
        <v>82</v>
      </c>
      <c r="T30" s="11" t="s">
        <v>1472</v>
      </c>
      <c r="U30" s="5" t="s">
        <v>1473</v>
      </c>
      <c r="V30" s="11" t="s">
        <v>521</v>
      </c>
      <c r="W30" s="11" t="s">
        <v>96</v>
      </c>
      <c r="X30" s="11" t="s">
        <v>97</v>
      </c>
      <c r="Y30" s="11" t="s">
        <v>1474</v>
      </c>
      <c r="Z30" s="11" t="s">
        <v>1499</v>
      </c>
    </row>
    <row r="31" spans="1:26">
      <c r="A31" s="11" t="s">
        <v>523</v>
      </c>
      <c r="B31" s="11" t="s">
        <v>1468</v>
      </c>
      <c r="C31" s="12">
        <v>1506</v>
      </c>
      <c r="D31" s="12">
        <v>1429</v>
      </c>
      <c r="E31" s="11" t="s">
        <v>71</v>
      </c>
      <c r="F31" s="13" t="s">
        <v>524</v>
      </c>
      <c r="G31" s="14">
        <v>17</v>
      </c>
      <c r="H31" s="11" t="s">
        <v>73</v>
      </c>
      <c r="I31" s="11" t="s">
        <v>282</v>
      </c>
      <c r="J31" s="11" t="s">
        <v>1469</v>
      </c>
      <c r="K31" s="11" t="s">
        <v>447</v>
      </c>
      <c r="L31" s="11" t="s">
        <v>1017</v>
      </c>
      <c r="M31" s="5" t="s">
        <v>1480</v>
      </c>
      <c r="N31" s="5" t="s">
        <v>1500</v>
      </c>
      <c r="O31" s="5" t="s">
        <v>1457</v>
      </c>
      <c r="P31" s="5" t="s">
        <v>527</v>
      </c>
      <c r="Q31" s="11" t="s">
        <v>82</v>
      </c>
      <c r="R31" s="11" t="s">
        <v>82</v>
      </c>
      <c r="S31" s="11" t="s">
        <v>82</v>
      </c>
      <c r="T31" s="11" t="s">
        <v>1472</v>
      </c>
      <c r="U31" s="5" t="s">
        <v>1473</v>
      </c>
      <c r="V31" s="11" t="s">
        <v>528</v>
      </c>
      <c r="W31" s="11" t="s">
        <v>529</v>
      </c>
      <c r="X31" s="11" t="s">
        <v>530</v>
      </c>
      <c r="Y31" s="11" t="s">
        <v>1474</v>
      </c>
      <c r="Z31" s="11" t="s">
        <v>1501</v>
      </c>
    </row>
    <row r="32" spans="1:26">
      <c r="A32" s="11" t="s">
        <v>532</v>
      </c>
      <c r="B32" s="11" t="s">
        <v>1468</v>
      </c>
      <c r="C32" s="12">
        <v>1652</v>
      </c>
      <c r="D32" s="12">
        <v>1248</v>
      </c>
      <c r="E32" s="11" t="s">
        <v>71</v>
      </c>
      <c r="F32" s="13" t="s">
        <v>533</v>
      </c>
      <c r="G32" s="14">
        <v>19</v>
      </c>
      <c r="H32" s="11" t="s">
        <v>73</v>
      </c>
      <c r="I32" s="11" t="s">
        <v>282</v>
      </c>
      <c r="J32" s="11" t="s">
        <v>1469</v>
      </c>
      <c r="K32" s="11" t="s">
        <v>447</v>
      </c>
      <c r="L32" s="11" t="s">
        <v>1017</v>
      </c>
      <c r="M32" s="5" t="s">
        <v>1480</v>
      </c>
      <c r="N32" s="5" t="s">
        <v>1502</v>
      </c>
      <c r="O32" s="5" t="s">
        <v>1460</v>
      </c>
      <c r="P32" s="5" t="s">
        <v>536</v>
      </c>
      <c r="Q32" s="11" t="s">
        <v>82</v>
      </c>
      <c r="R32" s="11" t="s">
        <v>82</v>
      </c>
      <c r="S32" s="11" t="s">
        <v>82</v>
      </c>
      <c r="T32" s="11" t="s">
        <v>1472</v>
      </c>
      <c r="U32" s="5" t="s">
        <v>1473</v>
      </c>
      <c r="V32" s="11" t="s">
        <v>537</v>
      </c>
      <c r="W32" s="11" t="s">
        <v>538</v>
      </c>
      <c r="X32" s="11" t="s">
        <v>539</v>
      </c>
      <c r="Y32" s="11" t="s">
        <v>1474</v>
      </c>
      <c r="Z32" s="11" t="s">
        <v>1503</v>
      </c>
    </row>
    <row r="33" spans="1:26">
      <c r="A33" s="11" t="s">
        <v>541</v>
      </c>
      <c r="B33" s="11" t="s">
        <v>1468</v>
      </c>
      <c r="C33" s="12">
        <v>1670</v>
      </c>
      <c r="D33" s="12">
        <v>1458</v>
      </c>
      <c r="E33" s="11" t="s">
        <v>71</v>
      </c>
      <c r="F33" s="13" t="s">
        <v>542</v>
      </c>
      <c r="G33" s="14">
        <v>19</v>
      </c>
      <c r="H33" s="11" t="s">
        <v>73</v>
      </c>
      <c r="I33" s="11" t="s">
        <v>282</v>
      </c>
      <c r="J33" s="11" t="s">
        <v>1469</v>
      </c>
      <c r="K33" s="11" t="s">
        <v>447</v>
      </c>
      <c r="L33" s="11" t="s">
        <v>1017</v>
      </c>
      <c r="M33" s="5" t="s">
        <v>1480</v>
      </c>
      <c r="N33" s="5" t="s">
        <v>1504</v>
      </c>
      <c r="O33" s="5" t="s">
        <v>1463</v>
      </c>
      <c r="P33" s="5" t="s">
        <v>545</v>
      </c>
      <c r="Q33" s="11" t="s">
        <v>82</v>
      </c>
      <c r="R33" s="11" t="s">
        <v>82</v>
      </c>
      <c r="S33" s="11" t="s">
        <v>82</v>
      </c>
      <c r="T33" s="11" t="s">
        <v>1472</v>
      </c>
      <c r="U33" s="5" t="s">
        <v>1473</v>
      </c>
      <c r="V33" s="11" t="s">
        <v>546</v>
      </c>
      <c r="W33" s="11" t="s">
        <v>547</v>
      </c>
      <c r="X33" s="11" t="s">
        <v>548</v>
      </c>
      <c r="Y33" s="11" t="s">
        <v>1474</v>
      </c>
      <c r="Z33" s="11" t="s">
        <v>1505</v>
      </c>
    </row>
    <row r="34" spans="1:26">
      <c r="A34" s="11" t="s">
        <v>550</v>
      </c>
      <c r="B34" s="11" t="s">
        <v>1468</v>
      </c>
      <c r="C34" s="17">
        <v>2165</v>
      </c>
      <c r="D34" s="17">
        <v>978</v>
      </c>
      <c r="E34" s="11" t="s">
        <v>71</v>
      </c>
      <c r="F34" s="13" t="s">
        <v>551</v>
      </c>
      <c r="G34" s="18" t="s">
        <v>1038</v>
      </c>
      <c r="H34" s="11" t="s">
        <v>73</v>
      </c>
      <c r="I34" s="11" t="s">
        <v>282</v>
      </c>
      <c r="J34" s="11" t="s">
        <v>1469</v>
      </c>
      <c r="K34" s="11" t="s">
        <v>479</v>
      </c>
      <c r="L34" s="11" t="s">
        <v>284</v>
      </c>
      <c r="M34" s="5" t="s">
        <v>1506</v>
      </c>
      <c r="N34" s="5" t="s">
        <v>1507</v>
      </c>
      <c r="O34" s="5" t="s">
        <v>1015</v>
      </c>
      <c r="P34" s="5" t="s">
        <v>556</v>
      </c>
      <c r="Q34" s="11" t="s">
        <v>82</v>
      </c>
      <c r="R34" s="11" t="s">
        <v>82</v>
      </c>
      <c r="S34" s="11" t="s">
        <v>82</v>
      </c>
      <c r="T34" s="11" t="s">
        <v>1472</v>
      </c>
      <c r="U34" s="5" t="s">
        <v>1473</v>
      </c>
      <c r="V34" s="11" t="s">
        <v>557</v>
      </c>
      <c r="W34" s="11" t="s">
        <v>105</v>
      </c>
      <c r="X34" s="11" t="s">
        <v>106</v>
      </c>
      <c r="Y34" s="11" t="s">
        <v>1474</v>
      </c>
      <c r="Z34" s="11" t="s">
        <v>1508</v>
      </c>
    </row>
    <row r="35" spans="1:26">
      <c r="A35" s="11" t="s">
        <v>69</v>
      </c>
      <c r="B35" s="11" t="s">
        <v>1509</v>
      </c>
      <c r="C35" s="12">
        <v>10875</v>
      </c>
      <c r="D35" s="12">
        <v>10159</v>
      </c>
      <c r="E35" s="11" t="s">
        <v>71</v>
      </c>
      <c r="F35" s="13" t="s">
        <v>72</v>
      </c>
      <c r="G35" s="14">
        <v>80</v>
      </c>
      <c r="H35" s="11" t="s">
        <v>73</v>
      </c>
      <c r="I35" s="11" t="s">
        <v>282</v>
      </c>
      <c r="J35" s="11" t="s">
        <v>1510</v>
      </c>
      <c r="K35" s="11" t="s">
        <v>76</v>
      </c>
      <c r="L35" s="11" t="s">
        <v>284</v>
      </c>
      <c r="M35" s="5" t="s">
        <v>1511</v>
      </c>
      <c r="N35" s="5" t="s">
        <v>1512</v>
      </c>
      <c r="O35" s="5" t="s">
        <v>93</v>
      </c>
      <c r="P35" s="5" t="s">
        <v>81</v>
      </c>
      <c r="Q35" s="11" t="s">
        <v>82</v>
      </c>
      <c r="R35" s="11" t="s">
        <v>82</v>
      </c>
      <c r="S35" s="11" t="s">
        <v>82</v>
      </c>
      <c r="T35" s="11" t="s">
        <v>1513</v>
      </c>
      <c r="U35" s="5" t="s">
        <v>1514</v>
      </c>
      <c r="V35" s="11" t="s">
        <v>85</v>
      </c>
      <c r="W35" s="11" t="s">
        <v>86</v>
      </c>
      <c r="X35" s="11" t="s">
        <v>87</v>
      </c>
      <c r="Y35" s="11" t="s">
        <v>1515</v>
      </c>
      <c r="Z35" s="11" t="s">
        <v>1516</v>
      </c>
    </row>
    <row r="36" spans="1:26">
      <c r="A36" s="11" t="s">
        <v>90</v>
      </c>
      <c r="B36" s="11" t="s">
        <v>1509</v>
      </c>
      <c r="C36" s="12">
        <v>9371</v>
      </c>
      <c r="D36" s="12">
        <v>10875</v>
      </c>
      <c r="E36" s="11" t="s">
        <v>71</v>
      </c>
      <c r="F36" s="13" t="s">
        <v>91</v>
      </c>
      <c r="G36" s="14">
        <v>88</v>
      </c>
      <c r="H36" s="11" t="s">
        <v>73</v>
      </c>
      <c r="I36" s="11" t="s">
        <v>282</v>
      </c>
      <c r="J36" s="11" t="s">
        <v>1510</v>
      </c>
      <c r="K36" s="11" t="s">
        <v>76</v>
      </c>
      <c r="L36" s="11" t="s">
        <v>284</v>
      </c>
      <c r="M36" s="5" t="s">
        <v>1511</v>
      </c>
      <c r="N36" s="5" t="s">
        <v>1517</v>
      </c>
      <c r="O36" s="5" t="s">
        <v>1426</v>
      </c>
      <c r="P36" s="5" t="s">
        <v>94</v>
      </c>
      <c r="Q36" s="11" t="s">
        <v>82</v>
      </c>
      <c r="R36" s="11" t="s">
        <v>82</v>
      </c>
      <c r="S36" s="11" t="s">
        <v>82</v>
      </c>
      <c r="T36" s="11" t="s">
        <v>1513</v>
      </c>
      <c r="U36" s="5" t="s">
        <v>1514</v>
      </c>
      <c r="V36" s="11" t="s">
        <v>95</v>
      </c>
      <c r="W36" s="11" t="s">
        <v>96</v>
      </c>
      <c r="X36" s="11" t="s">
        <v>97</v>
      </c>
      <c r="Y36" s="11" t="s">
        <v>1515</v>
      </c>
      <c r="Z36" s="11" t="s">
        <v>1518</v>
      </c>
    </row>
    <row r="37" spans="1:26">
      <c r="A37" s="11" t="s">
        <v>99</v>
      </c>
      <c r="B37" s="11" t="s">
        <v>1509</v>
      </c>
      <c r="C37" s="12">
        <v>10186</v>
      </c>
      <c r="D37" s="12">
        <v>9371</v>
      </c>
      <c r="E37" s="11" t="s">
        <v>71</v>
      </c>
      <c r="F37" s="13" t="s">
        <v>100</v>
      </c>
      <c r="G37" s="14">
        <v>86</v>
      </c>
      <c r="H37" s="11" t="s">
        <v>73</v>
      </c>
      <c r="I37" s="11" t="s">
        <v>282</v>
      </c>
      <c r="J37" s="11" t="s">
        <v>1510</v>
      </c>
      <c r="K37" s="11" t="s">
        <v>76</v>
      </c>
      <c r="L37" s="11" t="s">
        <v>284</v>
      </c>
      <c r="M37" s="5" t="s">
        <v>1511</v>
      </c>
      <c r="N37" s="5" t="s">
        <v>1519</v>
      </c>
      <c r="O37" s="5" t="s">
        <v>1429</v>
      </c>
      <c r="P37" s="5" t="s">
        <v>103</v>
      </c>
      <c r="Q37" s="11" t="s">
        <v>82</v>
      </c>
      <c r="R37" s="11" t="s">
        <v>82</v>
      </c>
      <c r="S37" s="11" t="s">
        <v>82</v>
      </c>
      <c r="T37" s="11" t="s">
        <v>1513</v>
      </c>
      <c r="U37" s="5" t="s">
        <v>1514</v>
      </c>
      <c r="V37" s="11" t="s">
        <v>104</v>
      </c>
      <c r="W37" s="11" t="s">
        <v>105</v>
      </c>
      <c r="X37" s="11" t="s">
        <v>106</v>
      </c>
      <c r="Y37" s="11" t="s">
        <v>1515</v>
      </c>
      <c r="Z37" s="11" t="s">
        <v>1520</v>
      </c>
    </row>
    <row r="38" spans="1:26">
      <c r="A38" s="11" t="s">
        <v>445</v>
      </c>
      <c r="B38" s="11" t="s">
        <v>1509</v>
      </c>
      <c r="C38" s="12">
        <v>2829</v>
      </c>
      <c r="D38" s="12">
        <v>2689</v>
      </c>
      <c r="E38" s="11" t="s">
        <v>71</v>
      </c>
      <c r="F38" s="13" t="s">
        <v>446</v>
      </c>
      <c r="G38" s="14">
        <v>18</v>
      </c>
      <c r="H38" s="11" t="s">
        <v>73</v>
      </c>
      <c r="I38" s="11" t="s">
        <v>282</v>
      </c>
      <c r="J38" s="11" t="s">
        <v>1510</v>
      </c>
      <c r="K38" s="11" t="s">
        <v>447</v>
      </c>
      <c r="L38" s="11" t="s">
        <v>1000</v>
      </c>
      <c r="M38" s="5" t="s">
        <v>1521</v>
      </c>
      <c r="N38" s="5" t="s">
        <v>1522</v>
      </c>
      <c r="O38" s="5" t="s">
        <v>1433</v>
      </c>
      <c r="P38" s="5" t="s">
        <v>452</v>
      </c>
      <c r="Q38" s="11" t="s">
        <v>82</v>
      </c>
      <c r="R38" s="11" t="s">
        <v>82</v>
      </c>
      <c r="S38" s="11" t="s">
        <v>82</v>
      </c>
      <c r="T38" s="11" t="s">
        <v>1513</v>
      </c>
      <c r="U38" s="5" t="s">
        <v>1523</v>
      </c>
      <c r="V38" s="11" t="s">
        <v>454</v>
      </c>
      <c r="W38" s="11" t="s">
        <v>455</v>
      </c>
      <c r="X38" s="11" t="s">
        <v>456</v>
      </c>
      <c r="Y38" s="11" t="s">
        <v>1515</v>
      </c>
      <c r="Z38" s="11" t="s">
        <v>1524</v>
      </c>
    </row>
    <row r="39" spans="1:26">
      <c r="A39" s="11" t="s">
        <v>458</v>
      </c>
      <c r="B39" s="11" t="s">
        <v>1509</v>
      </c>
      <c r="C39" s="12">
        <v>2655</v>
      </c>
      <c r="D39" s="12">
        <v>2436</v>
      </c>
      <c r="E39" s="11" t="s">
        <v>71</v>
      </c>
      <c r="F39" s="13" t="s">
        <v>459</v>
      </c>
      <c r="G39" s="14">
        <v>22</v>
      </c>
      <c r="H39" s="11" t="s">
        <v>73</v>
      </c>
      <c r="I39" s="11" t="s">
        <v>282</v>
      </c>
      <c r="J39" s="11" t="s">
        <v>1510</v>
      </c>
      <c r="K39" s="11" t="s">
        <v>447</v>
      </c>
      <c r="L39" s="11" t="s">
        <v>1000</v>
      </c>
      <c r="M39" s="5" t="s">
        <v>1521</v>
      </c>
      <c r="N39" s="5" t="s">
        <v>1525</v>
      </c>
      <c r="O39" s="5" t="s">
        <v>1437</v>
      </c>
      <c r="P39" s="5" t="s">
        <v>462</v>
      </c>
      <c r="Q39" s="11" t="s">
        <v>82</v>
      </c>
      <c r="R39" s="11" t="s">
        <v>82</v>
      </c>
      <c r="S39" s="11" t="s">
        <v>82</v>
      </c>
      <c r="T39" s="11" t="s">
        <v>1513</v>
      </c>
      <c r="U39" s="5" t="s">
        <v>1523</v>
      </c>
      <c r="V39" s="11" t="s">
        <v>463</v>
      </c>
      <c r="W39" s="11" t="s">
        <v>464</v>
      </c>
      <c r="X39" s="11" t="s">
        <v>465</v>
      </c>
      <c r="Y39" s="11" t="s">
        <v>1515</v>
      </c>
      <c r="Z39" s="11" t="s">
        <v>1526</v>
      </c>
    </row>
    <row r="40" spans="1:26">
      <c r="A40" s="11" t="s">
        <v>467</v>
      </c>
      <c r="B40" s="11" t="s">
        <v>1509</v>
      </c>
      <c r="C40" s="12">
        <v>2547</v>
      </c>
      <c r="D40" s="12">
        <v>2382</v>
      </c>
      <c r="E40" s="11" t="s">
        <v>71</v>
      </c>
      <c r="F40" s="13" t="s">
        <v>468</v>
      </c>
      <c r="G40" s="14">
        <v>22</v>
      </c>
      <c r="H40" s="11" t="s">
        <v>73</v>
      </c>
      <c r="I40" s="11" t="s">
        <v>282</v>
      </c>
      <c r="J40" s="11" t="s">
        <v>1510</v>
      </c>
      <c r="K40" s="11" t="s">
        <v>447</v>
      </c>
      <c r="L40" s="11" t="s">
        <v>1000</v>
      </c>
      <c r="M40" s="5" t="s">
        <v>1521</v>
      </c>
      <c r="N40" s="5" t="s">
        <v>1527</v>
      </c>
      <c r="O40" s="5" t="s">
        <v>1440</v>
      </c>
      <c r="P40" s="5" t="s">
        <v>471</v>
      </c>
      <c r="Q40" s="11" t="s">
        <v>82</v>
      </c>
      <c r="R40" s="11" t="s">
        <v>82</v>
      </c>
      <c r="S40" s="11" t="s">
        <v>82</v>
      </c>
      <c r="T40" s="11" t="s">
        <v>1513</v>
      </c>
      <c r="U40" s="5" t="s">
        <v>1514</v>
      </c>
      <c r="V40" s="11" t="s">
        <v>472</v>
      </c>
      <c r="W40" s="11" t="s">
        <v>473</v>
      </c>
      <c r="X40" s="11" t="s">
        <v>474</v>
      </c>
      <c r="Y40" s="11" t="s">
        <v>1515</v>
      </c>
      <c r="Z40" s="11" t="s">
        <v>1528</v>
      </c>
    </row>
    <row r="41" spans="1:26">
      <c r="A41" s="11" t="s">
        <v>476</v>
      </c>
      <c r="B41" s="11" t="s">
        <v>1509</v>
      </c>
      <c r="C41" s="17">
        <v>2844</v>
      </c>
      <c r="D41" s="17">
        <v>2652</v>
      </c>
      <c r="E41" s="11" t="s">
        <v>71</v>
      </c>
      <c r="F41" s="13" t="s">
        <v>477</v>
      </c>
      <c r="G41" s="18" t="s">
        <v>1012</v>
      </c>
      <c r="H41" s="11" t="s">
        <v>73</v>
      </c>
      <c r="I41" s="11" t="s">
        <v>282</v>
      </c>
      <c r="J41" s="11" t="s">
        <v>1510</v>
      </c>
      <c r="K41" s="11" t="s">
        <v>479</v>
      </c>
      <c r="L41" s="11" t="s">
        <v>284</v>
      </c>
      <c r="M41" s="5" t="s">
        <v>1529</v>
      </c>
      <c r="N41" s="5" t="s">
        <v>1530</v>
      </c>
      <c r="O41" s="5" t="s">
        <v>1015</v>
      </c>
      <c r="P41" s="5" t="s">
        <v>483</v>
      </c>
      <c r="Q41" s="11" t="s">
        <v>82</v>
      </c>
      <c r="R41" s="11" t="s">
        <v>82</v>
      </c>
      <c r="S41" s="11" t="s">
        <v>82</v>
      </c>
      <c r="T41" s="11" t="s">
        <v>1513</v>
      </c>
      <c r="U41" s="5" t="s">
        <v>1514</v>
      </c>
      <c r="V41" s="11" t="s">
        <v>484</v>
      </c>
      <c r="W41" s="11" t="s">
        <v>86</v>
      </c>
      <c r="X41" s="11" t="s">
        <v>87</v>
      </c>
      <c r="Y41" s="11" t="s">
        <v>1515</v>
      </c>
      <c r="Z41" s="11" t="s">
        <v>1531</v>
      </c>
    </row>
    <row r="42" spans="1:26">
      <c r="A42" s="11" t="s">
        <v>486</v>
      </c>
      <c r="B42" s="11" t="s">
        <v>1509</v>
      </c>
      <c r="C42" s="12">
        <v>2864</v>
      </c>
      <c r="D42" s="12">
        <v>2829</v>
      </c>
      <c r="E42" s="11" t="s">
        <v>71</v>
      </c>
      <c r="F42" s="13" t="s">
        <v>487</v>
      </c>
      <c r="G42" s="14">
        <v>17</v>
      </c>
      <c r="H42" s="11" t="s">
        <v>73</v>
      </c>
      <c r="I42" s="11" t="s">
        <v>282</v>
      </c>
      <c r="J42" s="11" t="s">
        <v>1510</v>
      </c>
      <c r="K42" s="11" t="s">
        <v>447</v>
      </c>
      <c r="L42" s="11" t="s">
        <v>1017</v>
      </c>
      <c r="M42" s="5" t="s">
        <v>1521</v>
      </c>
      <c r="N42" s="5" t="s">
        <v>1532</v>
      </c>
      <c r="O42" s="5" t="s">
        <v>80</v>
      </c>
      <c r="P42" s="5" t="s">
        <v>491</v>
      </c>
      <c r="Q42" s="11" t="s">
        <v>82</v>
      </c>
      <c r="R42" s="11" t="s">
        <v>82</v>
      </c>
      <c r="S42" s="11" t="s">
        <v>82</v>
      </c>
      <c r="T42" s="11" t="s">
        <v>1513</v>
      </c>
      <c r="U42" s="5" t="s">
        <v>1514</v>
      </c>
      <c r="V42" s="11" t="s">
        <v>492</v>
      </c>
      <c r="W42" s="11" t="s">
        <v>493</v>
      </c>
      <c r="X42" s="11" t="s">
        <v>494</v>
      </c>
      <c r="Y42" s="11" t="s">
        <v>1515</v>
      </c>
      <c r="Z42" s="11" t="s">
        <v>1533</v>
      </c>
    </row>
    <row r="43" spans="1:26">
      <c r="A43" s="11" t="s">
        <v>496</v>
      </c>
      <c r="B43" s="11" t="s">
        <v>1509</v>
      </c>
      <c r="C43" s="12">
        <v>2734</v>
      </c>
      <c r="D43" s="12">
        <v>2655</v>
      </c>
      <c r="E43" s="11" t="s">
        <v>71</v>
      </c>
      <c r="F43" s="13" t="s">
        <v>497</v>
      </c>
      <c r="G43" s="14">
        <v>20</v>
      </c>
      <c r="H43" s="11" t="s">
        <v>73</v>
      </c>
      <c r="I43" s="11" t="s">
        <v>282</v>
      </c>
      <c r="J43" s="11" t="s">
        <v>1510</v>
      </c>
      <c r="K43" s="11" t="s">
        <v>447</v>
      </c>
      <c r="L43" s="11" t="s">
        <v>1017</v>
      </c>
      <c r="M43" s="5" t="s">
        <v>1521</v>
      </c>
      <c r="N43" s="5" t="s">
        <v>1534</v>
      </c>
      <c r="O43" s="5" t="s">
        <v>1448</v>
      </c>
      <c r="P43" s="5" t="s">
        <v>500</v>
      </c>
      <c r="Q43" s="11" t="s">
        <v>82</v>
      </c>
      <c r="R43" s="11" t="s">
        <v>82</v>
      </c>
      <c r="S43" s="11" t="s">
        <v>82</v>
      </c>
      <c r="T43" s="11" t="s">
        <v>1513</v>
      </c>
      <c r="U43" s="5" t="s">
        <v>1514</v>
      </c>
      <c r="V43" s="11" t="s">
        <v>501</v>
      </c>
      <c r="W43" s="11" t="s">
        <v>502</v>
      </c>
      <c r="X43" s="11" t="s">
        <v>503</v>
      </c>
      <c r="Y43" s="11" t="s">
        <v>1515</v>
      </c>
      <c r="Z43" s="11" t="s">
        <v>1535</v>
      </c>
    </row>
    <row r="44" spans="1:26">
      <c r="A44" s="11" t="s">
        <v>505</v>
      </c>
      <c r="B44" s="11" t="s">
        <v>1509</v>
      </c>
      <c r="C44" s="12">
        <v>2521</v>
      </c>
      <c r="D44" s="12">
        <v>2547</v>
      </c>
      <c r="E44" s="11" t="s">
        <v>71</v>
      </c>
      <c r="F44" s="13" t="s">
        <v>506</v>
      </c>
      <c r="G44" s="14">
        <v>20</v>
      </c>
      <c r="H44" s="11" t="s">
        <v>73</v>
      </c>
      <c r="I44" s="11" t="s">
        <v>282</v>
      </c>
      <c r="J44" s="11" t="s">
        <v>1510</v>
      </c>
      <c r="K44" s="11" t="s">
        <v>447</v>
      </c>
      <c r="L44" s="11" t="s">
        <v>1017</v>
      </c>
      <c r="M44" s="5" t="s">
        <v>1521</v>
      </c>
      <c r="N44" s="5" t="s">
        <v>1536</v>
      </c>
      <c r="O44" s="5" t="s">
        <v>1451</v>
      </c>
      <c r="P44" s="5" t="s">
        <v>509</v>
      </c>
      <c r="Q44" s="11" t="s">
        <v>82</v>
      </c>
      <c r="R44" s="11" t="s">
        <v>82</v>
      </c>
      <c r="S44" s="11" t="s">
        <v>82</v>
      </c>
      <c r="T44" s="11" t="s">
        <v>1513</v>
      </c>
      <c r="U44" s="5" t="s">
        <v>1514</v>
      </c>
      <c r="V44" s="11" t="s">
        <v>510</v>
      </c>
      <c r="W44" s="11" t="s">
        <v>511</v>
      </c>
      <c r="X44" s="11" t="s">
        <v>512</v>
      </c>
      <c r="Y44" s="11" t="s">
        <v>1515</v>
      </c>
      <c r="Z44" s="11" t="s">
        <v>1537</v>
      </c>
    </row>
    <row r="45" spans="1:26">
      <c r="A45" s="11" t="s">
        <v>514</v>
      </c>
      <c r="B45" s="11" t="s">
        <v>1509</v>
      </c>
      <c r="C45" s="17">
        <v>1252</v>
      </c>
      <c r="D45" s="17">
        <v>2844</v>
      </c>
      <c r="E45" s="11" t="s">
        <v>71</v>
      </c>
      <c r="F45" s="13" t="s">
        <v>515</v>
      </c>
      <c r="G45" s="18" t="s">
        <v>1026</v>
      </c>
      <c r="H45" s="11" t="s">
        <v>73</v>
      </c>
      <c r="I45" s="11" t="s">
        <v>282</v>
      </c>
      <c r="J45" s="11" t="s">
        <v>1510</v>
      </c>
      <c r="K45" s="11" t="s">
        <v>479</v>
      </c>
      <c r="L45" s="11" t="s">
        <v>284</v>
      </c>
      <c r="M45" s="5" t="s">
        <v>1538</v>
      </c>
      <c r="N45" s="5" t="s">
        <v>1539</v>
      </c>
      <c r="O45" s="5" t="s">
        <v>1015</v>
      </c>
      <c r="P45" s="5" t="s">
        <v>520</v>
      </c>
      <c r="Q45" s="11" t="s">
        <v>82</v>
      </c>
      <c r="R45" s="11" t="s">
        <v>82</v>
      </c>
      <c r="S45" s="11" t="s">
        <v>82</v>
      </c>
      <c r="T45" s="11" t="s">
        <v>1513</v>
      </c>
      <c r="U45" s="5" t="s">
        <v>1514</v>
      </c>
      <c r="V45" s="11" t="s">
        <v>521</v>
      </c>
      <c r="W45" s="11" t="s">
        <v>96</v>
      </c>
      <c r="X45" s="11" t="s">
        <v>97</v>
      </c>
      <c r="Y45" s="11" t="s">
        <v>1515</v>
      </c>
      <c r="Z45" s="11" t="s">
        <v>1540</v>
      </c>
    </row>
    <row r="46" spans="1:26">
      <c r="A46" s="11" t="s">
        <v>523</v>
      </c>
      <c r="B46" s="11" t="s">
        <v>1509</v>
      </c>
      <c r="C46" s="12">
        <v>2719</v>
      </c>
      <c r="D46" s="12">
        <v>2864</v>
      </c>
      <c r="E46" s="11" t="s">
        <v>71</v>
      </c>
      <c r="F46" s="13" t="s">
        <v>524</v>
      </c>
      <c r="G46" s="14">
        <v>17</v>
      </c>
      <c r="H46" s="11" t="s">
        <v>73</v>
      </c>
      <c r="I46" s="11" t="s">
        <v>282</v>
      </c>
      <c r="J46" s="11" t="s">
        <v>1510</v>
      </c>
      <c r="K46" s="11" t="s">
        <v>447</v>
      </c>
      <c r="L46" s="11" t="s">
        <v>1017</v>
      </c>
      <c r="M46" s="5" t="s">
        <v>1521</v>
      </c>
      <c r="N46" s="5" t="s">
        <v>1541</v>
      </c>
      <c r="O46" s="5" t="s">
        <v>1457</v>
      </c>
      <c r="P46" s="5" t="s">
        <v>527</v>
      </c>
      <c r="Q46" s="11" t="s">
        <v>82</v>
      </c>
      <c r="R46" s="11" t="s">
        <v>82</v>
      </c>
      <c r="S46" s="11" t="s">
        <v>82</v>
      </c>
      <c r="T46" s="11" t="s">
        <v>1513</v>
      </c>
      <c r="U46" s="5" t="s">
        <v>1514</v>
      </c>
      <c r="V46" s="11" t="s">
        <v>528</v>
      </c>
      <c r="W46" s="11" t="s">
        <v>529</v>
      </c>
      <c r="X46" s="11" t="s">
        <v>530</v>
      </c>
      <c r="Y46" s="11" t="s">
        <v>1515</v>
      </c>
      <c r="Z46" s="11" t="s">
        <v>1542</v>
      </c>
    </row>
    <row r="47" spans="1:26">
      <c r="A47" s="11" t="s">
        <v>532</v>
      </c>
      <c r="B47" s="11" t="s">
        <v>1509</v>
      </c>
      <c r="C47" s="12">
        <v>2354</v>
      </c>
      <c r="D47" s="12">
        <v>2734</v>
      </c>
      <c r="E47" s="11" t="s">
        <v>71</v>
      </c>
      <c r="F47" s="13" t="s">
        <v>533</v>
      </c>
      <c r="G47" s="14">
        <v>19</v>
      </c>
      <c r="H47" s="11" t="s">
        <v>73</v>
      </c>
      <c r="I47" s="11" t="s">
        <v>282</v>
      </c>
      <c r="J47" s="11" t="s">
        <v>1510</v>
      </c>
      <c r="K47" s="11" t="s">
        <v>447</v>
      </c>
      <c r="L47" s="11" t="s">
        <v>1017</v>
      </c>
      <c r="M47" s="5" t="s">
        <v>1521</v>
      </c>
      <c r="N47" s="5" t="s">
        <v>1543</v>
      </c>
      <c r="O47" s="5" t="s">
        <v>1460</v>
      </c>
      <c r="P47" s="5" t="s">
        <v>536</v>
      </c>
      <c r="Q47" s="11" t="s">
        <v>82</v>
      </c>
      <c r="R47" s="11" t="s">
        <v>82</v>
      </c>
      <c r="S47" s="11" t="s">
        <v>82</v>
      </c>
      <c r="T47" s="11" t="s">
        <v>1513</v>
      </c>
      <c r="U47" s="5" t="s">
        <v>1514</v>
      </c>
      <c r="V47" s="11" t="s">
        <v>537</v>
      </c>
      <c r="W47" s="11" t="s">
        <v>538</v>
      </c>
      <c r="X47" s="11" t="s">
        <v>539</v>
      </c>
      <c r="Y47" s="11" t="s">
        <v>1515</v>
      </c>
      <c r="Z47" s="11" t="s">
        <v>1544</v>
      </c>
    </row>
    <row r="48" spans="1:26">
      <c r="A48" s="11" t="s">
        <v>541</v>
      </c>
      <c r="B48" s="11" t="s">
        <v>1509</v>
      </c>
      <c r="C48" s="12">
        <v>1894</v>
      </c>
      <c r="D48" s="12">
        <v>2521</v>
      </c>
      <c r="E48" s="11" t="s">
        <v>71</v>
      </c>
      <c r="F48" s="13" t="s">
        <v>542</v>
      </c>
      <c r="G48" s="14">
        <v>19</v>
      </c>
      <c r="H48" s="11" t="s">
        <v>73</v>
      </c>
      <c r="I48" s="11" t="s">
        <v>282</v>
      </c>
      <c r="J48" s="11" t="s">
        <v>1510</v>
      </c>
      <c r="K48" s="11" t="s">
        <v>447</v>
      </c>
      <c r="L48" s="11" t="s">
        <v>1017</v>
      </c>
      <c r="M48" s="5" t="s">
        <v>1521</v>
      </c>
      <c r="N48" s="5" t="s">
        <v>1545</v>
      </c>
      <c r="O48" s="5" t="s">
        <v>1463</v>
      </c>
      <c r="P48" s="5" t="s">
        <v>545</v>
      </c>
      <c r="Q48" s="11" t="s">
        <v>82</v>
      </c>
      <c r="R48" s="11" t="s">
        <v>82</v>
      </c>
      <c r="S48" s="11" t="s">
        <v>82</v>
      </c>
      <c r="T48" s="11" t="s">
        <v>1513</v>
      </c>
      <c r="U48" s="5" t="s">
        <v>1514</v>
      </c>
      <c r="V48" s="11" t="s">
        <v>546</v>
      </c>
      <c r="W48" s="11" t="s">
        <v>547</v>
      </c>
      <c r="X48" s="11" t="s">
        <v>548</v>
      </c>
      <c r="Y48" s="11" t="s">
        <v>1515</v>
      </c>
      <c r="Z48" s="11" t="s">
        <v>1546</v>
      </c>
    </row>
    <row r="49" spans="1:26">
      <c r="A49" s="11" t="s">
        <v>550</v>
      </c>
      <c r="B49" s="11" t="s">
        <v>1509</v>
      </c>
      <c r="C49" s="17">
        <v>3219</v>
      </c>
      <c r="D49" s="17">
        <v>1252</v>
      </c>
      <c r="E49" s="11" t="s">
        <v>71</v>
      </c>
      <c r="F49" s="13" t="s">
        <v>551</v>
      </c>
      <c r="G49" s="18" t="s">
        <v>1038</v>
      </c>
      <c r="H49" s="11" t="s">
        <v>73</v>
      </c>
      <c r="I49" s="11" t="s">
        <v>282</v>
      </c>
      <c r="J49" s="11" t="s">
        <v>1510</v>
      </c>
      <c r="K49" s="11" t="s">
        <v>479</v>
      </c>
      <c r="L49" s="11" t="s">
        <v>284</v>
      </c>
      <c r="M49" s="5" t="s">
        <v>1547</v>
      </c>
      <c r="N49" s="5" t="s">
        <v>1548</v>
      </c>
      <c r="O49" s="5" t="s">
        <v>1015</v>
      </c>
      <c r="P49" s="5" t="s">
        <v>556</v>
      </c>
      <c r="Q49" s="11" t="s">
        <v>82</v>
      </c>
      <c r="R49" s="11" t="s">
        <v>82</v>
      </c>
      <c r="S49" s="11" t="s">
        <v>82</v>
      </c>
      <c r="T49" s="11" t="s">
        <v>1513</v>
      </c>
      <c r="U49" s="5" t="s">
        <v>1514</v>
      </c>
      <c r="V49" s="11" t="s">
        <v>557</v>
      </c>
      <c r="W49" s="11" t="s">
        <v>105</v>
      </c>
      <c r="X49" s="11" t="s">
        <v>106</v>
      </c>
      <c r="Y49" s="11" t="s">
        <v>1515</v>
      </c>
      <c r="Z49" s="11" t="s">
        <v>1549</v>
      </c>
    </row>
    <row r="50" spans="1:26">
      <c r="A50" s="11" t="s">
        <v>69</v>
      </c>
      <c r="B50" s="11" t="s">
        <v>1550</v>
      </c>
      <c r="C50" s="12">
        <v>3925</v>
      </c>
      <c r="D50" s="12">
        <v>3600</v>
      </c>
      <c r="E50" s="11" t="s">
        <v>71</v>
      </c>
      <c r="F50" s="13" t="s">
        <v>72</v>
      </c>
      <c r="G50" s="14">
        <v>82</v>
      </c>
      <c r="H50" s="11" t="s">
        <v>73</v>
      </c>
      <c r="I50" s="11" t="s">
        <v>282</v>
      </c>
      <c r="J50" s="11" t="s">
        <v>1418</v>
      </c>
      <c r="K50" s="11" t="s">
        <v>76</v>
      </c>
      <c r="L50" s="11" t="s">
        <v>1551</v>
      </c>
      <c r="M50" s="5" t="s">
        <v>1552</v>
      </c>
      <c r="N50" s="5" t="s">
        <v>1553</v>
      </c>
      <c r="O50" s="5" t="s">
        <v>1554</v>
      </c>
      <c r="P50" s="5" t="s">
        <v>81</v>
      </c>
      <c r="Q50" s="11" t="s">
        <v>82</v>
      </c>
      <c r="R50" s="11" t="s">
        <v>82</v>
      </c>
      <c r="S50" s="11" t="s">
        <v>82</v>
      </c>
      <c r="T50" s="11" t="s">
        <v>1555</v>
      </c>
      <c r="U50" s="5" t="s">
        <v>1556</v>
      </c>
      <c r="V50" s="11" t="s">
        <v>85</v>
      </c>
      <c r="W50" s="11" t="s">
        <v>86</v>
      </c>
      <c r="X50" s="11" t="s">
        <v>87</v>
      </c>
      <c r="Y50" s="11" t="s">
        <v>1557</v>
      </c>
      <c r="Z50" s="11" t="s">
        <v>1558</v>
      </c>
    </row>
    <row r="51" spans="1:26">
      <c r="A51" s="11" t="s">
        <v>90</v>
      </c>
      <c r="B51" s="11" t="s">
        <v>1550</v>
      </c>
      <c r="C51" s="12">
        <v>2899</v>
      </c>
      <c r="D51" s="12">
        <v>3925</v>
      </c>
      <c r="E51" s="11" t="s">
        <v>71</v>
      </c>
      <c r="F51" s="13" t="s">
        <v>91</v>
      </c>
      <c r="G51" s="14">
        <v>90</v>
      </c>
      <c r="H51" s="11" t="s">
        <v>73</v>
      </c>
      <c r="I51" s="11" t="s">
        <v>282</v>
      </c>
      <c r="J51" s="11" t="s">
        <v>1418</v>
      </c>
      <c r="K51" s="11" t="s">
        <v>76</v>
      </c>
      <c r="L51" s="11" t="s">
        <v>1551</v>
      </c>
      <c r="M51" s="5" t="s">
        <v>1552</v>
      </c>
      <c r="N51" s="5" t="s">
        <v>1559</v>
      </c>
      <c r="O51" s="5" t="s">
        <v>1560</v>
      </c>
      <c r="P51" s="5" t="s">
        <v>94</v>
      </c>
      <c r="Q51" s="11" t="s">
        <v>82</v>
      </c>
      <c r="R51" s="11" t="s">
        <v>82</v>
      </c>
      <c r="S51" s="11" t="s">
        <v>82</v>
      </c>
      <c r="T51" s="11" t="s">
        <v>1555</v>
      </c>
      <c r="U51" s="5" t="s">
        <v>1556</v>
      </c>
      <c r="V51" s="11" t="s">
        <v>95</v>
      </c>
      <c r="W51" s="11" t="s">
        <v>96</v>
      </c>
      <c r="X51" s="11" t="s">
        <v>97</v>
      </c>
      <c r="Y51" s="11" t="s">
        <v>1557</v>
      </c>
      <c r="Z51" s="11" t="s">
        <v>1561</v>
      </c>
    </row>
    <row r="52" spans="1:26">
      <c r="A52" s="11" t="s">
        <v>99</v>
      </c>
      <c r="B52" s="11" t="s">
        <v>1550</v>
      </c>
      <c r="C52" s="12">
        <v>5089</v>
      </c>
      <c r="D52" s="12">
        <v>2899</v>
      </c>
      <c r="E52" s="11" t="s">
        <v>71</v>
      </c>
      <c r="F52" s="13" t="s">
        <v>100</v>
      </c>
      <c r="G52" s="14">
        <v>89</v>
      </c>
      <c r="H52" s="11" t="s">
        <v>73</v>
      </c>
      <c r="I52" s="11" t="s">
        <v>282</v>
      </c>
      <c r="J52" s="11" t="s">
        <v>1418</v>
      </c>
      <c r="K52" s="11" t="s">
        <v>76</v>
      </c>
      <c r="L52" s="11" t="s">
        <v>1551</v>
      </c>
      <c r="M52" s="5" t="s">
        <v>1552</v>
      </c>
      <c r="N52" s="5" t="s">
        <v>1562</v>
      </c>
      <c r="O52" s="5" t="s">
        <v>1563</v>
      </c>
      <c r="P52" s="5" t="s">
        <v>103</v>
      </c>
      <c r="Q52" s="11" t="s">
        <v>82</v>
      </c>
      <c r="R52" s="11" t="s">
        <v>82</v>
      </c>
      <c r="S52" s="11" t="s">
        <v>82</v>
      </c>
      <c r="T52" s="11" t="s">
        <v>1555</v>
      </c>
      <c r="U52" s="5" t="s">
        <v>1556</v>
      </c>
      <c r="V52" s="11" t="s">
        <v>104</v>
      </c>
      <c r="W52" s="11" t="s">
        <v>105</v>
      </c>
      <c r="X52" s="11" t="s">
        <v>106</v>
      </c>
      <c r="Y52" s="11" t="s">
        <v>1557</v>
      </c>
      <c r="Z52" s="11" t="s">
        <v>1564</v>
      </c>
    </row>
    <row r="53" spans="1:26">
      <c r="A53" s="11" t="s">
        <v>69</v>
      </c>
      <c r="B53" s="11" t="s">
        <v>1565</v>
      </c>
      <c r="C53" s="12">
        <v>9812</v>
      </c>
      <c r="D53" s="12">
        <v>9242</v>
      </c>
      <c r="E53" s="11" t="s">
        <v>71</v>
      </c>
      <c r="F53" s="13" t="s">
        <v>72</v>
      </c>
      <c r="G53" s="14">
        <v>80</v>
      </c>
      <c r="H53" s="11" t="s">
        <v>73</v>
      </c>
      <c r="I53" s="11" t="s">
        <v>282</v>
      </c>
      <c r="J53" s="11" t="s">
        <v>1566</v>
      </c>
      <c r="K53" s="11" t="s">
        <v>76</v>
      </c>
      <c r="L53" s="11" t="s">
        <v>284</v>
      </c>
      <c r="M53" s="5" t="s">
        <v>1567</v>
      </c>
      <c r="N53" s="5" t="s">
        <v>1568</v>
      </c>
      <c r="O53" s="5" t="s">
        <v>102</v>
      </c>
      <c r="P53" s="5" t="s">
        <v>81</v>
      </c>
      <c r="Q53" s="11" t="s">
        <v>82</v>
      </c>
      <c r="R53" s="11" t="s">
        <v>82</v>
      </c>
      <c r="S53" s="11" t="s">
        <v>82</v>
      </c>
      <c r="T53" s="11" t="s">
        <v>1569</v>
      </c>
      <c r="U53" s="5" t="s">
        <v>1570</v>
      </c>
      <c r="V53" s="11" t="s">
        <v>85</v>
      </c>
      <c r="W53" s="11" t="s">
        <v>86</v>
      </c>
      <c r="X53" s="11" t="s">
        <v>87</v>
      </c>
      <c r="Y53" s="11" t="s">
        <v>1571</v>
      </c>
      <c r="Z53" s="11" t="s">
        <v>1572</v>
      </c>
    </row>
    <row r="54" spans="1:26">
      <c r="A54" s="11" t="s">
        <v>90</v>
      </c>
      <c r="B54" s="11" t="s">
        <v>1565</v>
      </c>
      <c r="C54" s="12">
        <v>9347</v>
      </c>
      <c r="D54" s="12">
        <v>9812</v>
      </c>
      <c r="E54" s="11" t="s">
        <v>71</v>
      </c>
      <c r="F54" s="13" t="s">
        <v>91</v>
      </c>
      <c r="G54" s="14">
        <v>88</v>
      </c>
      <c r="H54" s="11" t="s">
        <v>73</v>
      </c>
      <c r="I54" s="11" t="s">
        <v>282</v>
      </c>
      <c r="J54" s="11" t="s">
        <v>1566</v>
      </c>
      <c r="K54" s="11" t="s">
        <v>76</v>
      </c>
      <c r="L54" s="11" t="s">
        <v>284</v>
      </c>
      <c r="M54" s="5" t="s">
        <v>1567</v>
      </c>
      <c r="N54" s="5" t="s">
        <v>1573</v>
      </c>
      <c r="O54" s="5" t="s">
        <v>1429</v>
      </c>
      <c r="P54" s="5" t="s">
        <v>94</v>
      </c>
      <c r="Q54" s="11" t="s">
        <v>82</v>
      </c>
      <c r="R54" s="11" t="s">
        <v>82</v>
      </c>
      <c r="S54" s="11" t="s">
        <v>82</v>
      </c>
      <c r="T54" s="11" t="s">
        <v>1569</v>
      </c>
      <c r="U54" s="5" t="s">
        <v>1570</v>
      </c>
      <c r="V54" s="11" t="s">
        <v>95</v>
      </c>
      <c r="W54" s="11" t="s">
        <v>96</v>
      </c>
      <c r="X54" s="11" t="s">
        <v>97</v>
      </c>
      <c r="Y54" s="11" t="s">
        <v>1571</v>
      </c>
      <c r="Z54" s="11" t="s">
        <v>1574</v>
      </c>
    </row>
    <row r="55" spans="1:26">
      <c r="A55" s="11" t="s">
        <v>99</v>
      </c>
      <c r="B55" s="11" t="s">
        <v>1565</v>
      </c>
      <c r="C55" s="12">
        <v>11456</v>
      </c>
      <c r="D55" s="12">
        <v>9347</v>
      </c>
      <c r="E55" s="11" t="s">
        <v>71</v>
      </c>
      <c r="F55" s="13" t="s">
        <v>100</v>
      </c>
      <c r="G55" s="14">
        <v>86</v>
      </c>
      <c r="H55" s="11" t="s">
        <v>73</v>
      </c>
      <c r="I55" s="11" t="s">
        <v>282</v>
      </c>
      <c r="J55" s="11" t="s">
        <v>1566</v>
      </c>
      <c r="K55" s="11" t="s">
        <v>76</v>
      </c>
      <c r="L55" s="11" t="s">
        <v>284</v>
      </c>
      <c r="M55" s="5" t="s">
        <v>1567</v>
      </c>
      <c r="N55" s="5" t="s">
        <v>1575</v>
      </c>
      <c r="O55" s="5" t="s">
        <v>1576</v>
      </c>
      <c r="P55" s="5" t="s">
        <v>103</v>
      </c>
      <c r="Q55" s="11" t="s">
        <v>82</v>
      </c>
      <c r="R55" s="11" t="s">
        <v>82</v>
      </c>
      <c r="S55" s="11" t="s">
        <v>82</v>
      </c>
      <c r="T55" s="11" t="s">
        <v>1569</v>
      </c>
      <c r="U55" s="5" t="s">
        <v>1570</v>
      </c>
      <c r="V55" s="11" t="s">
        <v>104</v>
      </c>
      <c r="W55" s="11" t="s">
        <v>105</v>
      </c>
      <c r="X55" s="11" t="s">
        <v>106</v>
      </c>
      <c r="Y55" s="11" t="s">
        <v>1571</v>
      </c>
      <c r="Z55" s="11" t="s">
        <v>1577</v>
      </c>
    </row>
    <row r="56" spans="1:26">
      <c r="A56" s="11" t="s">
        <v>445</v>
      </c>
      <c r="B56" s="11" t="s">
        <v>1565</v>
      </c>
      <c r="C56" s="12">
        <v>2607</v>
      </c>
      <c r="D56" s="12">
        <v>2344</v>
      </c>
      <c r="E56" s="11" t="s">
        <v>71</v>
      </c>
      <c r="F56" s="13" t="s">
        <v>446</v>
      </c>
      <c r="G56" s="14">
        <v>18</v>
      </c>
      <c r="H56" s="11" t="s">
        <v>73</v>
      </c>
      <c r="I56" s="11" t="s">
        <v>282</v>
      </c>
      <c r="J56" s="11" t="s">
        <v>1566</v>
      </c>
      <c r="K56" s="11" t="s">
        <v>447</v>
      </c>
      <c r="L56" s="11" t="s">
        <v>1000</v>
      </c>
      <c r="M56" s="5" t="s">
        <v>1578</v>
      </c>
      <c r="N56" s="5" t="s">
        <v>1579</v>
      </c>
      <c r="O56" s="5" t="s">
        <v>80</v>
      </c>
      <c r="P56" s="5" t="s">
        <v>452</v>
      </c>
      <c r="Q56" s="11" t="s">
        <v>82</v>
      </c>
      <c r="R56" s="11" t="s">
        <v>82</v>
      </c>
      <c r="S56" s="11" t="s">
        <v>82</v>
      </c>
      <c r="T56" s="11" t="s">
        <v>1569</v>
      </c>
      <c r="U56" s="5" t="s">
        <v>1580</v>
      </c>
      <c r="V56" s="11" t="s">
        <v>454</v>
      </c>
      <c r="W56" s="11" t="s">
        <v>455</v>
      </c>
      <c r="X56" s="11" t="s">
        <v>456</v>
      </c>
      <c r="Y56" s="11" t="s">
        <v>1571</v>
      </c>
      <c r="Z56" s="11" t="s">
        <v>1581</v>
      </c>
    </row>
    <row r="57" spans="1:26">
      <c r="A57" s="11" t="s">
        <v>458</v>
      </c>
      <c r="B57" s="11" t="s">
        <v>1565</v>
      </c>
      <c r="C57" s="12">
        <v>2313</v>
      </c>
      <c r="D57" s="12">
        <v>2133</v>
      </c>
      <c r="E57" s="11" t="s">
        <v>71</v>
      </c>
      <c r="F57" s="13" t="s">
        <v>459</v>
      </c>
      <c r="G57" s="14">
        <v>22</v>
      </c>
      <c r="H57" s="11" t="s">
        <v>73</v>
      </c>
      <c r="I57" s="11" t="s">
        <v>282</v>
      </c>
      <c r="J57" s="11" t="s">
        <v>1566</v>
      </c>
      <c r="K57" s="11" t="s">
        <v>447</v>
      </c>
      <c r="L57" s="11" t="s">
        <v>1000</v>
      </c>
      <c r="M57" s="5" t="s">
        <v>1578</v>
      </c>
      <c r="N57" s="5" t="s">
        <v>1582</v>
      </c>
      <c r="O57" s="5" t="s">
        <v>1583</v>
      </c>
      <c r="P57" s="5" t="s">
        <v>462</v>
      </c>
      <c r="Q57" s="11" t="s">
        <v>82</v>
      </c>
      <c r="R57" s="11" t="s">
        <v>82</v>
      </c>
      <c r="S57" s="11" t="s">
        <v>82</v>
      </c>
      <c r="T57" s="11" t="s">
        <v>1569</v>
      </c>
      <c r="U57" s="5" t="s">
        <v>1580</v>
      </c>
      <c r="V57" s="11" t="s">
        <v>463</v>
      </c>
      <c r="W57" s="11" t="s">
        <v>464</v>
      </c>
      <c r="X57" s="11" t="s">
        <v>465</v>
      </c>
      <c r="Y57" s="11" t="s">
        <v>1571</v>
      </c>
      <c r="Z57" s="11" t="s">
        <v>1584</v>
      </c>
    </row>
    <row r="58" spans="1:26">
      <c r="A58" s="11" t="s">
        <v>467</v>
      </c>
      <c r="B58" s="11" t="s">
        <v>1565</v>
      </c>
      <c r="C58" s="12">
        <v>2435</v>
      </c>
      <c r="D58" s="12">
        <v>2299</v>
      </c>
      <c r="E58" s="11" t="s">
        <v>71</v>
      </c>
      <c r="F58" s="13" t="s">
        <v>468</v>
      </c>
      <c r="G58" s="14">
        <v>22</v>
      </c>
      <c r="H58" s="11" t="s">
        <v>73</v>
      </c>
      <c r="I58" s="11" t="s">
        <v>282</v>
      </c>
      <c r="J58" s="11" t="s">
        <v>1566</v>
      </c>
      <c r="K58" s="11" t="s">
        <v>447</v>
      </c>
      <c r="L58" s="11" t="s">
        <v>1000</v>
      </c>
      <c r="M58" s="5" t="s">
        <v>1578</v>
      </c>
      <c r="N58" s="5" t="s">
        <v>1585</v>
      </c>
      <c r="O58" s="5" t="s">
        <v>1586</v>
      </c>
      <c r="P58" s="5" t="s">
        <v>471</v>
      </c>
      <c r="Q58" s="11" t="s">
        <v>82</v>
      </c>
      <c r="R58" s="11" t="s">
        <v>82</v>
      </c>
      <c r="S58" s="11" t="s">
        <v>82</v>
      </c>
      <c r="T58" s="11" t="s">
        <v>1569</v>
      </c>
      <c r="U58" s="5" t="s">
        <v>1570</v>
      </c>
      <c r="V58" s="11" t="s">
        <v>472</v>
      </c>
      <c r="W58" s="11" t="s">
        <v>473</v>
      </c>
      <c r="X58" s="11" t="s">
        <v>474</v>
      </c>
      <c r="Y58" s="11" t="s">
        <v>1571</v>
      </c>
      <c r="Z58" s="11" t="s">
        <v>1587</v>
      </c>
    </row>
    <row r="59" spans="1:26">
      <c r="A59" s="11" t="s">
        <v>476</v>
      </c>
      <c r="B59" s="11" t="s">
        <v>1565</v>
      </c>
      <c r="C59" s="17">
        <v>2457</v>
      </c>
      <c r="D59" s="17">
        <v>2466</v>
      </c>
      <c r="E59" s="11" t="s">
        <v>71</v>
      </c>
      <c r="F59" s="13" t="s">
        <v>477</v>
      </c>
      <c r="G59" s="18" t="s">
        <v>1012</v>
      </c>
      <c r="H59" s="11" t="s">
        <v>73</v>
      </c>
      <c r="I59" s="11" t="s">
        <v>282</v>
      </c>
      <c r="J59" s="11" t="s">
        <v>1566</v>
      </c>
      <c r="K59" s="11" t="s">
        <v>479</v>
      </c>
      <c r="L59" s="11" t="s">
        <v>284</v>
      </c>
      <c r="M59" s="5" t="s">
        <v>1588</v>
      </c>
      <c r="N59" s="5" t="s">
        <v>1589</v>
      </c>
      <c r="O59" s="5" t="s">
        <v>571</v>
      </c>
      <c r="P59" s="5" t="s">
        <v>483</v>
      </c>
      <c r="Q59" s="11" t="s">
        <v>82</v>
      </c>
      <c r="R59" s="11" t="s">
        <v>82</v>
      </c>
      <c r="S59" s="11" t="s">
        <v>82</v>
      </c>
      <c r="T59" s="11" t="s">
        <v>1569</v>
      </c>
      <c r="U59" s="5" t="s">
        <v>1570</v>
      </c>
      <c r="V59" s="11" t="s">
        <v>484</v>
      </c>
      <c r="W59" s="11" t="s">
        <v>86</v>
      </c>
      <c r="X59" s="11" t="s">
        <v>87</v>
      </c>
      <c r="Y59" s="11" t="s">
        <v>1571</v>
      </c>
      <c r="Z59" s="11" t="s">
        <v>1590</v>
      </c>
    </row>
    <row r="60" spans="1:26">
      <c r="A60" s="11" t="s">
        <v>486</v>
      </c>
      <c r="B60" s="11" t="s">
        <v>1565</v>
      </c>
      <c r="C60" s="12">
        <v>2773</v>
      </c>
      <c r="D60" s="12">
        <v>2607</v>
      </c>
      <c r="E60" s="11" t="s">
        <v>71</v>
      </c>
      <c r="F60" s="13" t="s">
        <v>487</v>
      </c>
      <c r="G60" s="14">
        <v>17</v>
      </c>
      <c r="H60" s="11" t="s">
        <v>73</v>
      </c>
      <c r="I60" s="11" t="s">
        <v>282</v>
      </c>
      <c r="J60" s="11" t="s">
        <v>1566</v>
      </c>
      <c r="K60" s="11" t="s">
        <v>447</v>
      </c>
      <c r="L60" s="11" t="s">
        <v>1017</v>
      </c>
      <c r="M60" s="5" t="s">
        <v>1578</v>
      </c>
      <c r="N60" s="5" t="s">
        <v>1591</v>
      </c>
      <c r="O60" s="5" t="s">
        <v>1457</v>
      </c>
      <c r="P60" s="5" t="s">
        <v>491</v>
      </c>
      <c r="Q60" s="11" t="s">
        <v>82</v>
      </c>
      <c r="R60" s="11" t="s">
        <v>82</v>
      </c>
      <c r="S60" s="11" t="s">
        <v>82</v>
      </c>
      <c r="T60" s="11" t="s">
        <v>1569</v>
      </c>
      <c r="U60" s="5" t="s">
        <v>1570</v>
      </c>
      <c r="V60" s="11" t="s">
        <v>492</v>
      </c>
      <c r="W60" s="11" t="s">
        <v>493</v>
      </c>
      <c r="X60" s="11" t="s">
        <v>494</v>
      </c>
      <c r="Y60" s="11" t="s">
        <v>1571</v>
      </c>
      <c r="Z60" s="11" t="s">
        <v>1592</v>
      </c>
    </row>
    <row r="61" spans="1:26">
      <c r="A61" s="11" t="s">
        <v>496</v>
      </c>
      <c r="B61" s="11" t="s">
        <v>1565</v>
      </c>
      <c r="C61" s="12">
        <v>2537</v>
      </c>
      <c r="D61" s="12">
        <v>2313</v>
      </c>
      <c r="E61" s="11" t="s">
        <v>71</v>
      </c>
      <c r="F61" s="13" t="s">
        <v>497</v>
      </c>
      <c r="G61" s="14">
        <v>20</v>
      </c>
      <c r="H61" s="11" t="s">
        <v>73</v>
      </c>
      <c r="I61" s="11" t="s">
        <v>282</v>
      </c>
      <c r="J61" s="11" t="s">
        <v>1566</v>
      </c>
      <c r="K61" s="11" t="s">
        <v>447</v>
      </c>
      <c r="L61" s="11" t="s">
        <v>1017</v>
      </c>
      <c r="M61" s="5" t="s">
        <v>1578</v>
      </c>
      <c r="N61" s="5" t="s">
        <v>1593</v>
      </c>
      <c r="O61" s="5" t="s">
        <v>1594</v>
      </c>
      <c r="P61" s="5" t="s">
        <v>500</v>
      </c>
      <c r="Q61" s="11" t="s">
        <v>82</v>
      </c>
      <c r="R61" s="11" t="s">
        <v>82</v>
      </c>
      <c r="S61" s="11" t="s">
        <v>82</v>
      </c>
      <c r="T61" s="11" t="s">
        <v>1569</v>
      </c>
      <c r="U61" s="5" t="s">
        <v>1570</v>
      </c>
      <c r="V61" s="11" t="s">
        <v>501</v>
      </c>
      <c r="W61" s="11" t="s">
        <v>502</v>
      </c>
      <c r="X61" s="11" t="s">
        <v>503</v>
      </c>
      <c r="Y61" s="11" t="s">
        <v>1571</v>
      </c>
      <c r="Z61" s="11" t="s">
        <v>1595</v>
      </c>
    </row>
    <row r="62" spans="1:26">
      <c r="A62" s="11" t="s">
        <v>505</v>
      </c>
      <c r="B62" s="11" t="s">
        <v>1565</v>
      </c>
      <c r="C62" s="12">
        <v>2709</v>
      </c>
      <c r="D62" s="12">
        <v>2435</v>
      </c>
      <c r="E62" s="11" t="s">
        <v>71</v>
      </c>
      <c r="F62" s="13" t="s">
        <v>506</v>
      </c>
      <c r="G62" s="14">
        <v>20</v>
      </c>
      <c r="H62" s="11" t="s">
        <v>73</v>
      </c>
      <c r="I62" s="11" t="s">
        <v>282</v>
      </c>
      <c r="J62" s="11" t="s">
        <v>1566</v>
      </c>
      <c r="K62" s="11" t="s">
        <v>447</v>
      </c>
      <c r="L62" s="11" t="s">
        <v>1017</v>
      </c>
      <c r="M62" s="5" t="s">
        <v>1578</v>
      </c>
      <c r="N62" s="5" t="s">
        <v>1596</v>
      </c>
      <c r="O62" s="5" t="s">
        <v>1597</v>
      </c>
      <c r="P62" s="5" t="s">
        <v>509</v>
      </c>
      <c r="Q62" s="11" t="s">
        <v>82</v>
      </c>
      <c r="R62" s="11" t="s">
        <v>82</v>
      </c>
      <c r="S62" s="11" t="s">
        <v>82</v>
      </c>
      <c r="T62" s="11" t="s">
        <v>1569</v>
      </c>
      <c r="U62" s="5" t="s">
        <v>1570</v>
      </c>
      <c r="V62" s="11" t="s">
        <v>510</v>
      </c>
      <c r="W62" s="11" t="s">
        <v>511</v>
      </c>
      <c r="X62" s="11" t="s">
        <v>512</v>
      </c>
      <c r="Y62" s="11" t="s">
        <v>1571</v>
      </c>
      <c r="Z62" s="11" t="s">
        <v>1598</v>
      </c>
    </row>
    <row r="63" spans="1:26">
      <c r="A63" s="11" t="s">
        <v>514</v>
      </c>
      <c r="B63" s="11" t="s">
        <v>1565</v>
      </c>
      <c r="C63" s="17">
        <v>1328</v>
      </c>
      <c r="D63" s="17">
        <v>2457</v>
      </c>
      <c r="E63" s="11" t="s">
        <v>71</v>
      </c>
      <c r="F63" s="13" t="s">
        <v>515</v>
      </c>
      <c r="G63" s="18" t="s">
        <v>1026</v>
      </c>
      <c r="H63" s="11" t="s">
        <v>73</v>
      </c>
      <c r="I63" s="11" t="s">
        <v>282</v>
      </c>
      <c r="J63" s="11" t="s">
        <v>1566</v>
      </c>
      <c r="K63" s="11" t="s">
        <v>479</v>
      </c>
      <c r="L63" s="11" t="s">
        <v>284</v>
      </c>
      <c r="M63" s="5" t="s">
        <v>1599</v>
      </c>
      <c r="N63" s="5" t="s">
        <v>1600</v>
      </c>
      <c r="O63" s="5" t="s">
        <v>583</v>
      </c>
      <c r="P63" s="5" t="s">
        <v>520</v>
      </c>
      <c r="Q63" s="11" t="s">
        <v>82</v>
      </c>
      <c r="R63" s="11" t="s">
        <v>82</v>
      </c>
      <c r="S63" s="11" t="s">
        <v>82</v>
      </c>
      <c r="T63" s="11" t="s">
        <v>1569</v>
      </c>
      <c r="U63" s="5" t="s">
        <v>1570</v>
      </c>
      <c r="V63" s="11" t="s">
        <v>521</v>
      </c>
      <c r="W63" s="11" t="s">
        <v>96</v>
      </c>
      <c r="X63" s="11" t="s">
        <v>97</v>
      </c>
      <c r="Y63" s="11" t="s">
        <v>1571</v>
      </c>
      <c r="Z63" s="11" t="s">
        <v>1601</v>
      </c>
    </row>
    <row r="64" spans="1:26">
      <c r="A64" s="11" t="s">
        <v>523</v>
      </c>
      <c r="B64" s="11" t="s">
        <v>1565</v>
      </c>
      <c r="C64" s="12">
        <v>2910</v>
      </c>
      <c r="D64" s="12">
        <v>2773</v>
      </c>
      <c r="E64" s="11" t="s">
        <v>71</v>
      </c>
      <c r="F64" s="13" t="s">
        <v>524</v>
      </c>
      <c r="G64" s="14">
        <v>17</v>
      </c>
      <c r="H64" s="11" t="s">
        <v>73</v>
      </c>
      <c r="I64" s="11" t="s">
        <v>282</v>
      </c>
      <c r="J64" s="11" t="s">
        <v>1566</v>
      </c>
      <c r="K64" s="11" t="s">
        <v>447</v>
      </c>
      <c r="L64" s="11" t="s">
        <v>1017</v>
      </c>
      <c r="M64" s="5" t="s">
        <v>1578</v>
      </c>
      <c r="N64" s="5" t="s">
        <v>1602</v>
      </c>
      <c r="O64" s="5" t="s">
        <v>1603</v>
      </c>
      <c r="P64" s="5" t="s">
        <v>527</v>
      </c>
      <c r="Q64" s="11" t="s">
        <v>82</v>
      </c>
      <c r="R64" s="11" t="s">
        <v>82</v>
      </c>
      <c r="S64" s="11" t="s">
        <v>82</v>
      </c>
      <c r="T64" s="11" t="s">
        <v>1569</v>
      </c>
      <c r="U64" s="5" t="s">
        <v>1570</v>
      </c>
      <c r="V64" s="11" t="s">
        <v>528</v>
      </c>
      <c r="W64" s="11" t="s">
        <v>529</v>
      </c>
      <c r="X64" s="11" t="s">
        <v>530</v>
      </c>
      <c r="Y64" s="11" t="s">
        <v>1571</v>
      </c>
      <c r="Z64" s="11" t="s">
        <v>1604</v>
      </c>
    </row>
    <row r="65" spans="1:26">
      <c r="A65" s="11" t="s">
        <v>532</v>
      </c>
      <c r="B65" s="11" t="s">
        <v>1565</v>
      </c>
      <c r="C65" s="12">
        <v>2958</v>
      </c>
      <c r="D65" s="12">
        <v>2537</v>
      </c>
      <c r="E65" s="11" t="s">
        <v>71</v>
      </c>
      <c r="F65" s="13" t="s">
        <v>533</v>
      </c>
      <c r="G65" s="14">
        <v>19</v>
      </c>
      <c r="H65" s="11" t="s">
        <v>73</v>
      </c>
      <c r="I65" s="11" t="s">
        <v>282</v>
      </c>
      <c r="J65" s="11" t="s">
        <v>1566</v>
      </c>
      <c r="K65" s="11" t="s">
        <v>447</v>
      </c>
      <c r="L65" s="11" t="s">
        <v>1017</v>
      </c>
      <c r="M65" s="5" t="s">
        <v>1578</v>
      </c>
      <c r="N65" s="5" t="s">
        <v>1605</v>
      </c>
      <c r="O65" s="5" t="s">
        <v>1606</v>
      </c>
      <c r="P65" s="5" t="s">
        <v>536</v>
      </c>
      <c r="Q65" s="11" t="s">
        <v>82</v>
      </c>
      <c r="R65" s="11" t="s">
        <v>82</v>
      </c>
      <c r="S65" s="11" t="s">
        <v>82</v>
      </c>
      <c r="T65" s="11" t="s">
        <v>1569</v>
      </c>
      <c r="U65" s="5" t="s">
        <v>1570</v>
      </c>
      <c r="V65" s="11" t="s">
        <v>537</v>
      </c>
      <c r="W65" s="11" t="s">
        <v>538</v>
      </c>
      <c r="X65" s="11" t="s">
        <v>539</v>
      </c>
      <c r="Y65" s="11" t="s">
        <v>1571</v>
      </c>
      <c r="Z65" s="11" t="s">
        <v>1607</v>
      </c>
    </row>
    <row r="66" spans="1:26">
      <c r="A66" s="11" t="s">
        <v>541</v>
      </c>
      <c r="B66" s="11" t="s">
        <v>1565</v>
      </c>
      <c r="C66" s="12">
        <v>2609</v>
      </c>
      <c r="D66" s="12">
        <v>2709</v>
      </c>
      <c r="E66" s="11" t="s">
        <v>71</v>
      </c>
      <c r="F66" s="13" t="s">
        <v>542</v>
      </c>
      <c r="G66" s="14">
        <v>19</v>
      </c>
      <c r="H66" s="11" t="s">
        <v>73</v>
      </c>
      <c r="I66" s="11" t="s">
        <v>282</v>
      </c>
      <c r="J66" s="11" t="s">
        <v>1566</v>
      </c>
      <c r="K66" s="11" t="s">
        <v>447</v>
      </c>
      <c r="L66" s="11" t="s">
        <v>1017</v>
      </c>
      <c r="M66" s="5" t="s">
        <v>1578</v>
      </c>
      <c r="N66" s="5" t="s">
        <v>1608</v>
      </c>
      <c r="O66" s="5" t="s">
        <v>1609</v>
      </c>
      <c r="P66" s="5" t="s">
        <v>545</v>
      </c>
      <c r="Q66" s="11" t="s">
        <v>82</v>
      </c>
      <c r="R66" s="11" t="s">
        <v>82</v>
      </c>
      <c r="S66" s="11" t="s">
        <v>82</v>
      </c>
      <c r="T66" s="11" t="s">
        <v>1569</v>
      </c>
      <c r="U66" s="5" t="s">
        <v>1570</v>
      </c>
      <c r="V66" s="11" t="s">
        <v>546</v>
      </c>
      <c r="W66" s="11" t="s">
        <v>547</v>
      </c>
      <c r="X66" s="11" t="s">
        <v>548</v>
      </c>
      <c r="Y66" s="11" t="s">
        <v>1571</v>
      </c>
      <c r="Z66" s="11" t="s">
        <v>1610</v>
      </c>
    </row>
    <row r="67" spans="1:26">
      <c r="A67" s="11" t="s">
        <v>550</v>
      </c>
      <c r="B67" s="11" t="s">
        <v>1565</v>
      </c>
      <c r="C67" s="17">
        <v>2979</v>
      </c>
      <c r="D67" s="17">
        <v>1328</v>
      </c>
      <c r="E67" s="11" t="s">
        <v>71</v>
      </c>
      <c r="F67" s="13" t="s">
        <v>551</v>
      </c>
      <c r="G67" s="18" t="s">
        <v>1038</v>
      </c>
      <c r="H67" s="11" t="s">
        <v>73</v>
      </c>
      <c r="I67" s="11" t="s">
        <v>282</v>
      </c>
      <c r="J67" s="11" t="s">
        <v>1566</v>
      </c>
      <c r="K67" s="11" t="s">
        <v>479</v>
      </c>
      <c r="L67" s="11" t="s">
        <v>284</v>
      </c>
      <c r="M67" s="5" t="s">
        <v>1611</v>
      </c>
      <c r="N67" s="5" t="s">
        <v>1612</v>
      </c>
      <c r="O67" s="5" t="s">
        <v>555</v>
      </c>
      <c r="P67" s="5" t="s">
        <v>556</v>
      </c>
      <c r="Q67" s="11" t="s">
        <v>82</v>
      </c>
      <c r="R67" s="11" t="s">
        <v>82</v>
      </c>
      <c r="S67" s="11" t="s">
        <v>82</v>
      </c>
      <c r="T67" s="11" t="s">
        <v>1569</v>
      </c>
      <c r="U67" s="5" t="s">
        <v>1570</v>
      </c>
      <c r="V67" s="11" t="s">
        <v>557</v>
      </c>
      <c r="W67" s="11" t="s">
        <v>105</v>
      </c>
      <c r="X67" s="11" t="s">
        <v>106</v>
      </c>
      <c r="Y67" s="11" t="s">
        <v>1571</v>
      </c>
      <c r="Z67" s="11" t="s">
        <v>1613</v>
      </c>
    </row>
    <row r="68" spans="1:26">
      <c r="A68" s="11" t="s">
        <v>69</v>
      </c>
      <c r="B68" s="11" t="s">
        <v>1614</v>
      </c>
      <c r="C68" s="12">
        <v>2736</v>
      </c>
      <c r="D68" s="12">
        <v>2477</v>
      </c>
      <c r="E68" s="11" t="s">
        <v>71</v>
      </c>
      <c r="F68" s="13" t="s">
        <v>72</v>
      </c>
      <c r="G68" s="14">
        <v>80</v>
      </c>
      <c r="H68" s="11" t="s">
        <v>73</v>
      </c>
      <c r="I68" s="11" t="s">
        <v>282</v>
      </c>
      <c r="J68" s="11" t="s">
        <v>1615</v>
      </c>
      <c r="K68" s="11" t="s">
        <v>76</v>
      </c>
      <c r="L68" s="11" t="s">
        <v>284</v>
      </c>
      <c r="M68" s="5" t="s">
        <v>1616</v>
      </c>
      <c r="N68" s="5" t="s">
        <v>1617</v>
      </c>
      <c r="O68" s="5" t="s">
        <v>102</v>
      </c>
      <c r="P68" s="5" t="s">
        <v>81</v>
      </c>
      <c r="Q68" s="11" t="s">
        <v>82</v>
      </c>
      <c r="R68" s="11" t="s">
        <v>82</v>
      </c>
      <c r="S68" s="11" t="s">
        <v>82</v>
      </c>
      <c r="T68" s="11" t="s">
        <v>1618</v>
      </c>
      <c r="U68" s="5" t="s">
        <v>1619</v>
      </c>
      <c r="V68" s="11" t="s">
        <v>85</v>
      </c>
      <c r="W68" s="11" t="s">
        <v>86</v>
      </c>
      <c r="X68" s="11" t="s">
        <v>87</v>
      </c>
      <c r="Y68" s="11" t="s">
        <v>1620</v>
      </c>
      <c r="Z68" s="11" t="s">
        <v>1621</v>
      </c>
    </row>
    <row r="69" spans="1:26">
      <c r="A69" s="11" t="s">
        <v>90</v>
      </c>
      <c r="B69" s="11" t="s">
        <v>1614</v>
      </c>
      <c r="C69" s="12">
        <v>2773</v>
      </c>
      <c r="D69" s="12">
        <v>2736</v>
      </c>
      <c r="E69" s="11" t="s">
        <v>71</v>
      </c>
      <c r="F69" s="13" t="s">
        <v>91</v>
      </c>
      <c r="G69" s="14">
        <v>88</v>
      </c>
      <c r="H69" s="11" t="s">
        <v>73</v>
      </c>
      <c r="I69" s="11" t="s">
        <v>282</v>
      </c>
      <c r="J69" s="11" t="s">
        <v>1615</v>
      </c>
      <c r="K69" s="11" t="s">
        <v>76</v>
      </c>
      <c r="L69" s="11" t="s">
        <v>284</v>
      </c>
      <c r="M69" s="5" t="s">
        <v>1616</v>
      </c>
      <c r="N69" s="5" t="s">
        <v>1591</v>
      </c>
      <c r="O69" s="5" t="s">
        <v>1429</v>
      </c>
      <c r="P69" s="5" t="s">
        <v>94</v>
      </c>
      <c r="Q69" s="11" t="s">
        <v>82</v>
      </c>
      <c r="R69" s="11" t="s">
        <v>82</v>
      </c>
      <c r="S69" s="11" t="s">
        <v>82</v>
      </c>
      <c r="T69" s="11" t="s">
        <v>1618</v>
      </c>
      <c r="U69" s="5" t="s">
        <v>1619</v>
      </c>
      <c r="V69" s="11" t="s">
        <v>95</v>
      </c>
      <c r="W69" s="11" t="s">
        <v>96</v>
      </c>
      <c r="X69" s="11" t="s">
        <v>97</v>
      </c>
      <c r="Y69" s="11" t="s">
        <v>1620</v>
      </c>
      <c r="Z69" s="11" t="s">
        <v>1622</v>
      </c>
    </row>
    <row r="70" spans="1:26">
      <c r="A70" s="11" t="s">
        <v>99</v>
      </c>
      <c r="B70" s="11" t="s">
        <v>1614</v>
      </c>
      <c r="C70" s="12">
        <v>3644</v>
      </c>
      <c r="D70" s="12">
        <v>2773</v>
      </c>
      <c r="E70" s="11" t="s">
        <v>71</v>
      </c>
      <c r="F70" s="13" t="s">
        <v>100</v>
      </c>
      <c r="G70" s="14">
        <v>86</v>
      </c>
      <c r="H70" s="11" t="s">
        <v>73</v>
      </c>
      <c r="I70" s="11" t="s">
        <v>282</v>
      </c>
      <c r="J70" s="11" t="s">
        <v>1615</v>
      </c>
      <c r="K70" s="11" t="s">
        <v>76</v>
      </c>
      <c r="L70" s="11" t="s">
        <v>284</v>
      </c>
      <c r="M70" s="5" t="s">
        <v>1616</v>
      </c>
      <c r="N70" s="5" t="s">
        <v>1623</v>
      </c>
      <c r="O70" s="5" t="s">
        <v>1576</v>
      </c>
      <c r="P70" s="5" t="s">
        <v>103</v>
      </c>
      <c r="Q70" s="11" t="s">
        <v>82</v>
      </c>
      <c r="R70" s="11" t="s">
        <v>82</v>
      </c>
      <c r="S70" s="11" t="s">
        <v>82</v>
      </c>
      <c r="T70" s="11" t="s">
        <v>1618</v>
      </c>
      <c r="U70" s="5" t="s">
        <v>1619</v>
      </c>
      <c r="V70" s="11" t="s">
        <v>104</v>
      </c>
      <c r="W70" s="11" t="s">
        <v>105</v>
      </c>
      <c r="X70" s="11" t="s">
        <v>106</v>
      </c>
      <c r="Y70" s="11" t="s">
        <v>1620</v>
      </c>
      <c r="Z70" s="11" t="s">
        <v>1624</v>
      </c>
    </row>
    <row r="71" spans="1:26">
      <c r="A71" s="11" t="s">
        <v>445</v>
      </c>
      <c r="B71" s="11" t="s">
        <v>1614</v>
      </c>
      <c r="C71" s="12">
        <v>691</v>
      </c>
      <c r="D71" s="12">
        <v>622</v>
      </c>
      <c r="E71" s="11" t="s">
        <v>71</v>
      </c>
      <c r="F71" s="13" t="s">
        <v>446</v>
      </c>
      <c r="G71" s="14">
        <v>18</v>
      </c>
      <c r="H71" s="11" t="s">
        <v>73</v>
      </c>
      <c r="I71" s="11" t="s">
        <v>282</v>
      </c>
      <c r="J71" s="11" t="s">
        <v>1615</v>
      </c>
      <c r="K71" s="11" t="s">
        <v>447</v>
      </c>
      <c r="L71" s="11" t="s">
        <v>1000</v>
      </c>
      <c r="M71" s="5" t="s">
        <v>1625</v>
      </c>
      <c r="N71" s="5" t="s">
        <v>1626</v>
      </c>
      <c r="O71" s="5" t="s">
        <v>80</v>
      </c>
      <c r="P71" s="5" t="s">
        <v>452</v>
      </c>
      <c r="Q71" s="11" t="s">
        <v>82</v>
      </c>
      <c r="R71" s="11" t="s">
        <v>82</v>
      </c>
      <c r="S71" s="11" t="s">
        <v>82</v>
      </c>
      <c r="T71" s="11" t="s">
        <v>1618</v>
      </c>
      <c r="U71" s="5" t="s">
        <v>1627</v>
      </c>
      <c r="V71" s="11" t="s">
        <v>454</v>
      </c>
      <c r="W71" s="11" t="s">
        <v>455</v>
      </c>
      <c r="X71" s="11" t="s">
        <v>456</v>
      </c>
      <c r="Y71" s="11" t="s">
        <v>1620</v>
      </c>
      <c r="Z71" s="11" t="s">
        <v>1628</v>
      </c>
    </row>
    <row r="72" spans="1:26">
      <c r="A72" s="11" t="s">
        <v>458</v>
      </c>
      <c r="B72" s="11" t="s">
        <v>1614</v>
      </c>
      <c r="C72" s="12">
        <v>696</v>
      </c>
      <c r="D72" s="12">
        <v>608</v>
      </c>
      <c r="E72" s="11" t="s">
        <v>71</v>
      </c>
      <c r="F72" s="13" t="s">
        <v>459</v>
      </c>
      <c r="G72" s="14">
        <v>22</v>
      </c>
      <c r="H72" s="11" t="s">
        <v>73</v>
      </c>
      <c r="I72" s="11" t="s">
        <v>282</v>
      </c>
      <c r="J72" s="11" t="s">
        <v>1615</v>
      </c>
      <c r="K72" s="11" t="s">
        <v>447</v>
      </c>
      <c r="L72" s="11" t="s">
        <v>1000</v>
      </c>
      <c r="M72" s="5" t="s">
        <v>1625</v>
      </c>
      <c r="N72" s="5" t="s">
        <v>1629</v>
      </c>
      <c r="O72" s="5" t="s">
        <v>1583</v>
      </c>
      <c r="P72" s="5" t="s">
        <v>462</v>
      </c>
      <c r="Q72" s="11" t="s">
        <v>82</v>
      </c>
      <c r="R72" s="11" t="s">
        <v>82</v>
      </c>
      <c r="S72" s="11" t="s">
        <v>82</v>
      </c>
      <c r="T72" s="11" t="s">
        <v>1618</v>
      </c>
      <c r="U72" s="5" t="s">
        <v>1627</v>
      </c>
      <c r="V72" s="11" t="s">
        <v>463</v>
      </c>
      <c r="W72" s="11" t="s">
        <v>464</v>
      </c>
      <c r="X72" s="11" t="s">
        <v>465</v>
      </c>
      <c r="Y72" s="11" t="s">
        <v>1620</v>
      </c>
      <c r="Z72" s="11" t="s">
        <v>1630</v>
      </c>
    </row>
    <row r="73" spans="1:26">
      <c r="A73" s="11" t="s">
        <v>467</v>
      </c>
      <c r="B73" s="11" t="s">
        <v>1614</v>
      </c>
      <c r="C73" s="12">
        <v>650</v>
      </c>
      <c r="D73" s="12">
        <v>594</v>
      </c>
      <c r="E73" s="11" t="s">
        <v>71</v>
      </c>
      <c r="F73" s="13" t="s">
        <v>468</v>
      </c>
      <c r="G73" s="14">
        <v>22</v>
      </c>
      <c r="H73" s="11" t="s">
        <v>73</v>
      </c>
      <c r="I73" s="11" t="s">
        <v>282</v>
      </c>
      <c r="J73" s="11" t="s">
        <v>1615</v>
      </c>
      <c r="K73" s="11" t="s">
        <v>447</v>
      </c>
      <c r="L73" s="11" t="s">
        <v>1000</v>
      </c>
      <c r="M73" s="5" t="s">
        <v>1625</v>
      </c>
      <c r="N73" s="5" t="s">
        <v>1631</v>
      </c>
      <c r="O73" s="5" t="s">
        <v>1586</v>
      </c>
      <c r="P73" s="5" t="s">
        <v>471</v>
      </c>
      <c r="Q73" s="11" t="s">
        <v>82</v>
      </c>
      <c r="R73" s="11" t="s">
        <v>82</v>
      </c>
      <c r="S73" s="11" t="s">
        <v>82</v>
      </c>
      <c r="T73" s="11" t="s">
        <v>1618</v>
      </c>
      <c r="U73" s="5" t="s">
        <v>1619</v>
      </c>
      <c r="V73" s="11" t="s">
        <v>472</v>
      </c>
      <c r="W73" s="11" t="s">
        <v>473</v>
      </c>
      <c r="X73" s="11" t="s">
        <v>474</v>
      </c>
      <c r="Y73" s="11" t="s">
        <v>1620</v>
      </c>
      <c r="Z73" s="11" t="s">
        <v>1632</v>
      </c>
    </row>
    <row r="74" spans="1:26">
      <c r="A74" s="11" t="s">
        <v>476</v>
      </c>
      <c r="B74" s="11" t="s">
        <v>1614</v>
      </c>
      <c r="C74" s="17">
        <v>699</v>
      </c>
      <c r="D74" s="17">
        <v>653</v>
      </c>
      <c r="E74" s="11" t="s">
        <v>71</v>
      </c>
      <c r="F74" s="13" t="s">
        <v>477</v>
      </c>
      <c r="G74" s="18" t="s">
        <v>1012</v>
      </c>
      <c r="H74" s="11" t="s">
        <v>73</v>
      </c>
      <c r="I74" s="11" t="s">
        <v>282</v>
      </c>
      <c r="J74" s="11" t="s">
        <v>1615</v>
      </c>
      <c r="K74" s="11" t="s">
        <v>479</v>
      </c>
      <c r="L74" s="11" t="s">
        <v>284</v>
      </c>
      <c r="M74" s="5" t="s">
        <v>1633</v>
      </c>
      <c r="N74" s="5" t="s">
        <v>1634</v>
      </c>
      <c r="O74" s="5" t="s">
        <v>1015</v>
      </c>
      <c r="P74" s="5" t="s">
        <v>483</v>
      </c>
      <c r="Q74" s="11" t="s">
        <v>82</v>
      </c>
      <c r="R74" s="11" t="s">
        <v>82</v>
      </c>
      <c r="S74" s="11" t="s">
        <v>82</v>
      </c>
      <c r="T74" s="11" t="s">
        <v>1618</v>
      </c>
      <c r="U74" s="5" t="s">
        <v>1619</v>
      </c>
      <c r="V74" s="11" t="s">
        <v>484</v>
      </c>
      <c r="W74" s="11" t="s">
        <v>86</v>
      </c>
      <c r="X74" s="11" t="s">
        <v>87</v>
      </c>
      <c r="Y74" s="11" t="s">
        <v>1620</v>
      </c>
      <c r="Z74" s="11" t="s">
        <v>1635</v>
      </c>
    </row>
    <row r="75" spans="1:26">
      <c r="A75" s="11" t="s">
        <v>486</v>
      </c>
      <c r="B75" s="11" t="s">
        <v>1614</v>
      </c>
      <c r="C75" s="12">
        <v>731</v>
      </c>
      <c r="D75" s="12">
        <v>691</v>
      </c>
      <c r="E75" s="11" t="s">
        <v>71</v>
      </c>
      <c r="F75" s="13" t="s">
        <v>487</v>
      </c>
      <c r="G75" s="14">
        <v>17</v>
      </c>
      <c r="H75" s="11" t="s">
        <v>73</v>
      </c>
      <c r="I75" s="11" t="s">
        <v>282</v>
      </c>
      <c r="J75" s="11" t="s">
        <v>1615</v>
      </c>
      <c r="K75" s="11" t="s">
        <v>447</v>
      </c>
      <c r="L75" s="11" t="s">
        <v>1017</v>
      </c>
      <c r="M75" s="5" t="s">
        <v>1625</v>
      </c>
      <c r="N75" s="5" t="s">
        <v>1636</v>
      </c>
      <c r="O75" s="5" t="s">
        <v>1457</v>
      </c>
      <c r="P75" s="5" t="s">
        <v>491</v>
      </c>
      <c r="Q75" s="11" t="s">
        <v>82</v>
      </c>
      <c r="R75" s="11" t="s">
        <v>82</v>
      </c>
      <c r="S75" s="11" t="s">
        <v>82</v>
      </c>
      <c r="T75" s="11" t="s">
        <v>1618</v>
      </c>
      <c r="U75" s="5" t="s">
        <v>1619</v>
      </c>
      <c r="V75" s="11" t="s">
        <v>492</v>
      </c>
      <c r="W75" s="11" t="s">
        <v>493</v>
      </c>
      <c r="X75" s="11" t="s">
        <v>494</v>
      </c>
      <c r="Y75" s="11" t="s">
        <v>1620</v>
      </c>
      <c r="Z75" s="11" t="s">
        <v>1637</v>
      </c>
    </row>
    <row r="76" spans="1:26">
      <c r="A76" s="11" t="s">
        <v>496</v>
      </c>
      <c r="B76" s="11" t="s">
        <v>1614</v>
      </c>
      <c r="C76" s="12">
        <v>743</v>
      </c>
      <c r="D76" s="12">
        <v>696</v>
      </c>
      <c r="E76" s="11" t="s">
        <v>71</v>
      </c>
      <c r="F76" s="13" t="s">
        <v>497</v>
      </c>
      <c r="G76" s="14">
        <v>20</v>
      </c>
      <c r="H76" s="11" t="s">
        <v>73</v>
      </c>
      <c r="I76" s="11" t="s">
        <v>282</v>
      </c>
      <c r="J76" s="11" t="s">
        <v>1615</v>
      </c>
      <c r="K76" s="11" t="s">
        <v>447</v>
      </c>
      <c r="L76" s="11" t="s">
        <v>1017</v>
      </c>
      <c r="M76" s="5" t="s">
        <v>1625</v>
      </c>
      <c r="N76" s="5" t="s">
        <v>1638</v>
      </c>
      <c r="O76" s="5" t="s">
        <v>1594</v>
      </c>
      <c r="P76" s="5" t="s">
        <v>500</v>
      </c>
      <c r="Q76" s="11" t="s">
        <v>82</v>
      </c>
      <c r="R76" s="11" t="s">
        <v>82</v>
      </c>
      <c r="S76" s="11" t="s">
        <v>82</v>
      </c>
      <c r="T76" s="11" t="s">
        <v>1618</v>
      </c>
      <c r="U76" s="5" t="s">
        <v>1619</v>
      </c>
      <c r="V76" s="11" t="s">
        <v>501</v>
      </c>
      <c r="W76" s="11" t="s">
        <v>502</v>
      </c>
      <c r="X76" s="11" t="s">
        <v>503</v>
      </c>
      <c r="Y76" s="11" t="s">
        <v>1620</v>
      </c>
      <c r="Z76" s="11" t="s">
        <v>1639</v>
      </c>
    </row>
    <row r="77" spans="1:26">
      <c r="A77" s="11" t="s">
        <v>505</v>
      </c>
      <c r="B77" s="11" t="s">
        <v>1614</v>
      </c>
      <c r="C77" s="12">
        <v>753</v>
      </c>
      <c r="D77" s="12">
        <v>650</v>
      </c>
      <c r="E77" s="11" t="s">
        <v>71</v>
      </c>
      <c r="F77" s="13" t="s">
        <v>506</v>
      </c>
      <c r="G77" s="14">
        <v>20</v>
      </c>
      <c r="H77" s="11" t="s">
        <v>73</v>
      </c>
      <c r="I77" s="11" t="s">
        <v>282</v>
      </c>
      <c r="J77" s="11" t="s">
        <v>1615</v>
      </c>
      <c r="K77" s="11" t="s">
        <v>447</v>
      </c>
      <c r="L77" s="11" t="s">
        <v>1017</v>
      </c>
      <c r="M77" s="5" t="s">
        <v>1625</v>
      </c>
      <c r="N77" s="5" t="s">
        <v>1640</v>
      </c>
      <c r="O77" s="5" t="s">
        <v>1597</v>
      </c>
      <c r="P77" s="5" t="s">
        <v>509</v>
      </c>
      <c r="Q77" s="11" t="s">
        <v>82</v>
      </c>
      <c r="R77" s="11" t="s">
        <v>82</v>
      </c>
      <c r="S77" s="11" t="s">
        <v>82</v>
      </c>
      <c r="T77" s="11" t="s">
        <v>1618</v>
      </c>
      <c r="U77" s="5" t="s">
        <v>1619</v>
      </c>
      <c r="V77" s="11" t="s">
        <v>510</v>
      </c>
      <c r="W77" s="11" t="s">
        <v>511</v>
      </c>
      <c r="X77" s="11" t="s">
        <v>512</v>
      </c>
      <c r="Y77" s="11" t="s">
        <v>1620</v>
      </c>
      <c r="Z77" s="11" t="s">
        <v>1641</v>
      </c>
    </row>
    <row r="78" spans="1:26">
      <c r="A78" s="11" t="s">
        <v>514</v>
      </c>
      <c r="B78" s="11" t="s">
        <v>1614</v>
      </c>
      <c r="C78" s="17">
        <v>546</v>
      </c>
      <c r="D78" s="17">
        <v>699</v>
      </c>
      <c r="E78" s="11" t="s">
        <v>71</v>
      </c>
      <c r="F78" s="13" t="s">
        <v>515</v>
      </c>
      <c r="G78" s="18" t="s">
        <v>1026</v>
      </c>
      <c r="H78" s="11" t="s">
        <v>73</v>
      </c>
      <c r="I78" s="11" t="s">
        <v>282</v>
      </c>
      <c r="J78" s="11" t="s">
        <v>1615</v>
      </c>
      <c r="K78" s="11" t="s">
        <v>479</v>
      </c>
      <c r="L78" s="11" t="s">
        <v>284</v>
      </c>
      <c r="M78" s="5" t="s">
        <v>1642</v>
      </c>
      <c r="N78" s="5" t="s">
        <v>1643</v>
      </c>
      <c r="O78" s="5" t="s">
        <v>1015</v>
      </c>
      <c r="P78" s="5" t="s">
        <v>520</v>
      </c>
      <c r="Q78" s="11" t="s">
        <v>82</v>
      </c>
      <c r="R78" s="11" t="s">
        <v>82</v>
      </c>
      <c r="S78" s="11" t="s">
        <v>82</v>
      </c>
      <c r="T78" s="11" t="s">
        <v>1618</v>
      </c>
      <c r="U78" s="5" t="s">
        <v>1619</v>
      </c>
      <c r="V78" s="11" t="s">
        <v>521</v>
      </c>
      <c r="W78" s="11" t="s">
        <v>96</v>
      </c>
      <c r="X78" s="11" t="s">
        <v>97</v>
      </c>
      <c r="Y78" s="11" t="s">
        <v>1620</v>
      </c>
      <c r="Z78" s="11" t="s">
        <v>1644</v>
      </c>
    </row>
    <row r="79" spans="1:26">
      <c r="A79" s="11" t="s">
        <v>523</v>
      </c>
      <c r="B79" s="11" t="s">
        <v>1614</v>
      </c>
      <c r="C79" s="12">
        <v>937</v>
      </c>
      <c r="D79" s="12">
        <v>731</v>
      </c>
      <c r="E79" s="11" t="s">
        <v>71</v>
      </c>
      <c r="F79" s="13" t="s">
        <v>524</v>
      </c>
      <c r="G79" s="14">
        <v>17</v>
      </c>
      <c r="H79" s="11" t="s">
        <v>73</v>
      </c>
      <c r="I79" s="11" t="s">
        <v>282</v>
      </c>
      <c r="J79" s="11" t="s">
        <v>1615</v>
      </c>
      <c r="K79" s="11" t="s">
        <v>447</v>
      </c>
      <c r="L79" s="11" t="s">
        <v>1017</v>
      </c>
      <c r="M79" s="5" t="s">
        <v>1625</v>
      </c>
      <c r="N79" s="5" t="s">
        <v>1645</v>
      </c>
      <c r="O79" s="5" t="s">
        <v>1603</v>
      </c>
      <c r="P79" s="5" t="s">
        <v>527</v>
      </c>
      <c r="Q79" s="11" t="s">
        <v>82</v>
      </c>
      <c r="R79" s="11" t="s">
        <v>82</v>
      </c>
      <c r="S79" s="11" t="s">
        <v>82</v>
      </c>
      <c r="T79" s="11" t="s">
        <v>1618</v>
      </c>
      <c r="U79" s="5" t="s">
        <v>1619</v>
      </c>
      <c r="V79" s="11" t="s">
        <v>528</v>
      </c>
      <c r="W79" s="11" t="s">
        <v>529</v>
      </c>
      <c r="X79" s="11" t="s">
        <v>530</v>
      </c>
      <c r="Y79" s="11" t="s">
        <v>1620</v>
      </c>
      <c r="Z79" s="11" t="s">
        <v>1646</v>
      </c>
    </row>
    <row r="80" spans="1:26">
      <c r="A80" s="11" t="s">
        <v>532</v>
      </c>
      <c r="B80" s="11" t="s">
        <v>1614</v>
      </c>
      <c r="C80" s="12">
        <v>973</v>
      </c>
      <c r="D80" s="12">
        <v>743</v>
      </c>
      <c r="E80" s="11" t="s">
        <v>71</v>
      </c>
      <c r="F80" s="13" t="s">
        <v>533</v>
      </c>
      <c r="G80" s="14">
        <v>19</v>
      </c>
      <c r="H80" s="11" t="s">
        <v>73</v>
      </c>
      <c r="I80" s="11" t="s">
        <v>282</v>
      </c>
      <c r="J80" s="11" t="s">
        <v>1615</v>
      </c>
      <c r="K80" s="11" t="s">
        <v>447</v>
      </c>
      <c r="L80" s="11" t="s">
        <v>1017</v>
      </c>
      <c r="M80" s="5" t="s">
        <v>1625</v>
      </c>
      <c r="N80" s="5" t="s">
        <v>1647</v>
      </c>
      <c r="O80" s="5" t="s">
        <v>1606</v>
      </c>
      <c r="P80" s="5" t="s">
        <v>536</v>
      </c>
      <c r="Q80" s="11" t="s">
        <v>82</v>
      </c>
      <c r="R80" s="11" t="s">
        <v>82</v>
      </c>
      <c r="S80" s="11" t="s">
        <v>82</v>
      </c>
      <c r="T80" s="11" t="s">
        <v>1618</v>
      </c>
      <c r="U80" s="5" t="s">
        <v>1619</v>
      </c>
      <c r="V80" s="11" t="s">
        <v>537</v>
      </c>
      <c r="W80" s="11" t="s">
        <v>538</v>
      </c>
      <c r="X80" s="11" t="s">
        <v>539</v>
      </c>
      <c r="Y80" s="11" t="s">
        <v>1620</v>
      </c>
      <c r="Z80" s="11" t="s">
        <v>1648</v>
      </c>
    </row>
    <row r="81" spans="1:26">
      <c r="A81" s="11" t="s">
        <v>541</v>
      </c>
      <c r="B81" s="11" t="s">
        <v>1614</v>
      </c>
      <c r="C81" s="12">
        <v>804</v>
      </c>
      <c r="D81" s="12">
        <v>753</v>
      </c>
      <c r="E81" s="11" t="s">
        <v>71</v>
      </c>
      <c r="F81" s="13" t="s">
        <v>542</v>
      </c>
      <c r="G81" s="14">
        <v>19</v>
      </c>
      <c r="H81" s="11" t="s">
        <v>73</v>
      </c>
      <c r="I81" s="11" t="s">
        <v>282</v>
      </c>
      <c r="J81" s="11" t="s">
        <v>1615</v>
      </c>
      <c r="K81" s="11" t="s">
        <v>447</v>
      </c>
      <c r="L81" s="11" t="s">
        <v>1017</v>
      </c>
      <c r="M81" s="5" t="s">
        <v>1625</v>
      </c>
      <c r="N81" s="5" t="s">
        <v>1649</v>
      </c>
      <c r="O81" s="5" t="s">
        <v>1609</v>
      </c>
      <c r="P81" s="5" t="s">
        <v>545</v>
      </c>
      <c r="Q81" s="11" t="s">
        <v>82</v>
      </c>
      <c r="R81" s="11" t="s">
        <v>82</v>
      </c>
      <c r="S81" s="11" t="s">
        <v>82</v>
      </c>
      <c r="T81" s="11" t="s">
        <v>1618</v>
      </c>
      <c r="U81" s="5" t="s">
        <v>1619</v>
      </c>
      <c r="V81" s="11" t="s">
        <v>546</v>
      </c>
      <c r="W81" s="11" t="s">
        <v>547</v>
      </c>
      <c r="X81" s="11" t="s">
        <v>548</v>
      </c>
      <c r="Y81" s="11" t="s">
        <v>1620</v>
      </c>
      <c r="Z81" s="11" t="s">
        <v>1650</v>
      </c>
    </row>
    <row r="82" spans="1:26">
      <c r="A82" s="11" t="s">
        <v>550</v>
      </c>
      <c r="B82" s="11" t="s">
        <v>1614</v>
      </c>
      <c r="C82" s="17">
        <v>930</v>
      </c>
      <c r="D82" s="17">
        <v>546</v>
      </c>
      <c r="E82" s="11" t="s">
        <v>71</v>
      </c>
      <c r="F82" s="13" t="s">
        <v>551</v>
      </c>
      <c r="G82" s="18" t="s">
        <v>1038</v>
      </c>
      <c r="H82" s="11" t="s">
        <v>73</v>
      </c>
      <c r="I82" s="11" t="s">
        <v>282</v>
      </c>
      <c r="J82" s="11" t="s">
        <v>1615</v>
      </c>
      <c r="K82" s="11" t="s">
        <v>479</v>
      </c>
      <c r="L82" s="11" t="s">
        <v>284</v>
      </c>
      <c r="M82" s="5" t="s">
        <v>1651</v>
      </c>
      <c r="N82" s="5" t="s">
        <v>1652</v>
      </c>
      <c r="O82" s="5" t="s">
        <v>1015</v>
      </c>
      <c r="P82" s="5" t="s">
        <v>556</v>
      </c>
      <c r="Q82" s="11" t="s">
        <v>82</v>
      </c>
      <c r="R82" s="11" t="s">
        <v>82</v>
      </c>
      <c r="S82" s="11" t="s">
        <v>82</v>
      </c>
      <c r="T82" s="11" t="s">
        <v>1618</v>
      </c>
      <c r="U82" s="5" t="s">
        <v>1619</v>
      </c>
      <c r="V82" s="11" t="s">
        <v>557</v>
      </c>
      <c r="W82" s="11" t="s">
        <v>105</v>
      </c>
      <c r="X82" s="11" t="s">
        <v>106</v>
      </c>
      <c r="Y82" s="11" t="s">
        <v>1620</v>
      </c>
      <c r="Z82" s="11" t="s">
        <v>1653</v>
      </c>
    </row>
    <row r="83" spans="1:26">
      <c r="A83" s="11" t="s">
        <v>69</v>
      </c>
      <c r="B83" s="11" t="s">
        <v>1654</v>
      </c>
      <c r="C83" s="12">
        <v>7076</v>
      </c>
      <c r="D83" s="12">
        <v>6765</v>
      </c>
      <c r="E83" s="11" t="s">
        <v>71</v>
      </c>
      <c r="F83" s="13" t="s">
        <v>72</v>
      </c>
      <c r="G83" s="14">
        <v>80</v>
      </c>
      <c r="H83" s="11" t="s">
        <v>73</v>
      </c>
      <c r="I83" s="11" t="s">
        <v>282</v>
      </c>
      <c r="J83" s="11" t="s">
        <v>1655</v>
      </c>
      <c r="K83" s="11" t="s">
        <v>76</v>
      </c>
      <c r="L83" s="11" t="s">
        <v>284</v>
      </c>
      <c r="M83" s="5" t="s">
        <v>1656</v>
      </c>
      <c r="N83" s="5" t="s">
        <v>1657</v>
      </c>
      <c r="O83" s="5" t="s">
        <v>102</v>
      </c>
      <c r="P83" s="5" t="s">
        <v>81</v>
      </c>
      <c r="Q83" s="11" t="s">
        <v>82</v>
      </c>
      <c r="R83" s="11" t="s">
        <v>82</v>
      </c>
      <c r="S83" s="11" t="s">
        <v>82</v>
      </c>
      <c r="T83" s="11" t="s">
        <v>1658</v>
      </c>
      <c r="U83" s="5" t="s">
        <v>1659</v>
      </c>
      <c r="V83" s="11" t="s">
        <v>85</v>
      </c>
      <c r="W83" s="11" t="s">
        <v>86</v>
      </c>
      <c r="X83" s="11" t="s">
        <v>87</v>
      </c>
      <c r="Y83" s="11" t="s">
        <v>1660</v>
      </c>
      <c r="Z83" s="11" t="s">
        <v>1661</v>
      </c>
    </row>
    <row r="84" spans="1:26">
      <c r="A84" s="11" t="s">
        <v>90</v>
      </c>
      <c r="B84" s="11" t="s">
        <v>1654</v>
      </c>
      <c r="C84" s="12">
        <v>6574</v>
      </c>
      <c r="D84" s="12">
        <v>7076</v>
      </c>
      <c r="E84" s="11" t="s">
        <v>71</v>
      </c>
      <c r="F84" s="13" t="s">
        <v>91</v>
      </c>
      <c r="G84" s="14">
        <v>88</v>
      </c>
      <c r="H84" s="11" t="s">
        <v>73</v>
      </c>
      <c r="I84" s="11" t="s">
        <v>282</v>
      </c>
      <c r="J84" s="11" t="s">
        <v>1655</v>
      </c>
      <c r="K84" s="11" t="s">
        <v>76</v>
      </c>
      <c r="L84" s="11" t="s">
        <v>284</v>
      </c>
      <c r="M84" s="5" t="s">
        <v>1656</v>
      </c>
      <c r="N84" s="5" t="s">
        <v>1662</v>
      </c>
      <c r="O84" s="5" t="s">
        <v>1429</v>
      </c>
      <c r="P84" s="5" t="s">
        <v>94</v>
      </c>
      <c r="Q84" s="11" t="s">
        <v>82</v>
      </c>
      <c r="R84" s="11" t="s">
        <v>82</v>
      </c>
      <c r="S84" s="11" t="s">
        <v>82</v>
      </c>
      <c r="T84" s="11" t="s">
        <v>1658</v>
      </c>
      <c r="U84" s="5" t="s">
        <v>1659</v>
      </c>
      <c r="V84" s="11" t="s">
        <v>95</v>
      </c>
      <c r="W84" s="11" t="s">
        <v>96</v>
      </c>
      <c r="X84" s="11" t="s">
        <v>97</v>
      </c>
      <c r="Y84" s="11" t="s">
        <v>1660</v>
      </c>
      <c r="Z84" s="11" t="s">
        <v>1663</v>
      </c>
    </row>
    <row r="85" spans="1:26">
      <c r="A85" s="11" t="s">
        <v>99</v>
      </c>
      <c r="B85" s="11" t="s">
        <v>1654</v>
      </c>
      <c r="C85" s="12">
        <v>7812</v>
      </c>
      <c r="D85" s="12">
        <v>6574</v>
      </c>
      <c r="E85" s="11" t="s">
        <v>71</v>
      </c>
      <c r="F85" s="13" t="s">
        <v>100</v>
      </c>
      <c r="G85" s="14">
        <v>86</v>
      </c>
      <c r="H85" s="11" t="s">
        <v>73</v>
      </c>
      <c r="I85" s="11" t="s">
        <v>282</v>
      </c>
      <c r="J85" s="11" t="s">
        <v>1655</v>
      </c>
      <c r="K85" s="11" t="s">
        <v>76</v>
      </c>
      <c r="L85" s="11" t="s">
        <v>284</v>
      </c>
      <c r="M85" s="5" t="s">
        <v>1656</v>
      </c>
      <c r="N85" s="5" t="s">
        <v>1664</v>
      </c>
      <c r="O85" s="5" t="s">
        <v>1576</v>
      </c>
      <c r="P85" s="5" t="s">
        <v>103</v>
      </c>
      <c r="Q85" s="11" t="s">
        <v>82</v>
      </c>
      <c r="R85" s="11" t="s">
        <v>82</v>
      </c>
      <c r="S85" s="11" t="s">
        <v>82</v>
      </c>
      <c r="T85" s="11" t="s">
        <v>1658</v>
      </c>
      <c r="U85" s="5" t="s">
        <v>1659</v>
      </c>
      <c r="V85" s="11" t="s">
        <v>104</v>
      </c>
      <c r="W85" s="11" t="s">
        <v>105</v>
      </c>
      <c r="X85" s="11" t="s">
        <v>106</v>
      </c>
      <c r="Y85" s="11" t="s">
        <v>1660</v>
      </c>
      <c r="Z85" s="11" t="s">
        <v>1665</v>
      </c>
    </row>
    <row r="86" spans="1:26">
      <c r="A86" s="11" t="s">
        <v>445</v>
      </c>
      <c r="B86" s="11" t="s">
        <v>1654</v>
      </c>
      <c r="C86" s="12">
        <v>1916</v>
      </c>
      <c r="D86" s="12">
        <v>1722</v>
      </c>
      <c r="E86" s="11" t="s">
        <v>71</v>
      </c>
      <c r="F86" s="13" t="s">
        <v>446</v>
      </c>
      <c r="G86" s="14">
        <v>18</v>
      </c>
      <c r="H86" s="11" t="s">
        <v>73</v>
      </c>
      <c r="I86" s="11" t="s">
        <v>282</v>
      </c>
      <c r="J86" s="11" t="s">
        <v>1655</v>
      </c>
      <c r="K86" s="11" t="s">
        <v>447</v>
      </c>
      <c r="L86" s="11" t="s">
        <v>1000</v>
      </c>
      <c r="M86" s="5" t="s">
        <v>1666</v>
      </c>
      <c r="N86" s="5" t="s">
        <v>1667</v>
      </c>
      <c r="O86" s="5" t="s">
        <v>80</v>
      </c>
      <c r="P86" s="5" t="s">
        <v>452</v>
      </c>
      <c r="Q86" s="11" t="s">
        <v>82</v>
      </c>
      <c r="R86" s="11" t="s">
        <v>82</v>
      </c>
      <c r="S86" s="11" t="s">
        <v>82</v>
      </c>
      <c r="T86" s="11" t="s">
        <v>1658</v>
      </c>
      <c r="U86" s="5" t="s">
        <v>1668</v>
      </c>
      <c r="V86" s="11" t="s">
        <v>454</v>
      </c>
      <c r="W86" s="11" t="s">
        <v>455</v>
      </c>
      <c r="X86" s="11" t="s">
        <v>456</v>
      </c>
      <c r="Y86" s="11" t="s">
        <v>1660</v>
      </c>
      <c r="Z86" s="11" t="s">
        <v>1669</v>
      </c>
    </row>
    <row r="87" spans="1:26">
      <c r="A87" s="11" t="s">
        <v>458</v>
      </c>
      <c r="B87" s="11" t="s">
        <v>1654</v>
      </c>
      <c r="C87" s="12">
        <v>1617</v>
      </c>
      <c r="D87" s="12">
        <v>1525</v>
      </c>
      <c r="E87" s="11" t="s">
        <v>71</v>
      </c>
      <c r="F87" s="13" t="s">
        <v>459</v>
      </c>
      <c r="G87" s="14">
        <v>22</v>
      </c>
      <c r="H87" s="11" t="s">
        <v>73</v>
      </c>
      <c r="I87" s="11" t="s">
        <v>282</v>
      </c>
      <c r="J87" s="11" t="s">
        <v>1655</v>
      </c>
      <c r="K87" s="11" t="s">
        <v>447</v>
      </c>
      <c r="L87" s="11" t="s">
        <v>1000</v>
      </c>
      <c r="M87" s="5" t="s">
        <v>1666</v>
      </c>
      <c r="N87" s="5" t="s">
        <v>1670</v>
      </c>
      <c r="O87" s="5" t="s">
        <v>1583</v>
      </c>
      <c r="P87" s="5" t="s">
        <v>462</v>
      </c>
      <c r="Q87" s="11" t="s">
        <v>82</v>
      </c>
      <c r="R87" s="11" t="s">
        <v>82</v>
      </c>
      <c r="S87" s="11" t="s">
        <v>82</v>
      </c>
      <c r="T87" s="11" t="s">
        <v>1658</v>
      </c>
      <c r="U87" s="5" t="s">
        <v>1668</v>
      </c>
      <c r="V87" s="11" t="s">
        <v>463</v>
      </c>
      <c r="W87" s="11" t="s">
        <v>464</v>
      </c>
      <c r="X87" s="11" t="s">
        <v>465</v>
      </c>
      <c r="Y87" s="11" t="s">
        <v>1660</v>
      </c>
      <c r="Z87" s="11" t="s">
        <v>1671</v>
      </c>
    </row>
    <row r="88" spans="1:26">
      <c r="A88" s="11" t="s">
        <v>467</v>
      </c>
      <c r="B88" s="11" t="s">
        <v>1654</v>
      </c>
      <c r="C88" s="12">
        <v>1785</v>
      </c>
      <c r="D88" s="12">
        <v>1705</v>
      </c>
      <c r="E88" s="11" t="s">
        <v>71</v>
      </c>
      <c r="F88" s="13" t="s">
        <v>468</v>
      </c>
      <c r="G88" s="14">
        <v>22</v>
      </c>
      <c r="H88" s="11" t="s">
        <v>73</v>
      </c>
      <c r="I88" s="11" t="s">
        <v>282</v>
      </c>
      <c r="J88" s="11" t="s">
        <v>1655</v>
      </c>
      <c r="K88" s="11" t="s">
        <v>447</v>
      </c>
      <c r="L88" s="11" t="s">
        <v>1000</v>
      </c>
      <c r="M88" s="5" t="s">
        <v>1666</v>
      </c>
      <c r="N88" s="5" t="s">
        <v>1672</v>
      </c>
      <c r="O88" s="5" t="s">
        <v>1586</v>
      </c>
      <c r="P88" s="5" t="s">
        <v>471</v>
      </c>
      <c r="Q88" s="11" t="s">
        <v>82</v>
      </c>
      <c r="R88" s="11" t="s">
        <v>82</v>
      </c>
      <c r="S88" s="11" t="s">
        <v>82</v>
      </c>
      <c r="T88" s="11" t="s">
        <v>1658</v>
      </c>
      <c r="U88" s="5" t="s">
        <v>1659</v>
      </c>
      <c r="V88" s="11" t="s">
        <v>472</v>
      </c>
      <c r="W88" s="11" t="s">
        <v>473</v>
      </c>
      <c r="X88" s="11" t="s">
        <v>474</v>
      </c>
      <c r="Y88" s="11" t="s">
        <v>1660</v>
      </c>
      <c r="Z88" s="11" t="s">
        <v>1673</v>
      </c>
    </row>
    <row r="89" spans="1:26">
      <c r="A89" s="11" t="s">
        <v>476</v>
      </c>
      <c r="B89" s="11" t="s">
        <v>1654</v>
      </c>
      <c r="C89" s="17">
        <v>1758</v>
      </c>
      <c r="D89" s="17">
        <v>1813</v>
      </c>
      <c r="E89" s="11" t="s">
        <v>71</v>
      </c>
      <c r="F89" s="13" t="s">
        <v>477</v>
      </c>
      <c r="G89" s="18" t="s">
        <v>1012</v>
      </c>
      <c r="H89" s="11" t="s">
        <v>73</v>
      </c>
      <c r="I89" s="11" t="s">
        <v>282</v>
      </c>
      <c r="J89" s="11" t="s">
        <v>1655</v>
      </c>
      <c r="K89" s="11" t="s">
        <v>479</v>
      </c>
      <c r="L89" s="11" t="s">
        <v>284</v>
      </c>
      <c r="M89" s="5" t="s">
        <v>1674</v>
      </c>
      <c r="N89" s="5" t="s">
        <v>1675</v>
      </c>
      <c r="O89" s="5" t="s">
        <v>1015</v>
      </c>
      <c r="P89" s="5" t="s">
        <v>483</v>
      </c>
      <c r="Q89" s="11" t="s">
        <v>82</v>
      </c>
      <c r="R89" s="11" t="s">
        <v>82</v>
      </c>
      <c r="S89" s="11" t="s">
        <v>82</v>
      </c>
      <c r="T89" s="11" t="s">
        <v>1658</v>
      </c>
      <c r="U89" s="5" t="s">
        <v>1659</v>
      </c>
      <c r="V89" s="11" t="s">
        <v>484</v>
      </c>
      <c r="W89" s="11" t="s">
        <v>86</v>
      </c>
      <c r="X89" s="11" t="s">
        <v>87</v>
      </c>
      <c r="Y89" s="11" t="s">
        <v>1660</v>
      </c>
      <c r="Z89" s="11" t="s">
        <v>1676</v>
      </c>
    </row>
    <row r="90" spans="1:26">
      <c r="A90" s="11" t="s">
        <v>486</v>
      </c>
      <c r="B90" s="11" t="s">
        <v>1654</v>
      </c>
      <c r="C90" s="12">
        <v>2042</v>
      </c>
      <c r="D90" s="12">
        <v>1916</v>
      </c>
      <c r="E90" s="11" t="s">
        <v>71</v>
      </c>
      <c r="F90" s="13" t="s">
        <v>487</v>
      </c>
      <c r="G90" s="14">
        <v>17</v>
      </c>
      <c r="H90" s="11" t="s">
        <v>73</v>
      </c>
      <c r="I90" s="11" t="s">
        <v>282</v>
      </c>
      <c r="J90" s="11" t="s">
        <v>1655</v>
      </c>
      <c r="K90" s="11" t="s">
        <v>447</v>
      </c>
      <c r="L90" s="11" t="s">
        <v>1017</v>
      </c>
      <c r="M90" s="5" t="s">
        <v>1666</v>
      </c>
      <c r="N90" s="5" t="s">
        <v>1677</v>
      </c>
      <c r="O90" s="5" t="s">
        <v>1457</v>
      </c>
      <c r="P90" s="5" t="s">
        <v>491</v>
      </c>
      <c r="Q90" s="11" t="s">
        <v>82</v>
      </c>
      <c r="R90" s="11" t="s">
        <v>82</v>
      </c>
      <c r="S90" s="11" t="s">
        <v>82</v>
      </c>
      <c r="T90" s="11" t="s">
        <v>1658</v>
      </c>
      <c r="U90" s="5" t="s">
        <v>1659</v>
      </c>
      <c r="V90" s="11" t="s">
        <v>492</v>
      </c>
      <c r="W90" s="11" t="s">
        <v>493</v>
      </c>
      <c r="X90" s="11" t="s">
        <v>494</v>
      </c>
      <c r="Y90" s="11" t="s">
        <v>1660</v>
      </c>
      <c r="Z90" s="11" t="s">
        <v>1678</v>
      </c>
    </row>
    <row r="91" spans="1:26">
      <c r="A91" s="11" t="s">
        <v>496</v>
      </c>
      <c r="B91" s="11" t="s">
        <v>1654</v>
      </c>
      <c r="C91" s="12">
        <v>1794</v>
      </c>
      <c r="D91" s="12">
        <v>1617</v>
      </c>
      <c r="E91" s="11" t="s">
        <v>71</v>
      </c>
      <c r="F91" s="13" t="s">
        <v>497</v>
      </c>
      <c r="G91" s="14">
        <v>20</v>
      </c>
      <c r="H91" s="11" t="s">
        <v>73</v>
      </c>
      <c r="I91" s="11" t="s">
        <v>282</v>
      </c>
      <c r="J91" s="11" t="s">
        <v>1655</v>
      </c>
      <c r="K91" s="11" t="s">
        <v>447</v>
      </c>
      <c r="L91" s="11" t="s">
        <v>1017</v>
      </c>
      <c r="M91" s="5" t="s">
        <v>1666</v>
      </c>
      <c r="N91" s="5" t="s">
        <v>1679</v>
      </c>
      <c r="O91" s="5" t="s">
        <v>1594</v>
      </c>
      <c r="P91" s="5" t="s">
        <v>500</v>
      </c>
      <c r="Q91" s="11" t="s">
        <v>82</v>
      </c>
      <c r="R91" s="11" t="s">
        <v>82</v>
      </c>
      <c r="S91" s="11" t="s">
        <v>82</v>
      </c>
      <c r="T91" s="11" t="s">
        <v>1658</v>
      </c>
      <c r="U91" s="5" t="s">
        <v>1659</v>
      </c>
      <c r="V91" s="11" t="s">
        <v>501</v>
      </c>
      <c r="W91" s="11" t="s">
        <v>502</v>
      </c>
      <c r="X91" s="11" t="s">
        <v>503</v>
      </c>
      <c r="Y91" s="11" t="s">
        <v>1660</v>
      </c>
      <c r="Z91" s="11" t="s">
        <v>1680</v>
      </c>
    </row>
    <row r="92" spans="1:26">
      <c r="A92" s="11" t="s">
        <v>505</v>
      </c>
      <c r="B92" s="11" t="s">
        <v>1654</v>
      </c>
      <c r="C92" s="12">
        <v>1956</v>
      </c>
      <c r="D92" s="12">
        <v>1785</v>
      </c>
      <c r="E92" s="11" t="s">
        <v>71</v>
      </c>
      <c r="F92" s="13" t="s">
        <v>506</v>
      </c>
      <c r="G92" s="14">
        <v>20</v>
      </c>
      <c r="H92" s="11" t="s">
        <v>73</v>
      </c>
      <c r="I92" s="11" t="s">
        <v>282</v>
      </c>
      <c r="J92" s="11" t="s">
        <v>1655</v>
      </c>
      <c r="K92" s="11" t="s">
        <v>447</v>
      </c>
      <c r="L92" s="11" t="s">
        <v>1017</v>
      </c>
      <c r="M92" s="5" t="s">
        <v>1666</v>
      </c>
      <c r="N92" s="5" t="s">
        <v>1681</v>
      </c>
      <c r="O92" s="5" t="s">
        <v>1597</v>
      </c>
      <c r="P92" s="5" t="s">
        <v>509</v>
      </c>
      <c r="Q92" s="11" t="s">
        <v>82</v>
      </c>
      <c r="R92" s="11" t="s">
        <v>82</v>
      </c>
      <c r="S92" s="11" t="s">
        <v>82</v>
      </c>
      <c r="T92" s="11" t="s">
        <v>1658</v>
      </c>
      <c r="U92" s="5" t="s">
        <v>1659</v>
      </c>
      <c r="V92" s="11" t="s">
        <v>510</v>
      </c>
      <c r="W92" s="11" t="s">
        <v>511</v>
      </c>
      <c r="X92" s="11" t="s">
        <v>512</v>
      </c>
      <c r="Y92" s="11" t="s">
        <v>1660</v>
      </c>
      <c r="Z92" s="11" t="s">
        <v>1682</v>
      </c>
    </row>
    <row r="93" spans="1:26">
      <c r="A93" s="11" t="s">
        <v>514</v>
      </c>
      <c r="B93" s="11" t="s">
        <v>1654</v>
      </c>
      <c r="C93" s="17">
        <v>782</v>
      </c>
      <c r="D93" s="17">
        <v>1758</v>
      </c>
      <c r="E93" s="11" t="s">
        <v>71</v>
      </c>
      <c r="F93" s="13" t="s">
        <v>515</v>
      </c>
      <c r="G93" s="18" t="s">
        <v>1026</v>
      </c>
      <c r="H93" s="11" t="s">
        <v>73</v>
      </c>
      <c r="I93" s="11" t="s">
        <v>282</v>
      </c>
      <c r="J93" s="11" t="s">
        <v>1655</v>
      </c>
      <c r="K93" s="11" t="s">
        <v>479</v>
      </c>
      <c r="L93" s="11" t="s">
        <v>284</v>
      </c>
      <c r="M93" s="5" t="s">
        <v>1683</v>
      </c>
      <c r="N93" s="5" t="s">
        <v>1684</v>
      </c>
      <c r="O93" s="5" t="s">
        <v>1015</v>
      </c>
      <c r="P93" s="5" t="s">
        <v>520</v>
      </c>
      <c r="Q93" s="11" t="s">
        <v>82</v>
      </c>
      <c r="R93" s="11" t="s">
        <v>82</v>
      </c>
      <c r="S93" s="11" t="s">
        <v>82</v>
      </c>
      <c r="T93" s="11" t="s">
        <v>1658</v>
      </c>
      <c r="U93" s="5" t="s">
        <v>1659</v>
      </c>
      <c r="V93" s="11" t="s">
        <v>521</v>
      </c>
      <c r="W93" s="11" t="s">
        <v>96</v>
      </c>
      <c r="X93" s="11" t="s">
        <v>97</v>
      </c>
      <c r="Y93" s="11" t="s">
        <v>1660</v>
      </c>
      <c r="Z93" s="11" t="s">
        <v>1685</v>
      </c>
    </row>
    <row r="94" spans="1:26">
      <c r="A94" s="11" t="s">
        <v>523</v>
      </c>
      <c r="B94" s="11" t="s">
        <v>1654</v>
      </c>
      <c r="C94" s="12">
        <v>1973</v>
      </c>
      <c r="D94" s="12">
        <v>2042</v>
      </c>
      <c r="E94" s="11" t="s">
        <v>71</v>
      </c>
      <c r="F94" s="13" t="s">
        <v>524</v>
      </c>
      <c r="G94" s="14">
        <v>17</v>
      </c>
      <c r="H94" s="11" t="s">
        <v>73</v>
      </c>
      <c r="I94" s="11" t="s">
        <v>282</v>
      </c>
      <c r="J94" s="11" t="s">
        <v>1655</v>
      </c>
      <c r="K94" s="11" t="s">
        <v>447</v>
      </c>
      <c r="L94" s="11" t="s">
        <v>1017</v>
      </c>
      <c r="M94" s="5" t="s">
        <v>1666</v>
      </c>
      <c r="N94" s="5" t="s">
        <v>1686</v>
      </c>
      <c r="O94" s="5" t="s">
        <v>1603</v>
      </c>
      <c r="P94" s="5" t="s">
        <v>527</v>
      </c>
      <c r="Q94" s="11" t="s">
        <v>82</v>
      </c>
      <c r="R94" s="11" t="s">
        <v>82</v>
      </c>
      <c r="S94" s="11" t="s">
        <v>82</v>
      </c>
      <c r="T94" s="11" t="s">
        <v>1658</v>
      </c>
      <c r="U94" s="5" t="s">
        <v>1659</v>
      </c>
      <c r="V94" s="11" t="s">
        <v>528</v>
      </c>
      <c r="W94" s="11" t="s">
        <v>529</v>
      </c>
      <c r="X94" s="11" t="s">
        <v>530</v>
      </c>
      <c r="Y94" s="11" t="s">
        <v>1660</v>
      </c>
      <c r="Z94" s="11" t="s">
        <v>1687</v>
      </c>
    </row>
    <row r="95" spans="1:26">
      <c r="A95" s="11" t="s">
        <v>532</v>
      </c>
      <c r="B95" s="11" t="s">
        <v>1654</v>
      </c>
      <c r="C95" s="12">
        <v>1985</v>
      </c>
      <c r="D95" s="12">
        <v>1794</v>
      </c>
      <c r="E95" s="11" t="s">
        <v>71</v>
      </c>
      <c r="F95" s="13" t="s">
        <v>533</v>
      </c>
      <c r="G95" s="14">
        <v>19</v>
      </c>
      <c r="H95" s="11" t="s">
        <v>73</v>
      </c>
      <c r="I95" s="11" t="s">
        <v>282</v>
      </c>
      <c r="J95" s="11" t="s">
        <v>1655</v>
      </c>
      <c r="K95" s="11" t="s">
        <v>447</v>
      </c>
      <c r="L95" s="11" t="s">
        <v>1017</v>
      </c>
      <c r="M95" s="5" t="s">
        <v>1666</v>
      </c>
      <c r="N95" s="5" t="s">
        <v>1688</v>
      </c>
      <c r="O95" s="5" t="s">
        <v>1606</v>
      </c>
      <c r="P95" s="5" t="s">
        <v>536</v>
      </c>
      <c r="Q95" s="11" t="s">
        <v>82</v>
      </c>
      <c r="R95" s="11" t="s">
        <v>82</v>
      </c>
      <c r="S95" s="11" t="s">
        <v>82</v>
      </c>
      <c r="T95" s="11" t="s">
        <v>1658</v>
      </c>
      <c r="U95" s="5" t="s">
        <v>1659</v>
      </c>
      <c r="V95" s="11" t="s">
        <v>537</v>
      </c>
      <c r="W95" s="11" t="s">
        <v>538</v>
      </c>
      <c r="X95" s="11" t="s">
        <v>539</v>
      </c>
      <c r="Y95" s="11" t="s">
        <v>1660</v>
      </c>
      <c r="Z95" s="11" t="s">
        <v>1689</v>
      </c>
    </row>
    <row r="96" spans="1:26">
      <c r="A96" s="11" t="s">
        <v>541</v>
      </c>
      <c r="B96" s="11" t="s">
        <v>1654</v>
      </c>
      <c r="C96" s="12">
        <v>1805</v>
      </c>
      <c r="D96" s="12">
        <v>1956</v>
      </c>
      <c r="E96" s="11" t="s">
        <v>71</v>
      </c>
      <c r="F96" s="13" t="s">
        <v>542</v>
      </c>
      <c r="G96" s="14">
        <v>19</v>
      </c>
      <c r="H96" s="11" t="s">
        <v>73</v>
      </c>
      <c r="I96" s="11" t="s">
        <v>282</v>
      </c>
      <c r="J96" s="11" t="s">
        <v>1655</v>
      </c>
      <c r="K96" s="11" t="s">
        <v>447</v>
      </c>
      <c r="L96" s="11" t="s">
        <v>1017</v>
      </c>
      <c r="M96" s="5" t="s">
        <v>1666</v>
      </c>
      <c r="N96" s="5" t="s">
        <v>1690</v>
      </c>
      <c r="O96" s="5" t="s">
        <v>1609</v>
      </c>
      <c r="P96" s="5" t="s">
        <v>545</v>
      </c>
      <c r="Q96" s="11" t="s">
        <v>82</v>
      </c>
      <c r="R96" s="11" t="s">
        <v>82</v>
      </c>
      <c r="S96" s="11" t="s">
        <v>82</v>
      </c>
      <c r="T96" s="11" t="s">
        <v>1658</v>
      </c>
      <c r="U96" s="5" t="s">
        <v>1659</v>
      </c>
      <c r="V96" s="11" t="s">
        <v>546</v>
      </c>
      <c r="W96" s="11" t="s">
        <v>547</v>
      </c>
      <c r="X96" s="11" t="s">
        <v>548</v>
      </c>
      <c r="Y96" s="11" t="s">
        <v>1660</v>
      </c>
      <c r="Z96" s="11" t="s">
        <v>1691</v>
      </c>
    </row>
    <row r="97" spans="1:26">
      <c r="A97" s="11" t="s">
        <v>550</v>
      </c>
      <c r="B97" s="11" t="s">
        <v>1654</v>
      </c>
      <c r="C97" s="17">
        <v>2049</v>
      </c>
      <c r="D97" s="17">
        <v>782</v>
      </c>
      <c r="E97" s="11" t="s">
        <v>71</v>
      </c>
      <c r="F97" s="13" t="s">
        <v>551</v>
      </c>
      <c r="G97" s="18" t="s">
        <v>1038</v>
      </c>
      <c r="H97" s="11" t="s">
        <v>73</v>
      </c>
      <c r="I97" s="11" t="s">
        <v>282</v>
      </c>
      <c r="J97" s="11" t="s">
        <v>1655</v>
      </c>
      <c r="K97" s="11" t="s">
        <v>479</v>
      </c>
      <c r="L97" s="11" t="s">
        <v>284</v>
      </c>
      <c r="M97" s="5" t="s">
        <v>1692</v>
      </c>
      <c r="N97" s="5" t="s">
        <v>1693</v>
      </c>
      <c r="O97" s="5" t="s">
        <v>1015</v>
      </c>
      <c r="P97" s="5" t="s">
        <v>556</v>
      </c>
      <c r="Q97" s="11" t="s">
        <v>82</v>
      </c>
      <c r="R97" s="11" t="s">
        <v>82</v>
      </c>
      <c r="S97" s="11" t="s">
        <v>82</v>
      </c>
      <c r="T97" s="11" t="s">
        <v>1658</v>
      </c>
      <c r="U97" s="5" t="s">
        <v>1659</v>
      </c>
      <c r="V97" s="11" t="s">
        <v>557</v>
      </c>
      <c r="W97" s="11" t="s">
        <v>105</v>
      </c>
      <c r="X97" s="11" t="s">
        <v>106</v>
      </c>
      <c r="Y97" s="11" t="s">
        <v>1660</v>
      </c>
      <c r="Z97" s="11" t="s">
        <v>1694</v>
      </c>
    </row>
    <row r="98" spans="1:26">
      <c r="A98" s="11" t="s">
        <v>69</v>
      </c>
      <c r="B98" s="11" t="s">
        <v>1695</v>
      </c>
      <c r="C98" s="12">
        <v>1995</v>
      </c>
      <c r="D98" s="12">
        <v>1587</v>
      </c>
      <c r="E98" s="11" t="s">
        <v>71</v>
      </c>
      <c r="F98" s="13" t="s">
        <v>72</v>
      </c>
      <c r="G98" s="14">
        <v>82</v>
      </c>
      <c r="H98" s="11" t="s">
        <v>73</v>
      </c>
      <c r="I98" s="11" t="s">
        <v>282</v>
      </c>
      <c r="J98" s="11" t="s">
        <v>1566</v>
      </c>
      <c r="K98" s="11" t="s">
        <v>76</v>
      </c>
      <c r="L98" s="11" t="s">
        <v>1551</v>
      </c>
      <c r="M98" s="5" t="s">
        <v>1696</v>
      </c>
      <c r="N98" s="5" t="s">
        <v>1697</v>
      </c>
      <c r="O98" s="5" t="s">
        <v>1698</v>
      </c>
      <c r="P98" s="5" t="s">
        <v>81</v>
      </c>
      <c r="Q98" s="11" t="s">
        <v>82</v>
      </c>
      <c r="R98" s="11" t="s">
        <v>82</v>
      </c>
      <c r="S98" s="11" t="s">
        <v>82</v>
      </c>
      <c r="T98" s="11" t="s">
        <v>1699</v>
      </c>
      <c r="U98" s="5" t="s">
        <v>1700</v>
      </c>
      <c r="V98" s="11" t="s">
        <v>85</v>
      </c>
      <c r="W98" s="11" t="s">
        <v>86</v>
      </c>
      <c r="X98" s="11" t="s">
        <v>87</v>
      </c>
      <c r="Y98" s="11" t="s">
        <v>1701</v>
      </c>
      <c r="Z98" s="11" t="s">
        <v>1702</v>
      </c>
    </row>
    <row r="99" spans="1:26">
      <c r="A99" s="11" t="s">
        <v>90</v>
      </c>
      <c r="B99" s="11" t="s">
        <v>1695</v>
      </c>
      <c r="C99" s="12">
        <v>1541</v>
      </c>
      <c r="D99" s="12">
        <v>1995</v>
      </c>
      <c r="E99" s="11" t="s">
        <v>71</v>
      </c>
      <c r="F99" s="13" t="s">
        <v>91</v>
      </c>
      <c r="G99" s="14">
        <v>90</v>
      </c>
      <c r="H99" s="11" t="s">
        <v>73</v>
      </c>
      <c r="I99" s="11" t="s">
        <v>282</v>
      </c>
      <c r="J99" s="11" t="s">
        <v>1566</v>
      </c>
      <c r="K99" s="11" t="s">
        <v>76</v>
      </c>
      <c r="L99" s="11" t="s">
        <v>1551</v>
      </c>
      <c r="M99" s="5" t="s">
        <v>1696</v>
      </c>
      <c r="N99" s="5" t="s">
        <v>1703</v>
      </c>
      <c r="O99" s="5" t="s">
        <v>1563</v>
      </c>
      <c r="P99" s="5" t="s">
        <v>94</v>
      </c>
      <c r="Q99" s="11" t="s">
        <v>82</v>
      </c>
      <c r="R99" s="11" t="s">
        <v>82</v>
      </c>
      <c r="S99" s="11" t="s">
        <v>82</v>
      </c>
      <c r="T99" s="11" t="s">
        <v>1699</v>
      </c>
      <c r="U99" s="5" t="s">
        <v>1700</v>
      </c>
      <c r="V99" s="11" t="s">
        <v>95</v>
      </c>
      <c r="W99" s="11" t="s">
        <v>96</v>
      </c>
      <c r="X99" s="11" t="s">
        <v>97</v>
      </c>
      <c r="Y99" s="11" t="s">
        <v>1701</v>
      </c>
      <c r="Z99" s="11" t="s">
        <v>1704</v>
      </c>
    </row>
    <row r="100" spans="1:26">
      <c r="A100" s="11" t="s">
        <v>99</v>
      </c>
      <c r="B100" s="11" t="s">
        <v>1695</v>
      </c>
      <c r="C100" s="12">
        <v>2435</v>
      </c>
      <c r="D100" s="12">
        <v>1541</v>
      </c>
      <c r="E100" s="11" t="s">
        <v>71</v>
      </c>
      <c r="F100" s="13" t="s">
        <v>100</v>
      </c>
      <c r="G100" s="14">
        <v>89</v>
      </c>
      <c r="H100" s="11" t="s">
        <v>73</v>
      </c>
      <c r="I100" s="11" t="s">
        <v>282</v>
      </c>
      <c r="J100" s="11" t="s">
        <v>1566</v>
      </c>
      <c r="K100" s="11" t="s">
        <v>76</v>
      </c>
      <c r="L100" s="11" t="s">
        <v>1551</v>
      </c>
      <c r="M100" s="5" t="s">
        <v>1696</v>
      </c>
      <c r="N100" s="5" t="s">
        <v>1585</v>
      </c>
      <c r="O100" s="5" t="s">
        <v>1705</v>
      </c>
      <c r="P100" s="5" t="s">
        <v>103</v>
      </c>
      <c r="Q100" s="11" t="s">
        <v>82</v>
      </c>
      <c r="R100" s="11" t="s">
        <v>82</v>
      </c>
      <c r="S100" s="11" t="s">
        <v>82</v>
      </c>
      <c r="T100" s="11" t="s">
        <v>1699</v>
      </c>
      <c r="U100" s="5" t="s">
        <v>1700</v>
      </c>
      <c r="V100" s="11" t="s">
        <v>104</v>
      </c>
      <c r="W100" s="11" t="s">
        <v>105</v>
      </c>
      <c r="X100" s="11" t="s">
        <v>106</v>
      </c>
      <c r="Y100" s="11" t="s">
        <v>1701</v>
      </c>
      <c r="Z100" s="11" t="s">
        <v>1706</v>
      </c>
    </row>
    <row r="101" spans="1:26">
      <c r="A101" s="11" t="s">
        <v>69</v>
      </c>
      <c r="B101" s="11" t="s">
        <v>1707</v>
      </c>
      <c r="C101" s="12">
        <v>6208</v>
      </c>
      <c r="D101" s="12">
        <v>5134</v>
      </c>
      <c r="E101" s="11" t="s">
        <v>71</v>
      </c>
      <c r="F101" s="13" t="s">
        <v>72</v>
      </c>
      <c r="G101" s="14">
        <v>80</v>
      </c>
      <c r="H101" s="11" t="s">
        <v>73</v>
      </c>
      <c r="I101" s="11" t="s">
        <v>282</v>
      </c>
      <c r="J101" s="11" t="s">
        <v>1708</v>
      </c>
      <c r="K101" s="11" t="s">
        <v>76</v>
      </c>
      <c r="L101" s="11" t="s">
        <v>284</v>
      </c>
      <c r="M101" s="5" t="s">
        <v>1709</v>
      </c>
      <c r="N101" s="5" t="s">
        <v>1710</v>
      </c>
      <c r="O101" s="5" t="s">
        <v>1711</v>
      </c>
      <c r="P101" s="5" t="s">
        <v>81</v>
      </c>
      <c r="Q101" s="11" t="s">
        <v>82</v>
      </c>
      <c r="R101" s="11" t="s">
        <v>82</v>
      </c>
      <c r="S101" s="11" t="s">
        <v>82</v>
      </c>
      <c r="T101" s="11" t="s">
        <v>1712</v>
      </c>
      <c r="U101" s="5" t="s">
        <v>1713</v>
      </c>
      <c r="V101" s="11" t="s">
        <v>85</v>
      </c>
      <c r="W101" s="11" t="s">
        <v>86</v>
      </c>
      <c r="X101" s="11" t="s">
        <v>87</v>
      </c>
      <c r="Y101" s="11" t="s">
        <v>1714</v>
      </c>
      <c r="Z101" s="11" t="s">
        <v>1715</v>
      </c>
    </row>
    <row r="102" spans="1:26">
      <c r="A102" s="11" t="s">
        <v>90</v>
      </c>
      <c r="B102" s="11" t="s">
        <v>1707</v>
      </c>
      <c r="C102" s="12">
        <v>6679</v>
      </c>
      <c r="D102" s="12">
        <v>6208</v>
      </c>
      <c r="E102" s="11" t="s">
        <v>71</v>
      </c>
      <c r="F102" s="13" t="s">
        <v>91</v>
      </c>
      <c r="G102" s="14">
        <v>88</v>
      </c>
      <c r="H102" s="11" t="s">
        <v>73</v>
      </c>
      <c r="I102" s="11" t="s">
        <v>282</v>
      </c>
      <c r="J102" s="11" t="s">
        <v>1708</v>
      </c>
      <c r="K102" s="11" t="s">
        <v>76</v>
      </c>
      <c r="L102" s="11" t="s">
        <v>284</v>
      </c>
      <c r="M102" s="5" t="s">
        <v>1709</v>
      </c>
      <c r="N102" s="5" t="s">
        <v>1716</v>
      </c>
      <c r="O102" s="5" t="s">
        <v>1576</v>
      </c>
      <c r="P102" s="5" t="s">
        <v>94</v>
      </c>
      <c r="Q102" s="11" t="s">
        <v>82</v>
      </c>
      <c r="R102" s="11" t="s">
        <v>82</v>
      </c>
      <c r="S102" s="11" t="s">
        <v>82</v>
      </c>
      <c r="T102" s="11" t="s">
        <v>1712</v>
      </c>
      <c r="U102" s="5" t="s">
        <v>1713</v>
      </c>
      <c r="V102" s="11" t="s">
        <v>95</v>
      </c>
      <c r="W102" s="11" t="s">
        <v>96</v>
      </c>
      <c r="X102" s="11" t="s">
        <v>97</v>
      </c>
      <c r="Y102" s="11" t="s">
        <v>1714</v>
      </c>
      <c r="Z102" s="11" t="s">
        <v>1717</v>
      </c>
    </row>
    <row r="103" spans="1:26">
      <c r="A103" s="11" t="s">
        <v>99</v>
      </c>
      <c r="B103" s="11" t="s">
        <v>1707</v>
      </c>
      <c r="C103" s="12">
        <v>8290</v>
      </c>
      <c r="D103" s="12">
        <v>6679</v>
      </c>
      <c r="E103" s="11" t="s">
        <v>71</v>
      </c>
      <c r="F103" s="13" t="s">
        <v>100</v>
      </c>
      <c r="G103" s="14">
        <v>86</v>
      </c>
      <c r="H103" s="11" t="s">
        <v>73</v>
      </c>
      <c r="I103" s="11" t="s">
        <v>282</v>
      </c>
      <c r="J103" s="11" t="s">
        <v>1708</v>
      </c>
      <c r="K103" s="11" t="s">
        <v>76</v>
      </c>
      <c r="L103" s="11" t="s">
        <v>284</v>
      </c>
      <c r="M103" s="5" t="s">
        <v>1709</v>
      </c>
      <c r="N103" s="5" t="s">
        <v>1718</v>
      </c>
      <c r="O103" s="5" t="s">
        <v>1719</v>
      </c>
      <c r="P103" s="5" t="s">
        <v>103</v>
      </c>
      <c r="Q103" s="11" t="s">
        <v>82</v>
      </c>
      <c r="R103" s="11" t="s">
        <v>82</v>
      </c>
      <c r="S103" s="11" t="s">
        <v>82</v>
      </c>
      <c r="T103" s="11" t="s">
        <v>1712</v>
      </c>
      <c r="U103" s="5" t="s">
        <v>1713</v>
      </c>
      <c r="V103" s="11" t="s">
        <v>104</v>
      </c>
      <c r="W103" s="11" t="s">
        <v>105</v>
      </c>
      <c r="X103" s="11" t="s">
        <v>106</v>
      </c>
      <c r="Y103" s="11" t="s">
        <v>1714</v>
      </c>
      <c r="Z103" s="11" t="s">
        <v>1720</v>
      </c>
    </row>
    <row r="104" spans="1:26">
      <c r="A104" s="11" t="s">
        <v>445</v>
      </c>
      <c r="B104" s="11" t="s">
        <v>1707</v>
      </c>
      <c r="C104" s="12">
        <v>1379</v>
      </c>
      <c r="D104" s="12">
        <v>1108</v>
      </c>
      <c r="E104" s="11" t="s">
        <v>71</v>
      </c>
      <c r="F104" s="13" t="s">
        <v>446</v>
      </c>
      <c r="G104" s="14">
        <v>18</v>
      </c>
      <c r="H104" s="11" t="s">
        <v>73</v>
      </c>
      <c r="I104" s="11" t="s">
        <v>282</v>
      </c>
      <c r="J104" s="11" t="s">
        <v>1708</v>
      </c>
      <c r="K104" s="11" t="s">
        <v>447</v>
      </c>
      <c r="L104" s="11" t="s">
        <v>1000</v>
      </c>
      <c r="M104" s="5" t="s">
        <v>1721</v>
      </c>
      <c r="N104" s="5" t="s">
        <v>1722</v>
      </c>
      <c r="O104" s="5" t="s">
        <v>80</v>
      </c>
      <c r="P104" s="5" t="s">
        <v>452</v>
      </c>
      <c r="Q104" s="11" t="s">
        <v>82</v>
      </c>
      <c r="R104" s="11" t="s">
        <v>82</v>
      </c>
      <c r="S104" s="11" t="s">
        <v>82</v>
      </c>
      <c r="T104" s="11" t="s">
        <v>1712</v>
      </c>
      <c r="U104" s="5" t="s">
        <v>1723</v>
      </c>
      <c r="V104" s="11" t="s">
        <v>454</v>
      </c>
      <c r="W104" s="11" t="s">
        <v>455</v>
      </c>
      <c r="X104" s="11" t="s">
        <v>456</v>
      </c>
      <c r="Y104" s="11" t="s">
        <v>1714</v>
      </c>
      <c r="Z104" s="11" t="s">
        <v>1724</v>
      </c>
    </row>
    <row r="105" spans="1:26">
      <c r="A105" s="11" t="s">
        <v>458</v>
      </c>
      <c r="B105" s="11" t="s">
        <v>1707</v>
      </c>
      <c r="C105" s="12">
        <v>1544</v>
      </c>
      <c r="D105" s="12">
        <v>1222</v>
      </c>
      <c r="E105" s="11" t="s">
        <v>71</v>
      </c>
      <c r="F105" s="13" t="s">
        <v>459</v>
      </c>
      <c r="G105" s="14">
        <v>22</v>
      </c>
      <c r="H105" s="11" t="s">
        <v>73</v>
      </c>
      <c r="I105" s="11" t="s">
        <v>282</v>
      </c>
      <c r="J105" s="11" t="s">
        <v>1708</v>
      </c>
      <c r="K105" s="11" t="s">
        <v>447</v>
      </c>
      <c r="L105" s="11" t="s">
        <v>1000</v>
      </c>
      <c r="M105" s="5" t="s">
        <v>1721</v>
      </c>
      <c r="N105" s="5" t="s">
        <v>1725</v>
      </c>
      <c r="O105" s="5" t="s">
        <v>1583</v>
      </c>
      <c r="P105" s="5" t="s">
        <v>462</v>
      </c>
      <c r="Q105" s="11" t="s">
        <v>82</v>
      </c>
      <c r="R105" s="11" t="s">
        <v>82</v>
      </c>
      <c r="S105" s="11" t="s">
        <v>82</v>
      </c>
      <c r="T105" s="11" t="s">
        <v>1712</v>
      </c>
      <c r="U105" s="5" t="s">
        <v>1723</v>
      </c>
      <c r="V105" s="11" t="s">
        <v>463</v>
      </c>
      <c r="W105" s="11" t="s">
        <v>464</v>
      </c>
      <c r="X105" s="11" t="s">
        <v>465</v>
      </c>
      <c r="Y105" s="11" t="s">
        <v>1714</v>
      </c>
      <c r="Z105" s="11" t="s">
        <v>1726</v>
      </c>
    </row>
    <row r="106" spans="1:26">
      <c r="A106" s="11" t="s">
        <v>467</v>
      </c>
      <c r="B106" s="11" t="s">
        <v>1707</v>
      </c>
      <c r="C106" s="12">
        <v>1588</v>
      </c>
      <c r="D106" s="12">
        <v>1336</v>
      </c>
      <c r="E106" s="11" t="s">
        <v>71</v>
      </c>
      <c r="F106" s="13" t="s">
        <v>468</v>
      </c>
      <c r="G106" s="14">
        <v>22</v>
      </c>
      <c r="H106" s="11" t="s">
        <v>73</v>
      </c>
      <c r="I106" s="11" t="s">
        <v>282</v>
      </c>
      <c r="J106" s="11" t="s">
        <v>1708</v>
      </c>
      <c r="K106" s="11" t="s">
        <v>447</v>
      </c>
      <c r="L106" s="11" t="s">
        <v>1000</v>
      </c>
      <c r="M106" s="5" t="s">
        <v>1721</v>
      </c>
      <c r="N106" s="5" t="s">
        <v>1727</v>
      </c>
      <c r="O106" s="5" t="s">
        <v>1728</v>
      </c>
      <c r="P106" s="5" t="s">
        <v>471</v>
      </c>
      <c r="Q106" s="11" t="s">
        <v>82</v>
      </c>
      <c r="R106" s="11" t="s">
        <v>82</v>
      </c>
      <c r="S106" s="11" t="s">
        <v>82</v>
      </c>
      <c r="T106" s="11" t="s">
        <v>1712</v>
      </c>
      <c r="U106" s="5" t="s">
        <v>1713</v>
      </c>
      <c r="V106" s="11" t="s">
        <v>472</v>
      </c>
      <c r="W106" s="11" t="s">
        <v>473</v>
      </c>
      <c r="X106" s="11" t="s">
        <v>474</v>
      </c>
      <c r="Y106" s="11" t="s">
        <v>1714</v>
      </c>
      <c r="Z106" s="11" t="s">
        <v>1729</v>
      </c>
    </row>
    <row r="107" spans="1:26">
      <c r="A107" s="11" t="s">
        <v>476</v>
      </c>
      <c r="B107" s="11" t="s">
        <v>1707</v>
      </c>
      <c r="C107" s="17">
        <v>1697</v>
      </c>
      <c r="D107" s="17">
        <v>1468</v>
      </c>
      <c r="E107" s="11" t="s">
        <v>71</v>
      </c>
      <c r="F107" s="13" t="s">
        <v>477</v>
      </c>
      <c r="G107" s="18" t="s">
        <v>1012</v>
      </c>
      <c r="H107" s="11" t="s">
        <v>73</v>
      </c>
      <c r="I107" s="11" t="s">
        <v>282</v>
      </c>
      <c r="J107" s="11" t="s">
        <v>1708</v>
      </c>
      <c r="K107" s="11" t="s">
        <v>479</v>
      </c>
      <c r="L107" s="11" t="s">
        <v>284</v>
      </c>
      <c r="M107" s="5" t="s">
        <v>1730</v>
      </c>
      <c r="N107" s="5" t="s">
        <v>1731</v>
      </c>
      <c r="O107" s="5" t="s">
        <v>571</v>
      </c>
      <c r="P107" s="5" t="s">
        <v>483</v>
      </c>
      <c r="Q107" s="11" t="s">
        <v>82</v>
      </c>
      <c r="R107" s="11" t="s">
        <v>82</v>
      </c>
      <c r="S107" s="11" t="s">
        <v>82</v>
      </c>
      <c r="T107" s="11" t="s">
        <v>1712</v>
      </c>
      <c r="U107" s="5" t="s">
        <v>1713</v>
      </c>
      <c r="V107" s="11" t="s">
        <v>484</v>
      </c>
      <c r="W107" s="11" t="s">
        <v>86</v>
      </c>
      <c r="X107" s="11" t="s">
        <v>87</v>
      </c>
      <c r="Y107" s="11" t="s">
        <v>1714</v>
      </c>
      <c r="Z107" s="11" t="s">
        <v>1732</v>
      </c>
    </row>
    <row r="108" spans="1:26">
      <c r="A108" s="11" t="s">
        <v>486</v>
      </c>
      <c r="B108" s="11" t="s">
        <v>1707</v>
      </c>
      <c r="C108" s="12">
        <v>1679</v>
      </c>
      <c r="D108" s="12">
        <v>1379</v>
      </c>
      <c r="E108" s="11" t="s">
        <v>71</v>
      </c>
      <c r="F108" s="13" t="s">
        <v>487</v>
      </c>
      <c r="G108" s="14">
        <v>17</v>
      </c>
      <c r="H108" s="11" t="s">
        <v>73</v>
      </c>
      <c r="I108" s="11" t="s">
        <v>282</v>
      </c>
      <c r="J108" s="11" t="s">
        <v>1708</v>
      </c>
      <c r="K108" s="11" t="s">
        <v>447</v>
      </c>
      <c r="L108" s="11" t="s">
        <v>1017</v>
      </c>
      <c r="M108" s="5" t="s">
        <v>1721</v>
      </c>
      <c r="N108" s="5" t="s">
        <v>1733</v>
      </c>
      <c r="O108" s="5" t="s">
        <v>1603</v>
      </c>
      <c r="P108" s="5" t="s">
        <v>491</v>
      </c>
      <c r="Q108" s="11" t="s">
        <v>82</v>
      </c>
      <c r="R108" s="11" t="s">
        <v>82</v>
      </c>
      <c r="S108" s="11" t="s">
        <v>82</v>
      </c>
      <c r="T108" s="11" t="s">
        <v>1712</v>
      </c>
      <c r="U108" s="5" t="s">
        <v>1713</v>
      </c>
      <c r="V108" s="11" t="s">
        <v>492</v>
      </c>
      <c r="W108" s="11" t="s">
        <v>493</v>
      </c>
      <c r="X108" s="11" t="s">
        <v>494</v>
      </c>
      <c r="Y108" s="11" t="s">
        <v>1714</v>
      </c>
      <c r="Z108" s="11" t="s">
        <v>1734</v>
      </c>
    </row>
    <row r="109" spans="1:26">
      <c r="A109" s="11" t="s">
        <v>496</v>
      </c>
      <c r="B109" s="11" t="s">
        <v>1707</v>
      </c>
      <c r="C109" s="12">
        <v>1847</v>
      </c>
      <c r="D109" s="12">
        <v>1544</v>
      </c>
      <c r="E109" s="11" t="s">
        <v>71</v>
      </c>
      <c r="F109" s="13" t="s">
        <v>497</v>
      </c>
      <c r="G109" s="14">
        <v>20</v>
      </c>
      <c r="H109" s="11" t="s">
        <v>73</v>
      </c>
      <c r="I109" s="11" t="s">
        <v>282</v>
      </c>
      <c r="J109" s="11" t="s">
        <v>1708</v>
      </c>
      <c r="K109" s="11" t="s">
        <v>447</v>
      </c>
      <c r="L109" s="11" t="s">
        <v>1017</v>
      </c>
      <c r="M109" s="5" t="s">
        <v>1721</v>
      </c>
      <c r="N109" s="5" t="s">
        <v>1735</v>
      </c>
      <c r="O109" s="5" t="s">
        <v>1736</v>
      </c>
      <c r="P109" s="5" t="s">
        <v>500</v>
      </c>
      <c r="Q109" s="11" t="s">
        <v>82</v>
      </c>
      <c r="R109" s="11" t="s">
        <v>82</v>
      </c>
      <c r="S109" s="11" t="s">
        <v>82</v>
      </c>
      <c r="T109" s="11" t="s">
        <v>1712</v>
      </c>
      <c r="U109" s="5" t="s">
        <v>1713</v>
      </c>
      <c r="V109" s="11" t="s">
        <v>501</v>
      </c>
      <c r="W109" s="11" t="s">
        <v>502</v>
      </c>
      <c r="X109" s="11" t="s">
        <v>503</v>
      </c>
      <c r="Y109" s="11" t="s">
        <v>1714</v>
      </c>
      <c r="Z109" s="11" t="s">
        <v>1737</v>
      </c>
    </row>
    <row r="110" spans="1:26">
      <c r="A110" s="11" t="s">
        <v>505</v>
      </c>
      <c r="B110" s="11" t="s">
        <v>1707</v>
      </c>
      <c r="C110" s="12">
        <v>1506</v>
      </c>
      <c r="D110" s="12">
        <v>1588</v>
      </c>
      <c r="E110" s="11" t="s">
        <v>71</v>
      </c>
      <c r="F110" s="13" t="s">
        <v>506</v>
      </c>
      <c r="G110" s="14">
        <v>20</v>
      </c>
      <c r="H110" s="11" t="s">
        <v>73</v>
      </c>
      <c r="I110" s="11" t="s">
        <v>282</v>
      </c>
      <c r="J110" s="11" t="s">
        <v>1708</v>
      </c>
      <c r="K110" s="11" t="s">
        <v>447</v>
      </c>
      <c r="L110" s="11" t="s">
        <v>1017</v>
      </c>
      <c r="M110" s="5" t="s">
        <v>1721</v>
      </c>
      <c r="N110" s="5" t="s">
        <v>1500</v>
      </c>
      <c r="O110" s="5" t="s">
        <v>1738</v>
      </c>
      <c r="P110" s="5" t="s">
        <v>509</v>
      </c>
      <c r="Q110" s="11" t="s">
        <v>82</v>
      </c>
      <c r="R110" s="11" t="s">
        <v>82</v>
      </c>
      <c r="S110" s="11" t="s">
        <v>82</v>
      </c>
      <c r="T110" s="11" t="s">
        <v>1712</v>
      </c>
      <c r="U110" s="5" t="s">
        <v>1713</v>
      </c>
      <c r="V110" s="11" t="s">
        <v>510</v>
      </c>
      <c r="W110" s="11" t="s">
        <v>511</v>
      </c>
      <c r="X110" s="11" t="s">
        <v>512</v>
      </c>
      <c r="Y110" s="11" t="s">
        <v>1714</v>
      </c>
      <c r="Z110" s="11" t="s">
        <v>1739</v>
      </c>
    </row>
    <row r="111" spans="1:26">
      <c r="A111" s="11" t="s">
        <v>514</v>
      </c>
      <c r="B111" s="11" t="s">
        <v>1707</v>
      </c>
      <c r="C111" s="17">
        <v>1647</v>
      </c>
      <c r="D111" s="17">
        <v>1697</v>
      </c>
      <c r="E111" s="11" t="s">
        <v>71</v>
      </c>
      <c r="F111" s="13" t="s">
        <v>515</v>
      </c>
      <c r="G111" s="18" t="s">
        <v>1026</v>
      </c>
      <c r="H111" s="11" t="s">
        <v>73</v>
      </c>
      <c r="I111" s="11" t="s">
        <v>282</v>
      </c>
      <c r="J111" s="11" t="s">
        <v>1708</v>
      </c>
      <c r="K111" s="11" t="s">
        <v>479</v>
      </c>
      <c r="L111" s="11" t="s">
        <v>284</v>
      </c>
      <c r="M111" s="5" t="s">
        <v>1740</v>
      </c>
      <c r="N111" s="5" t="s">
        <v>1741</v>
      </c>
      <c r="O111" s="5" t="s">
        <v>583</v>
      </c>
      <c r="P111" s="5" t="s">
        <v>520</v>
      </c>
      <c r="Q111" s="11" t="s">
        <v>82</v>
      </c>
      <c r="R111" s="11" t="s">
        <v>82</v>
      </c>
      <c r="S111" s="11" t="s">
        <v>82</v>
      </c>
      <c r="T111" s="11" t="s">
        <v>1712</v>
      </c>
      <c r="U111" s="5" t="s">
        <v>1713</v>
      </c>
      <c r="V111" s="11" t="s">
        <v>521</v>
      </c>
      <c r="W111" s="11" t="s">
        <v>96</v>
      </c>
      <c r="X111" s="11" t="s">
        <v>97</v>
      </c>
      <c r="Y111" s="11" t="s">
        <v>1714</v>
      </c>
      <c r="Z111" s="11" t="s">
        <v>1742</v>
      </c>
    </row>
    <row r="112" spans="1:26">
      <c r="A112" s="11" t="s">
        <v>523</v>
      </c>
      <c r="B112" s="11" t="s">
        <v>1707</v>
      </c>
      <c r="C112" s="12">
        <v>1780</v>
      </c>
      <c r="D112" s="12">
        <v>1679</v>
      </c>
      <c r="E112" s="11" t="s">
        <v>71</v>
      </c>
      <c r="F112" s="13" t="s">
        <v>524</v>
      </c>
      <c r="G112" s="14">
        <v>17</v>
      </c>
      <c r="H112" s="11" t="s">
        <v>73</v>
      </c>
      <c r="I112" s="11" t="s">
        <v>282</v>
      </c>
      <c r="J112" s="11" t="s">
        <v>1708</v>
      </c>
      <c r="K112" s="11" t="s">
        <v>447</v>
      </c>
      <c r="L112" s="11" t="s">
        <v>1017</v>
      </c>
      <c r="M112" s="5" t="s">
        <v>1721</v>
      </c>
      <c r="N112" s="5" t="s">
        <v>1743</v>
      </c>
      <c r="O112" s="5" t="s">
        <v>1744</v>
      </c>
      <c r="P112" s="5" t="s">
        <v>527</v>
      </c>
      <c r="Q112" s="11" t="s">
        <v>82</v>
      </c>
      <c r="R112" s="11" t="s">
        <v>82</v>
      </c>
      <c r="S112" s="11" t="s">
        <v>82</v>
      </c>
      <c r="T112" s="11" t="s">
        <v>1712</v>
      </c>
      <c r="U112" s="5" t="s">
        <v>1713</v>
      </c>
      <c r="V112" s="11" t="s">
        <v>528</v>
      </c>
      <c r="W112" s="11" t="s">
        <v>529</v>
      </c>
      <c r="X112" s="11" t="s">
        <v>530</v>
      </c>
      <c r="Y112" s="11" t="s">
        <v>1714</v>
      </c>
      <c r="Z112" s="11" t="s">
        <v>1745</v>
      </c>
    </row>
    <row r="113" spans="1:26">
      <c r="A113" s="11" t="s">
        <v>532</v>
      </c>
      <c r="B113" s="11" t="s">
        <v>1707</v>
      </c>
      <c r="C113" s="12">
        <v>2298</v>
      </c>
      <c r="D113" s="12">
        <v>1847</v>
      </c>
      <c r="E113" s="11" t="s">
        <v>71</v>
      </c>
      <c r="F113" s="13" t="s">
        <v>533</v>
      </c>
      <c r="G113" s="14">
        <v>19</v>
      </c>
      <c r="H113" s="11" t="s">
        <v>73</v>
      </c>
      <c r="I113" s="11" t="s">
        <v>282</v>
      </c>
      <c r="J113" s="11" t="s">
        <v>1708</v>
      </c>
      <c r="K113" s="11" t="s">
        <v>447</v>
      </c>
      <c r="L113" s="11" t="s">
        <v>1017</v>
      </c>
      <c r="M113" s="5" t="s">
        <v>1721</v>
      </c>
      <c r="N113" s="5" t="s">
        <v>677</v>
      </c>
      <c r="O113" s="5" t="s">
        <v>1746</v>
      </c>
      <c r="P113" s="5" t="s">
        <v>536</v>
      </c>
      <c r="Q113" s="11" t="s">
        <v>82</v>
      </c>
      <c r="R113" s="11" t="s">
        <v>82</v>
      </c>
      <c r="S113" s="11" t="s">
        <v>82</v>
      </c>
      <c r="T113" s="11" t="s">
        <v>1712</v>
      </c>
      <c r="U113" s="5" t="s">
        <v>1713</v>
      </c>
      <c r="V113" s="11" t="s">
        <v>537</v>
      </c>
      <c r="W113" s="11" t="s">
        <v>538</v>
      </c>
      <c r="X113" s="11" t="s">
        <v>539</v>
      </c>
      <c r="Y113" s="11" t="s">
        <v>1714</v>
      </c>
      <c r="Z113" s="11" t="s">
        <v>1747</v>
      </c>
    </row>
    <row r="114" spans="1:26">
      <c r="A114" s="11" t="s">
        <v>541</v>
      </c>
      <c r="B114" s="11" t="s">
        <v>1707</v>
      </c>
      <c r="C114" s="12">
        <v>2279</v>
      </c>
      <c r="D114" s="12">
        <v>1506</v>
      </c>
      <c r="E114" s="11" t="s">
        <v>71</v>
      </c>
      <c r="F114" s="13" t="s">
        <v>542</v>
      </c>
      <c r="G114" s="14">
        <v>19</v>
      </c>
      <c r="H114" s="11" t="s">
        <v>73</v>
      </c>
      <c r="I114" s="11" t="s">
        <v>282</v>
      </c>
      <c r="J114" s="11" t="s">
        <v>1708</v>
      </c>
      <c r="K114" s="11" t="s">
        <v>447</v>
      </c>
      <c r="L114" s="11" t="s">
        <v>1017</v>
      </c>
      <c r="M114" s="5" t="s">
        <v>1721</v>
      </c>
      <c r="N114" s="5" t="s">
        <v>1748</v>
      </c>
      <c r="O114" s="5" t="s">
        <v>1749</v>
      </c>
      <c r="P114" s="5" t="s">
        <v>545</v>
      </c>
      <c r="Q114" s="11" t="s">
        <v>82</v>
      </c>
      <c r="R114" s="11" t="s">
        <v>82</v>
      </c>
      <c r="S114" s="11" t="s">
        <v>82</v>
      </c>
      <c r="T114" s="11" t="s">
        <v>1712</v>
      </c>
      <c r="U114" s="5" t="s">
        <v>1713</v>
      </c>
      <c r="V114" s="11" t="s">
        <v>546</v>
      </c>
      <c r="W114" s="11" t="s">
        <v>547</v>
      </c>
      <c r="X114" s="11" t="s">
        <v>548</v>
      </c>
      <c r="Y114" s="11" t="s">
        <v>1714</v>
      </c>
      <c r="Z114" s="11" t="s">
        <v>1750</v>
      </c>
    </row>
    <row r="115" spans="1:26">
      <c r="A115" s="11" t="s">
        <v>550</v>
      </c>
      <c r="B115" s="11" t="s">
        <v>1707</v>
      </c>
      <c r="C115" s="17">
        <v>1933</v>
      </c>
      <c r="D115" s="17">
        <v>1647</v>
      </c>
      <c r="E115" s="11" t="s">
        <v>71</v>
      </c>
      <c r="F115" s="13" t="s">
        <v>551</v>
      </c>
      <c r="G115" s="18" t="s">
        <v>1038</v>
      </c>
      <c r="H115" s="11" t="s">
        <v>73</v>
      </c>
      <c r="I115" s="11" t="s">
        <v>282</v>
      </c>
      <c r="J115" s="11" t="s">
        <v>1708</v>
      </c>
      <c r="K115" s="11" t="s">
        <v>479</v>
      </c>
      <c r="L115" s="11" t="s">
        <v>284</v>
      </c>
      <c r="M115" s="5" t="s">
        <v>1751</v>
      </c>
      <c r="N115" s="5" t="s">
        <v>1752</v>
      </c>
      <c r="O115" s="5" t="s">
        <v>555</v>
      </c>
      <c r="P115" s="5" t="s">
        <v>556</v>
      </c>
      <c r="Q115" s="11" t="s">
        <v>82</v>
      </c>
      <c r="R115" s="11" t="s">
        <v>82</v>
      </c>
      <c r="S115" s="11" t="s">
        <v>82</v>
      </c>
      <c r="T115" s="11" t="s">
        <v>1712</v>
      </c>
      <c r="U115" s="5" t="s">
        <v>1713</v>
      </c>
      <c r="V115" s="11" t="s">
        <v>557</v>
      </c>
      <c r="W115" s="11" t="s">
        <v>105</v>
      </c>
      <c r="X115" s="11" t="s">
        <v>106</v>
      </c>
      <c r="Y115" s="11" t="s">
        <v>1714</v>
      </c>
      <c r="Z115" s="11" t="s">
        <v>1753</v>
      </c>
    </row>
    <row r="116" spans="1:26">
      <c r="A116" s="11" t="s">
        <v>69</v>
      </c>
      <c r="B116" s="11" t="s">
        <v>1754</v>
      </c>
      <c r="C116" s="12">
        <v>2482</v>
      </c>
      <c r="D116" s="12">
        <v>1918</v>
      </c>
      <c r="E116" s="11" t="s">
        <v>71</v>
      </c>
      <c r="F116" s="13" t="s">
        <v>72</v>
      </c>
      <c r="G116" s="14">
        <v>80</v>
      </c>
      <c r="H116" s="11" t="s">
        <v>73</v>
      </c>
      <c r="I116" s="11" t="s">
        <v>282</v>
      </c>
      <c r="J116" s="11" t="s">
        <v>1755</v>
      </c>
      <c r="K116" s="11" t="s">
        <v>76</v>
      </c>
      <c r="L116" s="11" t="s">
        <v>284</v>
      </c>
      <c r="M116" s="5" t="s">
        <v>1756</v>
      </c>
      <c r="N116" s="5" t="s">
        <v>1757</v>
      </c>
      <c r="O116" s="5" t="s">
        <v>1711</v>
      </c>
      <c r="P116" s="5" t="s">
        <v>81</v>
      </c>
      <c r="Q116" s="11" t="s">
        <v>82</v>
      </c>
      <c r="R116" s="11" t="s">
        <v>82</v>
      </c>
      <c r="S116" s="11" t="s">
        <v>82</v>
      </c>
      <c r="T116" s="11" t="s">
        <v>1758</v>
      </c>
      <c r="U116" s="5" t="s">
        <v>1759</v>
      </c>
      <c r="V116" s="11" t="s">
        <v>85</v>
      </c>
      <c r="W116" s="11" t="s">
        <v>86</v>
      </c>
      <c r="X116" s="11" t="s">
        <v>87</v>
      </c>
      <c r="Y116" s="11" t="s">
        <v>1760</v>
      </c>
      <c r="Z116" s="11" t="s">
        <v>1761</v>
      </c>
    </row>
    <row r="117" spans="1:26">
      <c r="A117" s="11" t="s">
        <v>90</v>
      </c>
      <c r="B117" s="11" t="s">
        <v>1754</v>
      </c>
      <c r="C117" s="12">
        <v>2876</v>
      </c>
      <c r="D117" s="12">
        <v>2482</v>
      </c>
      <c r="E117" s="11" t="s">
        <v>71</v>
      </c>
      <c r="F117" s="13" t="s">
        <v>91</v>
      </c>
      <c r="G117" s="14">
        <v>88</v>
      </c>
      <c r="H117" s="11" t="s">
        <v>73</v>
      </c>
      <c r="I117" s="11" t="s">
        <v>282</v>
      </c>
      <c r="J117" s="11" t="s">
        <v>1755</v>
      </c>
      <c r="K117" s="11" t="s">
        <v>76</v>
      </c>
      <c r="L117" s="11" t="s">
        <v>284</v>
      </c>
      <c r="M117" s="5" t="s">
        <v>1756</v>
      </c>
      <c r="N117" s="5" t="s">
        <v>1762</v>
      </c>
      <c r="O117" s="5" t="s">
        <v>1576</v>
      </c>
      <c r="P117" s="5" t="s">
        <v>94</v>
      </c>
      <c r="Q117" s="11" t="s">
        <v>82</v>
      </c>
      <c r="R117" s="11" t="s">
        <v>82</v>
      </c>
      <c r="S117" s="11" t="s">
        <v>82</v>
      </c>
      <c r="T117" s="11" t="s">
        <v>1758</v>
      </c>
      <c r="U117" s="5" t="s">
        <v>1759</v>
      </c>
      <c r="V117" s="11" t="s">
        <v>95</v>
      </c>
      <c r="W117" s="11" t="s">
        <v>96</v>
      </c>
      <c r="X117" s="11" t="s">
        <v>97</v>
      </c>
      <c r="Y117" s="11" t="s">
        <v>1760</v>
      </c>
      <c r="Z117" s="11" t="s">
        <v>1763</v>
      </c>
    </row>
    <row r="118" spans="1:26">
      <c r="A118" s="11" t="s">
        <v>99</v>
      </c>
      <c r="B118" s="11" t="s">
        <v>1754</v>
      </c>
      <c r="C118" s="12">
        <v>3777</v>
      </c>
      <c r="D118" s="12">
        <v>2876</v>
      </c>
      <c r="E118" s="11" t="s">
        <v>71</v>
      </c>
      <c r="F118" s="13" t="s">
        <v>100</v>
      </c>
      <c r="G118" s="14">
        <v>86</v>
      </c>
      <c r="H118" s="11" t="s">
        <v>73</v>
      </c>
      <c r="I118" s="11" t="s">
        <v>282</v>
      </c>
      <c r="J118" s="11" t="s">
        <v>1755</v>
      </c>
      <c r="K118" s="11" t="s">
        <v>76</v>
      </c>
      <c r="L118" s="11" t="s">
        <v>284</v>
      </c>
      <c r="M118" s="5" t="s">
        <v>1756</v>
      </c>
      <c r="N118" s="5" t="s">
        <v>1764</v>
      </c>
      <c r="O118" s="5" t="s">
        <v>1719</v>
      </c>
      <c r="P118" s="5" t="s">
        <v>103</v>
      </c>
      <c r="Q118" s="11" t="s">
        <v>82</v>
      </c>
      <c r="R118" s="11" t="s">
        <v>82</v>
      </c>
      <c r="S118" s="11" t="s">
        <v>82</v>
      </c>
      <c r="T118" s="11" t="s">
        <v>1758</v>
      </c>
      <c r="U118" s="5" t="s">
        <v>1759</v>
      </c>
      <c r="V118" s="11" t="s">
        <v>104</v>
      </c>
      <c r="W118" s="11" t="s">
        <v>105</v>
      </c>
      <c r="X118" s="11" t="s">
        <v>106</v>
      </c>
      <c r="Y118" s="11" t="s">
        <v>1760</v>
      </c>
      <c r="Z118" s="11" t="s">
        <v>1765</v>
      </c>
    </row>
    <row r="119" spans="1:26">
      <c r="A119" s="11" t="s">
        <v>445</v>
      </c>
      <c r="B119" s="11" t="s">
        <v>1754</v>
      </c>
      <c r="C119" s="12">
        <v>508</v>
      </c>
      <c r="D119" s="12">
        <v>378</v>
      </c>
      <c r="E119" s="11" t="s">
        <v>71</v>
      </c>
      <c r="F119" s="13" t="s">
        <v>446</v>
      </c>
      <c r="G119" s="14">
        <v>18</v>
      </c>
      <c r="H119" s="11" t="s">
        <v>73</v>
      </c>
      <c r="I119" s="11" t="s">
        <v>282</v>
      </c>
      <c r="J119" s="11" t="s">
        <v>1755</v>
      </c>
      <c r="K119" s="11" t="s">
        <v>447</v>
      </c>
      <c r="L119" s="11" t="s">
        <v>1000</v>
      </c>
      <c r="M119" s="5" t="s">
        <v>1766</v>
      </c>
      <c r="N119" s="5" t="s">
        <v>1767</v>
      </c>
      <c r="O119" s="5" t="s">
        <v>80</v>
      </c>
      <c r="P119" s="5" t="s">
        <v>452</v>
      </c>
      <c r="Q119" s="11" t="s">
        <v>82</v>
      </c>
      <c r="R119" s="11" t="s">
        <v>82</v>
      </c>
      <c r="S119" s="11" t="s">
        <v>82</v>
      </c>
      <c r="T119" s="11" t="s">
        <v>1758</v>
      </c>
      <c r="U119" s="5" t="s">
        <v>1768</v>
      </c>
      <c r="V119" s="11" t="s">
        <v>454</v>
      </c>
      <c r="W119" s="11" t="s">
        <v>455</v>
      </c>
      <c r="X119" s="11" t="s">
        <v>456</v>
      </c>
      <c r="Y119" s="11" t="s">
        <v>1760</v>
      </c>
      <c r="Z119" s="11" t="s">
        <v>1769</v>
      </c>
    </row>
    <row r="120" spans="1:26">
      <c r="A120" s="11" t="s">
        <v>458</v>
      </c>
      <c r="B120" s="11" t="s">
        <v>1754</v>
      </c>
      <c r="C120" s="12">
        <v>647</v>
      </c>
      <c r="D120" s="12">
        <v>514</v>
      </c>
      <c r="E120" s="11" t="s">
        <v>71</v>
      </c>
      <c r="F120" s="13" t="s">
        <v>459</v>
      </c>
      <c r="G120" s="14">
        <v>22</v>
      </c>
      <c r="H120" s="11" t="s">
        <v>73</v>
      </c>
      <c r="I120" s="11" t="s">
        <v>282</v>
      </c>
      <c r="J120" s="11" t="s">
        <v>1755</v>
      </c>
      <c r="K120" s="11" t="s">
        <v>447</v>
      </c>
      <c r="L120" s="11" t="s">
        <v>1000</v>
      </c>
      <c r="M120" s="5" t="s">
        <v>1766</v>
      </c>
      <c r="N120" s="5" t="s">
        <v>1770</v>
      </c>
      <c r="O120" s="5" t="s">
        <v>1583</v>
      </c>
      <c r="P120" s="5" t="s">
        <v>462</v>
      </c>
      <c r="Q120" s="11" t="s">
        <v>82</v>
      </c>
      <c r="R120" s="11" t="s">
        <v>82</v>
      </c>
      <c r="S120" s="11" t="s">
        <v>82</v>
      </c>
      <c r="T120" s="11" t="s">
        <v>1758</v>
      </c>
      <c r="U120" s="5" t="s">
        <v>1768</v>
      </c>
      <c r="V120" s="11" t="s">
        <v>463</v>
      </c>
      <c r="W120" s="11" t="s">
        <v>464</v>
      </c>
      <c r="X120" s="11" t="s">
        <v>465</v>
      </c>
      <c r="Y120" s="11" t="s">
        <v>1760</v>
      </c>
      <c r="Z120" s="11" t="s">
        <v>1771</v>
      </c>
    </row>
    <row r="121" spans="1:26">
      <c r="A121" s="11" t="s">
        <v>467</v>
      </c>
      <c r="B121" s="11" t="s">
        <v>1754</v>
      </c>
      <c r="C121" s="12">
        <v>652</v>
      </c>
      <c r="D121" s="12">
        <v>488</v>
      </c>
      <c r="E121" s="11" t="s">
        <v>71</v>
      </c>
      <c r="F121" s="13" t="s">
        <v>468</v>
      </c>
      <c r="G121" s="14">
        <v>22</v>
      </c>
      <c r="H121" s="11" t="s">
        <v>73</v>
      </c>
      <c r="I121" s="11" t="s">
        <v>282</v>
      </c>
      <c r="J121" s="11" t="s">
        <v>1755</v>
      </c>
      <c r="K121" s="11" t="s">
        <v>447</v>
      </c>
      <c r="L121" s="11" t="s">
        <v>1000</v>
      </c>
      <c r="M121" s="5" t="s">
        <v>1766</v>
      </c>
      <c r="N121" s="5" t="s">
        <v>1772</v>
      </c>
      <c r="O121" s="5" t="s">
        <v>1728</v>
      </c>
      <c r="P121" s="5" t="s">
        <v>471</v>
      </c>
      <c r="Q121" s="11" t="s">
        <v>82</v>
      </c>
      <c r="R121" s="11" t="s">
        <v>82</v>
      </c>
      <c r="S121" s="11" t="s">
        <v>82</v>
      </c>
      <c r="T121" s="11" t="s">
        <v>1758</v>
      </c>
      <c r="U121" s="5" t="s">
        <v>1759</v>
      </c>
      <c r="V121" s="11" t="s">
        <v>472</v>
      </c>
      <c r="W121" s="11" t="s">
        <v>473</v>
      </c>
      <c r="X121" s="11" t="s">
        <v>474</v>
      </c>
      <c r="Y121" s="11" t="s">
        <v>1760</v>
      </c>
      <c r="Z121" s="11" t="s">
        <v>1773</v>
      </c>
    </row>
    <row r="122" spans="1:26">
      <c r="A122" s="11" t="s">
        <v>476</v>
      </c>
      <c r="B122" s="11" t="s">
        <v>1754</v>
      </c>
      <c r="C122" s="17">
        <v>675</v>
      </c>
      <c r="D122" s="17">
        <v>538</v>
      </c>
      <c r="E122" s="11" t="s">
        <v>71</v>
      </c>
      <c r="F122" s="13" t="s">
        <v>477</v>
      </c>
      <c r="G122" s="18" t="s">
        <v>1012</v>
      </c>
      <c r="H122" s="11" t="s">
        <v>73</v>
      </c>
      <c r="I122" s="11" t="s">
        <v>282</v>
      </c>
      <c r="J122" s="11" t="s">
        <v>1755</v>
      </c>
      <c r="K122" s="11" t="s">
        <v>479</v>
      </c>
      <c r="L122" s="11" t="s">
        <v>284</v>
      </c>
      <c r="M122" s="5" t="s">
        <v>1774</v>
      </c>
      <c r="N122" s="5" t="s">
        <v>1775</v>
      </c>
      <c r="O122" s="5" t="s">
        <v>1015</v>
      </c>
      <c r="P122" s="5" t="s">
        <v>483</v>
      </c>
      <c r="Q122" s="11" t="s">
        <v>82</v>
      </c>
      <c r="R122" s="11" t="s">
        <v>82</v>
      </c>
      <c r="S122" s="11" t="s">
        <v>82</v>
      </c>
      <c r="T122" s="11" t="s">
        <v>1758</v>
      </c>
      <c r="U122" s="5" t="s">
        <v>1759</v>
      </c>
      <c r="V122" s="11" t="s">
        <v>484</v>
      </c>
      <c r="W122" s="11" t="s">
        <v>86</v>
      </c>
      <c r="X122" s="11" t="s">
        <v>87</v>
      </c>
      <c r="Y122" s="11" t="s">
        <v>1760</v>
      </c>
      <c r="Z122" s="11" t="s">
        <v>1776</v>
      </c>
    </row>
    <row r="123" spans="1:26">
      <c r="A123" s="11" t="s">
        <v>486</v>
      </c>
      <c r="B123" s="11" t="s">
        <v>1754</v>
      </c>
      <c r="C123" s="12">
        <v>693</v>
      </c>
      <c r="D123" s="12">
        <v>508</v>
      </c>
      <c r="E123" s="11" t="s">
        <v>71</v>
      </c>
      <c r="F123" s="13" t="s">
        <v>487</v>
      </c>
      <c r="G123" s="14">
        <v>17</v>
      </c>
      <c r="H123" s="11" t="s">
        <v>73</v>
      </c>
      <c r="I123" s="11" t="s">
        <v>282</v>
      </c>
      <c r="J123" s="11" t="s">
        <v>1755</v>
      </c>
      <c r="K123" s="11" t="s">
        <v>447</v>
      </c>
      <c r="L123" s="11" t="s">
        <v>1017</v>
      </c>
      <c r="M123" s="5" t="s">
        <v>1766</v>
      </c>
      <c r="N123" s="5" t="s">
        <v>1777</v>
      </c>
      <c r="O123" s="5" t="s">
        <v>1603</v>
      </c>
      <c r="P123" s="5" t="s">
        <v>491</v>
      </c>
      <c r="Q123" s="11" t="s">
        <v>82</v>
      </c>
      <c r="R123" s="11" t="s">
        <v>82</v>
      </c>
      <c r="S123" s="11" t="s">
        <v>82</v>
      </c>
      <c r="T123" s="11" t="s">
        <v>1758</v>
      </c>
      <c r="U123" s="5" t="s">
        <v>1759</v>
      </c>
      <c r="V123" s="11" t="s">
        <v>492</v>
      </c>
      <c r="W123" s="11" t="s">
        <v>493</v>
      </c>
      <c r="X123" s="11" t="s">
        <v>494</v>
      </c>
      <c r="Y123" s="11" t="s">
        <v>1760</v>
      </c>
      <c r="Z123" s="11" t="s">
        <v>1778</v>
      </c>
    </row>
    <row r="124" spans="1:26">
      <c r="A124" s="11" t="s">
        <v>496</v>
      </c>
      <c r="B124" s="11" t="s">
        <v>1754</v>
      </c>
      <c r="C124" s="12">
        <v>819</v>
      </c>
      <c r="D124" s="12">
        <v>647</v>
      </c>
      <c r="E124" s="11" t="s">
        <v>71</v>
      </c>
      <c r="F124" s="13" t="s">
        <v>497</v>
      </c>
      <c r="G124" s="14">
        <v>20</v>
      </c>
      <c r="H124" s="11" t="s">
        <v>73</v>
      </c>
      <c r="I124" s="11" t="s">
        <v>282</v>
      </c>
      <c r="J124" s="11" t="s">
        <v>1755</v>
      </c>
      <c r="K124" s="11" t="s">
        <v>447</v>
      </c>
      <c r="L124" s="11" t="s">
        <v>1017</v>
      </c>
      <c r="M124" s="5" t="s">
        <v>1766</v>
      </c>
      <c r="N124" s="5" t="s">
        <v>1779</v>
      </c>
      <c r="O124" s="5" t="s">
        <v>1736</v>
      </c>
      <c r="P124" s="5" t="s">
        <v>500</v>
      </c>
      <c r="Q124" s="11" t="s">
        <v>82</v>
      </c>
      <c r="R124" s="11" t="s">
        <v>82</v>
      </c>
      <c r="S124" s="11" t="s">
        <v>82</v>
      </c>
      <c r="T124" s="11" t="s">
        <v>1758</v>
      </c>
      <c r="U124" s="5" t="s">
        <v>1759</v>
      </c>
      <c r="V124" s="11" t="s">
        <v>501</v>
      </c>
      <c r="W124" s="11" t="s">
        <v>502</v>
      </c>
      <c r="X124" s="11" t="s">
        <v>503</v>
      </c>
      <c r="Y124" s="11" t="s">
        <v>1760</v>
      </c>
      <c r="Z124" s="11" t="s">
        <v>1780</v>
      </c>
    </row>
    <row r="125" spans="1:26">
      <c r="A125" s="11" t="s">
        <v>505</v>
      </c>
      <c r="B125" s="11" t="s">
        <v>1754</v>
      </c>
      <c r="C125" s="12">
        <v>625</v>
      </c>
      <c r="D125" s="12">
        <v>652</v>
      </c>
      <c r="E125" s="11" t="s">
        <v>71</v>
      </c>
      <c r="F125" s="13" t="s">
        <v>506</v>
      </c>
      <c r="G125" s="14">
        <v>20</v>
      </c>
      <c r="H125" s="11" t="s">
        <v>73</v>
      </c>
      <c r="I125" s="11" t="s">
        <v>282</v>
      </c>
      <c r="J125" s="11" t="s">
        <v>1755</v>
      </c>
      <c r="K125" s="11" t="s">
        <v>447</v>
      </c>
      <c r="L125" s="11" t="s">
        <v>1017</v>
      </c>
      <c r="M125" s="5" t="s">
        <v>1766</v>
      </c>
      <c r="N125" s="5" t="s">
        <v>1781</v>
      </c>
      <c r="O125" s="5" t="s">
        <v>1738</v>
      </c>
      <c r="P125" s="5" t="s">
        <v>509</v>
      </c>
      <c r="Q125" s="11" t="s">
        <v>82</v>
      </c>
      <c r="R125" s="11" t="s">
        <v>82</v>
      </c>
      <c r="S125" s="11" t="s">
        <v>82</v>
      </c>
      <c r="T125" s="11" t="s">
        <v>1758</v>
      </c>
      <c r="U125" s="5" t="s">
        <v>1759</v>
      </c>
      <c r="V125" s="11" t="s">
        <v>510</v>
      </c>
      <c r="W125" s="11" t="s">
        <v>511</v>
      </c>
      <c r="X125" s="11" t="s">
        <v>512</v>
      </c>
      <c r="Y125" s="11" t="s">
        <v>1760</v>
      </c>
      <c r="Z125" s="11" t="s">
        <v>1782</v>
      </c>
    </row>
    <row r="126" spans="1:26">
      <c r="A126" s="11" t="s">
        <v>514</v>
      </c>
      <c r="B126" s="11" t="s">
        <v>1754</v>
      </c>
      <c r="C126" s="17">
        <v>739</v>
      </c>
      <c r="D126" s="17">
        <v>675</v>
      </c>
      <c r="E126" s="11" t="s">
        <v>71</v>
      </c>
      <c r="F126" s="13" t="s">
        <v>515</v>
      </c>
      <c r="G126" s="18" t="s">
        <v>1026</v>
      </c>
      <c r="H126" s="11" t="s">
        <v>73</v>
      </c>
      <c r="I126" s="11" t="s">
        <v>282</v>
      </c>
      <c r="J126" s="11" t="s">
        <v>1755</v>
      </c>
      <c r="K126" s="11" t="s">
        <v>479</v>
      </c>
      <c r="L126" s="11" t="s">
        <v>284</v>
      </c>
      <c r="M126" s="5" t="s">
        <v>1783</v>
      </c>
      <c r="N126" s="5" t="s">
        <v>1784</v>
      </c>
      <c r="O126" s="5" t="s">
        <v>1015</v>
      </c>
      <c r="P126" s="5" t="s">
        <v>520</v>
      </c>
      <c r="Q126" s="11" t="s">
        <v>82</v>
      </c>
      <c r="R126" s="11" t="s">
        <v>82</v>
      </c>
      <c r="S126" s="11" t="s">
        <v>82</v>
      </c>
      <c r="T126" s="11" t="s">
        <v>1758</v>
      </c>
      <c r="U126" s="5" t="s">
        <v>1759</v>
      </c>
      <c r="V126" s="11" t="s">
        <v>521</v>
      </c>
      <c r="W126" s="11" t="s">
        <v>96</v>
      </c>
      <c r="X126" s="11" t="s">
        <v>97</v>
      </c>
      <c r="Y126" s="11" t="s">
        <v>1760</v>
      </c>
      <c r="Z126" s="11" t="s">
        <v>1785</v>
      </c>
    </row>
    <row r="127" spans="1:26">
      <c r="A127" s="11" t="s">
        <v>523</v>
      </c>
      <c r="B127" s="11" t="s">
        <v>1754</v>
      </c>
      <c r="C127" s="12">
        <v>816</v>
      </c>
      <c r="D127" s="12">
        <v>693</v>
      </c>
      <c r="E127" s="11" t="s">
        <v>71</v>
      </c>
      <c r="F127" s="13" t="s">
        <v>524</v>
      </c>
      <c r="G127" s="14">
        <v>17</v>
      </c>
      <c r="H127" s="11" t="s">
        <v>73</v>
      </c>
      <c r="I127" s="11" t="s">
        <v>282</v>
      </c>
      <c r="J127" s="11" t="s">
        <v>1755</v>
      </c>
      <c r="K127" s="11" t="s">
        <v>447</v>
      </c>
      <c r="L127" s="11" t="s">
        <v>1017</v>
      </c>
      <c r="M127" s="5" t="s">
        <v>1766</v>
      </c>
      <c r="N127" s="5" t="s">
        <v>1786</v>
      </c>
      <c r="O127" s="5" t="s">
        <v>1744</v>
      </c>
      <c r="P127" s="5" t="s">
        <v>527</v>
      </c>
      <c r="Q127" s="11" t="s">
        <v>82</v>
      </c>
      <c r="R127" s="11" t="s">
        <v>82</v>
      </c>
      <c r="S127" s="11" t="s">
        <v>82</v>
      </c>
      <c r="T127" s="11" t="s">
        <v>1758</v>
      </c>
      <c r="U127" s="5" t="s">
        <v>1759</v>
      </c>
      <c r="V127" s="11" t="s">
        <v>528</v>
      </c>
      <c r="W127" s="11" t="s">
        <v>529</v>
      </c>
      <c r="X127" s="11" t="s">
        <v>530</v>
      </c>
      <c r="Y127" s="11" t="s">
        <v>1760</v>
      </c>
      <c r="Z127" s="11" t="s">
        <v>1787</v>
      </c>
    </row>
    <row r="128" spans="1:26">
      <c r="A128" s="11" t="s">
        <v>532</v>
      </c>
      <c r="B128" s="11" t="s">
        <v>1754</v>
      </c>
      <c r="C128" s="12">
        <v>1139</v>
      </c>
      <c r="D128" s="12">
        <v>819</v>
      </c>
      <c r="E128" s="11" t="s">
        <v>71</v>
      </c>
      <c r="F128" s="13" t="s">
        <v>533</v>
      </c>
      <c r="G128" s="14">
        <v>19</v>
      </c>
      <c r="H128" s="11" t="s">
        <v>73</v>
      </c>
      <c r="I128" s="11" t="s">
        <v>282</v>
      </c>
      <c r="J128" s="11" t="s">
        <v>1755</v>
      </c>
      <c r="K128" s="11" t="s">
        <v>447</v>
      </c>
      <c r="L128" s="11" t="s">
        <v>1017</v>
      </c>
      <c r="M128" s="5" t="s">
        <v>1766</v>
      </c>
      <c r="N128" s="5" t="s">
        <v>1788</v>
      </c>
      <c r="O128" s="5" t="s">
        <v>1746</v>
      </c>
      <c r="P128" s="5" t="s">
        <v>536</v>
      </c>
      <c r="Q128" s="11" t="s">
        <v>82</v>
      </c>
      <c r="R128" s="11" t="s">
        <v>82</v>
      </c>
      <c r="S128" s="11" t="s">
        <v>82</v>
      </c>
      <c r="T128" s="11" t="s">
        <v>1758</v>
      </c>
      <c r="U128" s="5" t="s">
        <v>1759</v>
      </c>
      <c r="V128" s="11" t="s">
        <v>537</v>
      </c>
      <c r="W128" s="11" t="s">
        <v>538</v>
      </c>
      <c r="X128" s="11" t="s">
        <v>539</v>
      </c>
      <c r="Y128" s="11" t="s">
        <v>1760</v>
      </c>
      <c r="Z128" s="11" t="s">
        <v>1789</v>
      </c>
    </row>
    <row r="129" spans="1:26">
      <c r="A129" s="11" t="s">
        <v>541</v>
      </c>
      <c r="B129" s="11" t="s">
        <v>1754</v>
      </c>
      <c r="C129" s="12">
        <v>1010</v>
      </c>
      <c r="D129" s="12">
        <v>625</v>
      </c>
      <c r="E129" s="11" t="s">
        <v>71</v>
      </c>
      <c r="F129" s="13" t="s">
        <v>542</v>
      </c>
      <c r="G129" s="14">
        <v>19</v>
      </c>
      <c r="H129" s="11" t="s">
        <v>73</v>
      </c>
      <c r="I129" s="11" t="s">
        <v>282</v>
      </c>
      <c r="J129" s="11" t="s">
        <v>1755</v>
      </c>
      <c r="K129" s="11" t="s">
        <v>447</v>
      </c>
      <c r="L129" s="11" t="s">
        <v>1017</v>
      </c>
      <c r="M129" s="5" t="s">
        <v>1766</v>
      </c>
      <c r="N129" s="5" t="s">
        <v>1790</v>
      </c>
      <c r="O129" s="5" t="s">
        <v>1749</v>
      </c>
      <c r="P129" s="5" t="s">
        <v>545</v>
      </c>
      <c r="Q129" s="11" t="s">
        <v>82</v>
      </c>
      <c r="R129" s="11" t="s">
        <v>82</v>
      </c>
      <c r="S129" s="11" t="s">
        <v>82</v>
      </c>
      <c r="T129" s="11" t="s">
        <v>1758</v>
      </c>
      <c r="U129" s="5" t="s">
        <v>1759</v>
      </c>
      <c r="V129" s="11" t="s">
        <v>546</v>
      </c>
      <c r="W129" s="11" t="s">
        <v>547</v>
      </c>
      <c r="X129" s="11" t="s">
        <v>548</v>
      </c>
      <c r="Y129" s="11" t="s">
        <v>1760</v>
      </c>
      <c r="Z129" s="11" t="s">
        <v>1791</v>
      </c>
    </row>
    <row r="130" spans="1:26">
      <c r="A130" s="11" t="s">
        <v>550</v>
      </c>
      <c r="B130" s="11" t="s">
        <v>1754</v>
      </c>
      <c r="C130" s="17">
        <v>812</v>
      </c>
      <c r="D130" s="17">
        <v>739</v>
      </c>
      <c r="E130" s="11" t="s">
        <v>71</v>
      </c>
      <c r="F130" s="13" t="s">
        <v>551</v>
      </c>
      <c r="G130" s="18" t="s">
        <v>1038</v>
      </c>
      <c r="H130" s="11" t="s">
        <v>73</v>
      </c>
      <c r="I130" s="11" t="s">
        <v>282</v>
      </c>
      <c r="J130" s="11" t="s">
        <v>1755</v>
      </c>
      <c r="K130" s="11" t="s">
        <v>479</v>
      </c>
      <c r="L130" s="11" t="s">
        <v>284</v>
      </c>
      <c r="M130" s="5" t="s">
        <v>1792</v>
      </c>
      <c r="N130" s="5" t="s">
        <v>1793</v>
      </c>
      <c r="O130" s="5" t="s">
        <v>1015</v>
      </c>
      <c r="P130" s="5" t="s">
        <v>556</v>
      </c>
      <c r="Q130" s="11" t="s">
        <v>82</v>
      </c>
      <c r="R130" s="11" t="s">
        <v>82</v>
      </c>
      <c r="S130" s="11" t="s">
        <v>82</v>
      </c>
      <c r="T130" s="11" t="s">
        <v>1758</v>
      </c>
      <c r="U130" s="5" t="s">
        <v>1759</v>
      </c>
      <c r="V130" s="11" t="s">
        <v>557</v>
      </c>
      <c r="W130" s="11" t="s">
        <v>105</v>
      </c>
      <c r="X130" s="11" t="s">
        <v>106</v>
      </c>
      <c r="Y130" s="11" t="s">
        <v>1760</v>
      </c>
      <c r="Z130" s="11" t="s">
        <v>1794</v>
      </c>
    </row>
    <row r="131" spans="1:26">
      <c r="A131" s="11" t="s">
        <v>69</v>
      </c>
      <c r="B131" s="11" t="s">
        <v>1795</v>
      </c>
      <c r="C131" s="12">
        <v>3726</v>
      </c>
      <c r="D131" s="12">
        <v>3216</v>
      </c>
      <c r="E131" s="11" t="s">
        <v>71</v>
      </c>
      <c r="F131" s="13" t="s">
        <v>72</v>
      </c>
      <c r="G131" s="14">
        <v>80</v>
      </c>
      <c r="H131" s="11" t="s">
        <v>73</v>
      </c>
      <c r="I131" s="11" t="s">
        <v>282</v>
      </c>
      <c r="J131" s="11" t="s">
        <v>1796</v>
      </c>
      <c r="K131" s="11" t="s">
        <v>76</v>
      </c>
      <c r="L131" s="11" t="s">
        <v>284</v>
      </c>
      <c r="M131" s="5" t="s">
        <v>1797</v>
      </c>
      <c r="N131" s="5" t="s">
        <v>1798</v>
      </c>
      <c r="O131" s="5" t="s">
        <v>1711</v>
      </c>
      <c r="P131" s="5" t="s">
        <v>81</v>
      </c>
      <c r="Q131" s="11" t="s">
        <v>82</v>
      </c>
      <c r="R131" s="11" t="s">
        <v>82</v>
      </c>
      <c r="S131" s="11" t="s">
        <v>82</v>
      </c>
      <c r="T131" s="11" t="s">
        <v>1799</v>
      </c>
      <c r="U131" s="5" t="s">
        <v>1800</v>
      </c>
      <c r="V131" s="11" t="s">
        <v>85</v>
      </c>
      <c r="W131" s="11" t="s">
        <v>86</v>
      </c>
      <c r="X131" s="11" t="s">
        <v>87</v>
      </c>
      <c r="Y131" s="11" t="s">
        <v>1801</v>
      </c>
      <c r="Z131" s="11" t="s">
        <v>1802</v>
      </c>
    </row>
    <row r="132" spans="1:26">
      <c r="A132" s="11" t="s">
        <v>90</v>
      </c>
      <c r="B132" s="11" t="s">
        <v>1795</v>
      </c>
      <c r="C132" s="12">
        <v>3803</v>
      </c>
      <c r="D132" s="12">
        <v>3726</v>
      </c>
      <c r="E132" s="11" t="s">
        <v>71</v>
      </c>
      <c r="F132" s="13" t="s">
        <v>91</v>
      </c>
      <c r="G132" s="14">
        <v>88</v>
      </c>
      <c r="H132" s="11" t="s">
        <v>73</v>
      </c>
      <c r="I132" s="11" t="s">
        <v>282</v>
      </c>
      <c r="J132" s="11" t="s">
        <v>1796</v>
      </c>
      <c r="K132" s="11" t="s">
        <v>76</v>
      </c>
      <c r="L132" s="11" t="s">
        <v>284</v>
      </c>
      <c r="M132" s="5" t="s">
        <v>1797</v>
      </c>
      <c r="N132" s="5" t="s">
        <v>1803</v>
      </c>
      <c r="O132" s="5" t="s">
        <v>1576</v>
      </c>
      <c r="P132" s="5" t="s">
        <v>94</v>
      </c>
      <c r="Q132" s="11" t="s">
        <v>82</v>
      </c>
      <c r="R132" s="11" t="s">
        <v>82</v>
      </c>
      <c r="S132" s="11" t="s">
        <v>82</v>
      </c>
      <c r="T132" s="11" t="s">
        <v>1799</v>
      </c>
      <c r="U132" s="5" t="s">
        <v>1800</v>
      </c>
      <c r="V132" s="11" t="s">
        <v>95</v>
      </c>
      <c r="W132" s="11" t="s">
        <v>96</v>
      </c>
      <c r="X132" s="11" t="s">
        <v>97</v>
      </c>
      <c r="Y132" s="11" t="s">
        <v>1801</v>
      </c>
      <c r="Z132" s="11" t="s">
        <v>1804</v>
      </c>
    </row>
    <row r="133" spans="1:26">
      <c r="A133" s="11" t="s">
        <v>99</v>
      </c>
      <c r="B133" s="11" t="s">
        <v>1795</v>
      </c>
      <c r="C133" s="12">
        <v>4513</v>
      </c>
      <c r="D133" s="12">
        <v>3803</v>
      </c>
      <c r="E133" s="11" t="s">
        <v>71</v>
      </c>
      <c r="F133" s="13" t="s">
        <v>100</v>
      </c>
      <c r="G133" s="14">
        <v>86</v>
      </c>
      <c r="H133" s="11" t="s">
        <v>73</v>
      </c>
      <c r="I133" s="11" t="s">
        <v>282</v>
      </c>
      <c r="J133" s="11" t="s">
        <v>1796</v>
      </c>
      <c r="K133" s="11" t="s">
        <v>76</v>
      </c>
      <c r="L133" s="11" t="s">
        <v>284</v>
      </c>
      <c r="M133" s="5" t="s">
        <v>1797</v>
      </c>
      <c r="N133" s="5" t="s">
        <v>1805</v>
      </c>
      <c r="O133" s="5" t="s">
        <v>1719</v>
      </c>
      <c r="P133" s="5" t="s">
        <v>103</v>
      </c>
      <c r="Q133" s="11" t="s">
        <v>82</v>
      </c>
      <c r="R133" s="11" t="s">
        <v>82</v>
      </c>
      <c r="S133" s="11" t="s">
        <v>82</v>
      </c>
      <c r="T133" s="11" t="s">
        <v>1799</v>
      </c>
      <c r="U133" s="5" t="s">
        <v>1800</v>
      </c>
      <c r="V133" s="11" t="s">
        <v>104</v>
      </c>
      <c r="W133" s="11" t="s">
        <v>105</v>
      </c>
      <c r="X133" s="11" t="s">
        <v>106</v>
      </c>
      <c r="Y133" s="11" t="s">
        <v>1801</v>
      </c>
      <c r="Z133" s="11" t="s">
        <v>1806</v>
      </c>
    </row>
    <row r="134" spans="1:26">
      <c r="A134" s="11" t="s">
        <v>445</v>
      </c>
      <c r="B134" s="11" t="s">
        <v>1795</v>
      </c>
      <c r="C134" s="12">
        <v>871</v>
      </c>
      <c r="D134" s="12">
        <v>730</v>
      </c>
      <c r="E134" s="11" t="s">
        <v>71</v>
      </c>
      <c r="F134" s="13" t="s">
        <v>446</v>
      </c>
      <c r="G134" s="14">
        <v>18</v>
      </c>
      <c r="H134" s="11" t="s">
        <v>73</v>
      </c>
      <c r="I134" s="11" t="s">
        <v>282</v>
      </c>
      <c r="J134" s="11" t="s">
        <v>1796</v>
      </c>
      <c r="K134" s="11" t="s">
        <v>447</v>
      </c>
      <c r="L134" s="11" t="s">
        <v>1000</v>
      </c>
      <c r="M134" s="5" t="s">
        <v>1807</v>
      </c>
      <c r="N134" s="5" t="s">
        <v>1808</v>
      </c>
      <c r="O134" s="5" t="s">
        <v>80</v>
      </c>
      <c r="P134" s="5" t="s">
        <v>452</v>
      </c>
      <c r="Q134" s="11" t="s">
        <v>82</v>
      </c>
      <c r="R134" s="11" t="s">
        <v>82</v>
      </c>
      <c r="S134" s="11" t="s">
        <v>82</v>
      </c>
      <c r="T134" s="11" t="s">
        <v>1799</v>
      </c>
      <c r="U134" s="5" t="s">
        <v>1809</v>
      </c>
      <c r="V134" s="11" t="s">
        <v>454</v>
      </c>
      <c r="W134" s="11" t="s">
        <v>455</v>
      </c>
      <c r="X134" s="11" t="s">
        <v>456</v>
      </c>
      <c r="Y134" s="11" t="s">
        <v>1801</v>
      </c>
      <c r="Z134" s="11" t="s">
        <v>1810</v>
      </c>
    </row>
    <row r="135" spans="1:26">
      <c r="A135" s="11" t="s">
        <v>458</v>
      </c>
      <c r="B135" s="11" t="s">
        <v>1795</v>
      </c>
      <c r="C135" s="12">
        <v>897</v>
      </c>
      <c r="D135" s="12">
        <v>708</v>
      </c>
      <c r="E135" s="11" t="s">
        <v>71</v>
      </c>
      <c r="F135" s="13" t="s">
        <v>459</v>
      </c>
      <c r="G135" s="14">
        <v>22</v>
      </c>
      <c r="H135" s="11" t="s">
        <v>73</v>
      </c>
      <c r="I135" s="11" t="s">
        <v>282</v>
      </c>
      <c r="J135" s="11" t="s">
        <v>1796</v>
      </c>
      <c r="K135" s="11" t="s">
        <v>447</v>
      </c>
      <c r="L135" s="11" t="s">
        <v>1000</v>
      </c>
      <c r="M135" s="5" t="s">
        <v>1807</v>
      </c>
      <c r="N135" s="5" t="s">
        <v>1811</v>
      </c>
      <c r="O135" s="5" t="s">
        <v>1583</v>
      </c>
      <c r="P135" s="5" t="s">
        <v>462</v>
      </c>
      <c r="Q135" s="11" t="s">
        <v>82</v>
      </c>
      <c r="R135" s="11" t="s">
        <v>82</v>
      </c>
      <c r="S135" s="11" t="s">
        <v>82</v>
      </c>
      <c r="T135" s="11" t="s">
        <v>1799</v>
      </c>
      <c r="U135" s="5" t="s">
        <v>1809</v>
      </c>
      <c r="V135" s="11" t="s">
        <v>463</v>
      </c>
      <c r="W135" s="11" t="s">
        <v>464</v>
      </c>
      <c r="X135" s="11" t="s">
        <v>465</v>
      </c>
      <c r="Y135" s="11" t="s">
        <v>1801</v>
      </c>
      <c r="Z135" s="11" t="s">
        <v>1812</v>
      </c>
    </row>
    <row r="136" spans="1:26">
      <c r="A136" s="11" t="s">
        <v>467</v>
      </c>
      <c r="B136" s="11" t="s">
        <v>1795</v>
      </c>
      <c r="C136" s="12">
        <v>936</v>
      </c>
      <c r="D136" s="12">
        <v>848</v>
      </c>
      <c r="E136" s="11" t="s">
        <v>71</v>
      </c>
      <c r="F136" s="13" t="s">
        <v>468</v>
      </c>
      <c r="G136" s="14">
        <v>22</v>
      </c>
      <c r="H136" s="11" t="s">
        <v>73</v>
      </c>
      <c r="I136" s="11" t="s">
        <v>282</v>
      </c>
      <c r="J136" s="11" t="s">
        <v>1796</v>
      </c>
      <c r="K136" s="11" t="s">
        <v>447</v>
      </c>
      <c r="L136" s="11" t="s">
        <v>1000</v>
      </c>
      <c r="M136" s="5" t="s">
        <v>1807</v>
      </c>
      <c r="N136" s="5" t="s">
        <v>1813</v>
      </c>
      <c r="O136" s="5" t="s">
        <v>1728</v>
      </c>
      <c r="P136" s="5" t="s">
        <v>471</v>
      </c>
      <c r="Q136" s="11" t="s">
        <v>82</v>
      </c>
      <c r="R136" s="11" t="s">
        <v>82</v>
      </c>
      <c r="S136" s="11" t="s">
        <v>82</v>
      </c>
      <c r="T136" s="11" t="s">
        <v>1799</v>
      </c>
      <c r="U136" s="5" t="s">
        <v>1800</v>
      </c>
      <c r="V136" s="11" t="s">
        <v>472</v>
      </c>
      <c r="W136" s="11" t="s">
        <v>473</v>
      </c>
      <c r="X136" s="11" t="s">
        <v>474</v>
      </c>
      <c r="Y136" s="11" t="s">
        <v>1801</v>
      </c>
      <c r="Z136" s="11" t="s">
        <v>1814</v>
      </c>
    </row>
    <row r="137" spans="1:26">
      <c r="A137" s="11" t="s">
        <v>476</v>
      </c>
      <c r="B137" s="11" t="s">
        <v>1795</v>
      </c>
      <c r="C137" s="17">
        <v>1022</v>
      </c>
      <c r="D137" s="17">
        <v>930</v>
      </c>
      <c r="E137" s="11" t="s">
        <v>71</v>
      </c>
      <c r="F137" s="13" t="s">
        <v>477</v>
      </c>
      <c r="G137" s="18" t="s">
        <v>1012</v>
      </c>
      <c r="H137" s="11" t="s">
        <v>73</v>
      </c>
      <c r="I137" s="11" t="s">
        <v>282</v>
      </c>
      <c r="J137" s="11" t="s">
        <v>1796</v>
      </c>
      <c r="K137" s="11" t="s">
        <v>479</v>
      </c>
      <c r="L137" s="11" t="s">
        <v>284</v>
      </c>
      <c r="M137" s="5" t="s">
        <v>1815</v>
      </c>
      <c r="N137" s="5" t="s">
        <v>1816</v>
      </c>
      <c r="O137" s="5" t="s">
        <v>1015</v>
      </c>
      <c r="P137" s="5" t="s">
        <v>483</v>
      </c>
      <c r="Q137" s="11" t="s">
        <v>82</v>
      </c>
      <c r="R137" s="11" t="s">
        <v>82</v>
      </c>
      <c r="S137" s="11" t="s">
        <v>82</v>
      </c>
      <c r="T137" s="11" t="s">
        <v>1799</v>
      </c>
      <c r="U137" s="5" t="s">
        <v>1800</v>
      </c>
      <c r="V137" s="11" t="s">
        <v>484</v>
      </c>
      <c r="W137" s="11" t="s">
        <v>86</v>
      </c>
      <c r="X137" s="11" t="s">
        <v>87</v>
      </c>
      <c r="Y137" s="11" t="s">
        <v>1801</v>
      </c>
      <c r="Z137" s="11" t="s">
        <v>1817</v>
      </c>
    </row>
    <row r="138" spans="1:26">
      <c r="A138" s="11" t="s">
        <v>486</v>
      </c>
      <c r="B138" s="11" t="s">
        <v>1795</v>
      </c>
      <c r="C138" s="12">
        <v>986</v>
      </c>
      <c r="D138" s="12">
        <v>871</v>
      </c>
      <c r="E138" s="11" t="s">
        <v>71</v>
      </c>
      <c r="F138" s="13" t="s">
        <v>487</v>
      </c>
      <c r="G138" s="14">
        <v>17</v>
      </c>
      <c r="H138" s="11" t="s">
        <v>73</v>
      </c>
      <c r="I138" s="11" t="s">
        <v>282</v>
      </c>
      <c r="J138" s="11" t="s">
        <v>1796</v>
      </c>
      <c r="K138" s="11" t="s">
        <v>447</v>
      </c>
      <c r="L138" s="11" t="s">
        <v>1017</v>
      </c>
      <c r="M138" s="5" t="s">
        <v>1807</v>
      </c>
      <c r="N138" s="5" t="s">
        <v>1818</v>
      </c>
      <c r="O138" s="5" t="s">
        <v>1603</v>
      </c>
      <c r="P138" s="5" t="s">
        <v>491</v>
      </c>
      <c r="Q138" s="11" t="s">
        <v>82</v>
      </c>
      <c r="R138" s="11" t="s">
        <v>82</v>
      </c>
      <c r="S138" s="11" t="s">
        <v>82</v>
      </c>
      <c r="T138" s="11" t="s">
        <v>1799</v>
      </c>
      <c r="U138" s="5" t="s">
        <v>1800</v>
      </c>
      <c r="V138" s="11" t="s">
        <v>492</v>
      </c>
      <c r="W138" s="11" t="s">
        <v>493</v>
      </c>
      <c r="X138" s="11" t="s">
        <v>494</v>
      </c>
      <c r="Y138" s="11" t="s">
        <v>1801</v>
      </c>
      <c r="Z138" s="11" t="s">
        <v>1819</v>
      </c>
    </row>
    <row r="139" spans="1:26">
      <c r="A139" s="11" t="s">
        <v>496</v>
      </c>
      <c r="B139" s="11" t="s">
        <v>1795</v>
      </c>
      <c r="C139" s="12">
        <v>1028</v>
      </c>
      <c r="D139" s="12">
        <v>897</v>
      </c>
      <c r="E139" s="11" t="s">
        <v>71</v>
      </c>
      <c r="F139" s="13" t="s">
        <v>497</v>
      </c>
      <c r="G139" s="14">
        <v>20</v>
      </c>
      <c r="H139" s="11" t="s">
        <v>73</v>
      </c>
      <c r="I139" s="11" t="s">
        <v>282</v>
      </c>
      <c r="J139" s="11" t="s">
        <v>1796</v>
      </c>
      <c r="K139" s="11" t="s">
        <v>447</v>
      </c>
      <c r="L139" s="11" t="s">
        <v>1017</v>
      </c>
      <c r="M139" s="5" t="s">
        <v>1807</v>
      </c>
      <c r="N139" s="5" t="s">
        <v>1820</v>
      </c>
      <c r="O139" s="5" t="s">
        <v>1736</v>
      </c>
      <c r="P139" s="5" t="s">
        <v>500</v>
      </c>
      <c r="Q139" s="11" t="s">
        <v>82</v>
      </c>
      <c r="R139" s="11" t="s">
        <v>82</v>
      </c>
      <c r="S139" s="11" t="s">
        <v>82</v>
      </c>
      <c r="T139" s="11" t="s">
        <v>1799</v>
      </c>
      <c r="U139" s="5" t="s">
        <v>1800</v>
      </c>
      <c r="V139" s="11" t="s">
        <v>501</v>
      </c>
      <c r="W139" s="11" t="s">
        <v>502</v>
      </c>
      <c r="X139" s="11" t="s">
        <v>503</v>
      </c>
      <c r="Y139" s="11" t="s">
        <v>1801</v>
      </c>
      <c r="Z139" s="11" t="s">
        <v>1821</v>
      </c>
    </row>
    <row r="140" spans="1:26">
      <c r="A140" s="11" t="s">
        <v>505</v>
      </c>
      <c r="B140" s="11" t="s">
        <v>1795</v>
      </c>
      <c r="C140" s="12">
        <v>881</v>
      </c>
      <c r="D140" s="12">
        <v>936</v>
      </c>
      <c r="E140" s="11" t="s">
        <v>71</v>
      </c>
      <c r="F140" s="13" t="s">
        <v>506</v>
      </c>
      <c r="G140" s="14">
        <v>20</v>
      </c>
      <c r="H140" s="11" t="s">
        <v>73</v>
      </c>
      <c r="I140" s="11" t="s">
        <v>282</v>
      </c>
      <c r="J140" s="11" t="s">
        <v>1796</v>
      </c>
      <c r="K140" s="11" t="s">
        <v>447</v>
      </c>
      <c r="L140" s="11" t="s">
        <v>1017</v>
      </c>
      <c r="M140" s="5" t="s">
        <v>1807</v>
      </c>
      <c r="N140" s="5" t="s">
        <v>642</v>
      </c>
      <c r="O140" s="5" t="s">
        <v>1738</v>
      </c>
      <c r="P140" s="5" t="s">
        <v>509</v>
      </c>
      <c r="Q140" s="11" t="s">
        <v>82</v>
      </c>
      <c r="R140" s="11" t="s">
        <v>82</v>
      </c>
      <c r="S140" s="11" t="s">
        <v>82</v>
      </c>
      <c r="T140" s="11" t="s">
        <v>1799</v>
      </c>
      <c r="U140" s="5" t="s">
        <v>1800</v>
      </c>
      <c r="V140" s="11" t="s">
        <v>510</v>
      </c>
      <c r="W140" s="11" t="s">
        <v>511</v>
      </c>
      <c r="X140" s="11" t="s">
        <v>512</v>
      </c>
      <c r="Y140" s="11" t="s">
        <v>1801</v>
      </c>
      <c r="Z140" s="11" t="s">
        <v>1822</v>
      </c>
    </row>
    <row r="141" spans="1:26">
      <c r="A141" s="11" t="s">
        <v>514</v>
      </c>
      <c r="B141" s="11" t="s">
        <v>1795</v>
      </c>
      <c r="C141" s="17">
        <v>908</v>
      </c>
      <c r="D141" s="17">
        <v>1022</v>
      </c>
      <c r="E141" s="11" t="s">
        <v>71</v>
      </c>
      <c r="F141" s="13" t="s">
        <v>515</v>
      </c>
      <c r="G141" s="18" t="s">
        <v>1026</v>
      </c>
      <c r="H141" s="11" t="s">
        <v>73</v>
      </c>
      <c r="I141" s="11" t="s">
        <v>282</v>
      </c>
      <c r="J141" s="11" t="s">
        <v>1796</v>
      </c>
      <c r="K141" s="11" t="s">
        <v>479</v>
      </c>
      <c r="L141" s="11" t="s">
        <v>284</v>
      </c>
      <c r="M141" s="5" t="s">
        <v>1823</v>
      </c>
      <c r="N141" s="5" t="s">
        <v>1824</v>
      </c>
      <c r="O141" s="5" t="s">
        <v>1015</v>
      </c>
      <c r="P141" s="5" t="s">
        <v>520</v>
      </c>
      <c r="Q141" s="11" t="s">
        <v>82</v>
      </c>
      <c r="R141" s="11" t="s">
        <v>82</v>
      </c>
      <c r="S141" s="11" t="s">
        <v>82</v>
      </c>
      <c r="T141" s="11" t="s">
        <v>1799</v>
      </c>
      <c r="U141" s="5" t="s">
        <v>1800</v>
      </c>
      <c r="V141" s="11" t="s">
        <v>521</v>
      </c>
      <c r="W141" s="11" t="s">
        <v>96</v>
      </c>
      <c r="X141" s="11" t="s">
        <v>97</v>
      </c>
      <c r="Y141" s="11" t="s">
        <v>1801</v>
      </c>
      <c r="Z141" s="11" t="s">
        <v>1825</v>
      </c>
    </row>
    <row r="142" spans="1:26">
      <c r="A142" s="11" t="s">
        <v>523</v>
      </c>
      <c r="B142" s="11" t="s">
        <v>1795</v>
      </c>
      <c r="C142" s="12">
        <v>964</v>
      </c>
      <c r="D142" s="12">
        <v>986</v>
      </c>
      <c r="E142" s="11" t="s">
        <v>71</v>
      </c>
      <c r="F142" s="13" t="s">
        <v>524</v>
      </c>
      <c r="G142" s="14">
        <v>17</v>
      </c>
      <c r="H142" s="11" t="s">
        <v>73</v>
      </c>
      <c r="I142" s="11" t="s">
        <v>282</v>
      </c>
      <c r="J142" s="11" t="s">
        <v>1796</v>
      </c>
      <c r="K142" s="11" t="s">
        <v>447</v>
      </c>
      <c r="L142" s="11" t="s">
        <v>1017</v>
      </c>
      <c r="M142" s="5" t="s">
        <v>1807</v>
      </c>
      <c r="N142" s="5" t="s">
        <v>631</v>
      </c>
      <c r="O142" s="5" t="s">
        <v>1744</v>
      </c>
      <c r="P142" s="5" t="s">
        <v>527</v>
      </c>
      <c r="Q142" s="11" t="s">
        <v>82</v>
      </c>
      <c r="R142" s="11" t="s">
        <v>82</v>
      </c>
      <c r="S142" s="11" t="s">
        <v>82</v>
      </c>
      <c r="T142" s="11" t="s">
        <v>1799</v>
      </c>
      <c r="U142" s="5" t="s">
        <v>1800</v>
      </c>
      <c r="V142" s="11" t="s">
        <v>528</v>
      </c>
      <c r="W142" s="11" t="s">
        <v>529</v>
      </c>
      <c r="X142" s="11" t="s">
        <v>530</v>
      </c>
      <c r="Y142" s="11" t="s">
        <v>1801</v>
      </c>
      <c r="Z142" s="11" t="s">
        <v>1826</v>
      </c>
    </row>
    <row r="143" spans="1:26">
      <c r="A143" s="11" t="s">
        <v>532</v>
      </c>
      <c r="B143" s="11" t="s">
        <v>1795</v>
      </c>
      <c r="C143" s="12">
        <v>1159</v>
      </c>
      <c r="D143" s="12">
        <v>1028</v>
      </c>
      <c r="E143" s="11" t="s">
        <v>71</v>
      </c>
      <c r="F143" s="13" t="s">
        <v>533</v>
      </c>
      <c r="G143" s="14">
        <v>19</v>
      </c>
      <c r="H143" s="11" t="s">
        <v>73</v>
      </c>
      <c r="I143" s="11" t="s">
        <v>282</v>
      </c>
      <c r="J143" s="11" t="s">
        <v>1796</v>
      </c>
      <c r="K143" s="11" t="s">
        <v>447</v>
      </c>
      <c r="L143" s="11" t="s">
        <v>1017</v>
      </c>
      <c r="M143" s="5" t="s">
        <v>1807</v>
      </c>
      <c r="N143" s="5" t="s">
        <v>1827</v>
      </c>
      <c r="O143" s="5" t="s">
        <v>1746</v>
      </c>
      <c r="P143" s="5" t="s">
        <v>536</v>
      </c>
      <c r="Q143" s="11" t="s">
        <v>82</v>
      </c>
      <c r="R143" s="11" t="s">
        <v>82</v>
      </c>
      <c r="S143" s="11" t="s">
        <v>82</v>
      </c>
      <c r="T143" s="11" t="s">
        <v>1799</v>
      </c>
      <c r="U143" s="5" t="s">
        <v>1800</v>
      </c>
      <c r="V143" s="11" t="s">
        <v>537</v>
      </c>
      <c r="W143" s="11" t="s">
        <v>538</v>
      </c>
      <c r="X143" s="11" t="s">
        <v>539</v>
      </c>
      <c r="Y143" s="11" t="s">
        <v>1801</v>
      </c>
      <c r="Z143" s="11" t="s">
        <v>1828</v>
      </c>
    </row>
    <row r="144" spans="1:26">
      <c r="A144" s="11" t="s">
        <v>541</v>
      </c>
      <c r="B144" s="11" t="s">
        <v>1795</v>
      </c>
      <c r="C144" s="12">
        <v>1269</v>
      </c>
      <c r="D144" s="12">
        <v>881</v>
      </c>
      <c r="E144" s="11" t="s">
        <v>71</v>
      </c>
      <c r="F144" s="13" t="s">
        <v>542</v>
      </c>
      <c r="G144" s="14">
        <v>19</v>
      </c>
      <c r="H144" s="11" t="s">
        <v>73</v>
      </c>
      <c r="I144" s="11" t="s">
        <v>282</v>
      </c>
      <c r="J144" s="11" t="s">
        <v>1796</v>
      </c>
      <c r="K144" s="11" t="s">
        <v>447</v>
      </c>
      <c r="L144" s="11" t="s">
        <v>1017</v>
      </c>
      <c r="M144" s="5" t="s">
        <v>1807</v>
      </c>
      <c r="N144" s="5" t="s">
        <v>1829</v>
      </c>
      <c r="O144" s="5" t="s">
        <v>1749</v>
      </c>
      <c r="P144" s="5" t="s">
        <v>545</v>
      </c>
      <c r="Q144" s="11" t="s">
        <v>82</v>
      </c>
      <c r="R144" s="11" t="s">
        <v>82</v>
      </c>
      <c r="S144" s="11" t="s">
        <v>82</v>
      </c>
      <c r="T144" s="11" t="s">
        <v>1799</v>
      </c>
      <c r="U144" s="5" t="s">
        <v>1800</v>
      </c>
      <c r="V144" s="11" t="s">
        <v>546</v>
      </c>
      <c r="W144" s="11" t="s">
        <v>547</v>
      </c>
      <c r="X144" s="11" t="s">
        <v>548</v>
      </c>
      <c r="Y144" s="11" t="s">
        <v>1801</v>
      </c>
      <c r="Z144" s="11" t="s">
        <v>1830</v>
      </c>
    </row>
    <row r="145" spans="1:26">
      <c r="A145" s="11" t="s">
        <v>550</v>
      </c>
      <c r="B145" s="11" t="s">
        <v>1795</v>
      </c>
      <c r="C145" s="17">
        <v>1121</v>
      </c>
      <c r="D145" s="17">
        <v>908</v>
      </c>
      <c r="E145" s="11" t="s">
        <v>71</v>
      </c>
      <c r="F145" s="13" t="s">
        <v>551</v>
      </c>
      <c r="G145" s="18" t="s">
        <v>1038</v>
      </c>
      <c r="H145" s="11" t="s">
        <v>73</v>
      </c>
      <c r="I145" s="11" t="s">
        <v>282</v>
      </c>
      <c r="J145" s="11" t="s">
        <v>1796</v>
      </c>
      <c r="K145" s="11" t="s">
        <v>479</v>
      </c>
      <c r="L145" s="11" t="s">
        <v>284</v>
      </c>
      <c r="M145" s="5" t="s">
        <v>1831</v>
      </c>
      <c r="N145" s="5" t="s">
        <v>1832</v>
      </c>
      <c r="O145" s="5" t="s">
        <v>1015</v>
      </c>
      <c r="P145" s="5" t="s">
        <v>556</v>
      </c>
      <c r="Q145" s="11" t="s">
        <v>82</v>
      </c>
      <c r="R145" s="11" t="s">
        <v>82</v>
      </c>
      <c r="S145" s="11" t="s">
        <v>82</v>
      </c>
      <c r="T145" s="11" t="s">
        <v>1799</v>
      </c>
      <c r="U145" s="5" t="s">
        <v>1800</v>
      </c>
      <c r="V145" s="11" t="s">
        <v>557</v>
      </c>
      <c r="W145" s="11" t="s">
        <v>105</v>
      </c>
      <c r="X145" s="11" t="s">
        <v>106</v>
      </c>
      <c r="Y145" s="11" t="s">
        <v>1801</v>
      </c>
      <c r="Z145" s="11" t="s">
        <v>1833</v>
      </c>
    </row>
    <row r="146" spans="1:26">
      <c r="A146" s="11" t="s">
        <v>69</v>
      </c>
      <c r="B146" s="11" t="s">
        <v>1834</v>
      </c>
      <c r="C146" s="12">
        <v>2376</v>
      </c>
      <c r="D146" s="12">
        <v>1807</v>
      </c>
      <c r="E146" s="11" t="s">
        <v>71</v>
      </c>
      <c r="F146" s="13" t="s">
        <v>72</v>
      </c>
      <c r="G146" s="14">
        <v>82</v>
      </c>
      <c r="H146" s="11" t="s">
        <v>73</v>
      </c>
      <c r="I146" s="11" t="s">
        <v>282</v>
      </c>
      <c r="J146" s="11" t="s">
        <v>1708</v>
      </c>
      <c r="K146" s="11" t="s">
        <v>76</v>
      </c>
      <c r="L146" s="11" t="s">
        <v>1551</v>
      </c>
      <c r="M146" s="5" t="s">
        <v>1835</v>
      </c>
      <c r="N146" s="5" t="s">
        <v>1836</v>
      </c>
      <c r="O146" s="5" t="s">
        <v>1837</v>
      </c>
      <c r="P146" s="5" t="s">
        <v>81</v>
      </c>
      <c r="Q146" s="11" t="s">
        <v>82</v>
      </c>
      <c r="R146" s="11" t="s">
        <v>82</v>
      </c>
      <c r="S146" s="11" t="s">
        <v>82</v>
      </c>
      <c r="T146" s="11" t="s">
        <v>1838</v>
      </c>
      <c r="U146" s="5" t="s">
        <v>1839</v>
      </c>
      <c r="V146" s="11" t="s">
        <v>85</v>
      </c>
      <c r="W146" s="11" t="s">
        <v>86</v>
      </c>
      <c r="X146" s="11" t="s">
        <v>87</v>
      </c>
      <c r="Y146" s="11" t="s">
        <v>1840</v>
      </c>
      <c r="Z146" s="11" t="s">
        <v>1841</v>
      </c>
    </row>
    <row r="147" spans="1:26">
      <c r="A147" s="11" t="s">
        <v>90</v>
      </c>
      <c r="B147" s="11" t="s">
        <v>1834</v>
      </c>
      <c r="C147" s="12">
        <v>2490</v>
      </c>
      <c r="D147" s="12">
        <v>2376</v>
      </c>
      <c r="E147" s="11" t="s">
        <v>71</v>
      </c>
      <c r="F147" s="13" t="s">
        <v>91</v>
      </c>
      <c r="G147" s="14">
        <v>90</v>
      </c>
      <c r="H147" s="11" t="s">
        <v>73</v>
      </c>
      <c r="I147" s="11" t="s">
        <v>282</v>
      </c>
      <c r="J147" s="11" t="s">
        <v>1708</v>
      </c>
      <c r="K147" s="11" t="s">
        <v>76</v>
      </c>
      <c r="L147" s="11" t="s">
        <v>1551</v>
      </c>
      <c r="M147" s="5" t="s">
        <v>1835</v>
      </c>
      <c r="N147" s="5" t="s">
        <v>1842</v>
      </c>
      <c r="O147" s="5" t="s">
        <v>1705</v>
      </c>
      <c r="P147" s="5" t="s">
        <v>94</v>
      </c>
      <c r="Q147" s="11" t="s">
        <v>82</v>
      </c>
      <c r="R147" s="11" t="s">
        <v>82</v>
      </c>
      <c r="S147" s="11" t="s">
        <v>82</v>
      </c>
      <c r="T147" s="11" t="s">
        <v>1838</v>
      </c>
      <c r="U147" s="5" t="s">
        <v>1839</v>
      </c>
      <c r="V147" s="11" t="s">
        <v>95</v>
      </c>
      <c r="W147" s="11" t="s">
        <v>96</v>
      </c>
      <c r="X147" s="11" t="s">
        <v>97</v>
      </c>
      <c r="Y147" s="11" t="s">
        <v>1840</v>
      </c>
      <c r="Z147" s="11" t="s">
        <v>1843</v>
      </c>
    </row>
    <row r="148" spans="1:26">
      <c r="A148" s="11" t="s">
        <v>99</v>
      </c>
      <c r="B148" s="11" t="s">
        <v>1834</v>
      </c>
      <c r="C148" s="12">
        <v>3243</v>
      </c>
      <c r="D148" s="12">
        <v>2490</v>
      </c>
      <c r="E148" s="11" t="s">
        <v>71</v>
      </c>
      <c r="F148" s="13" t="s">
        <v>100</v>
      </c>
      <c r="G148" s="14">
        <v>89</v>
      </c>
      <c r="H148" s="11" t="s">
        <v>73</v>
      </c>
      <c r="I148" s="11" t="s">
        <v>282</v>
      </c>
      <c r="J148" s="11" t="s">
        <v>1708</v>
      </c>
      <c r="K148" s="11" t="s">
        <v>76</v>
      </c>
      <c r="L148" s="11" t="s">
        <v>1551</v>
      </c>
      <c r="M148" s="5" t="s">
        <v>1835</v>
      </c>
      <c r="N148" s="5" t="s">
        <v>1844</v>
      </c>
      <c r="O148" s="5" t="s">
        <v>1845</v>
      </c>
      <c r="P148" s="5" t="s">
        <v>103</v>
      </c>
      <c r="Q148" s="11" t="s">
        <v>82</v>
      </c>
      <c r="R148" s="11" t="s">
        <v>82</v>
      </c>
      <c r="S148" s="11" t="s">
        <v>82</v>
      </c>
      <c r="T148" s="11" t="s">
        <v>1838</v>
      </c>
      <c r="U148" s="5" t="s">
        <v>1839</v>
      </c>
      <c r="V148" s="11" t="s">
        <v>104</v>
      </c>
      <c r="W148" s="11" t="s">
        <v>105</v>
      </c>
      <c r="X148" s="11" t="s">
        <v>106</v>
      </c>
      <c r="Y148" s="11" t="s">
        <v>1840</v>
      </c>
      <c r="Z148" s="11" t="s">
        <v>1846</v>
      </c>
    </row>
    <row r="149" spans="1:26">
      <c r="A149" s="11" t="s">
        <v>69</v>
      </c>
      <c r="B149" s="11" t="s">
        <v>1847</v>
      </c>
      <c r="C149" s="12">
        <v>5254</v>
      </c>
      <c r="D149" s="12">
        <v>5166</v>
      </c>
      <c r="E149" s="11" t="s">
        <v>71</v>
      </c>
      <c r="F149" s="13" t="s">
        <v>72</v>
      </c>
      <c r="G149" s="14">
        <v>80</v>
      </c>
      <c r="H149" s="11" t="s">
        <v>73</v>
      </c>
      <c r="I149" s="11" t="s">
        <v>282</v>
      </c>
      <c r="J149" s="11" t="s">
        <v>1848</v>
      </c>
      <c r="K149" s="11" t="s">
        <v>76</v>
      </c>
      <c r="L149" s="11" t="s">
        <v>284</v>
      </c>
      <c r="M149" s="5" t="s">
        <v>1849</v>
      </c>
      <c r="N149" s="5" t="s">
        <v>1850</v>
      </c>
      <c r="O149" s="5" t="s">
        <v>1711</v>
      </c>
      <c r="P149" s="5" t="s">
        <v>81</v>
      </c>
      <c r="Q149" s="11" t="s">
        <v>82</v>
      </c>
      <c r="R149" s="11" t="s">
        <v>82</v>
      </c>
      <c r="S149" s="11" t="s">
        <v>82</v>
      </c>
      <c r="T149" s="11" t="s">
        <v>1851</v>
      </c>
      <c r="U149" s="5" t="s">
        <v>1852</v>
      </c>
      <c r="V149" s="11" t="s">
        <v>85</v>
      </c>
      <c r="W149" s="11" t="s">
        <v>86</v>
      </c>
      <c r="X149" s="11" t="s">
        <v>87</v>
      </c>
      <c r="Y149" s="11" t="s">
        <v>1853</v>
      </c>
      <c r="Z149" s="11" t="s">
        <v>1854</v>
      </c>
    </row>
    <row r="150" spans="1:26">
      <c r="A150" s="11" t="s">
        <v>90</v>
      </c>
      <c r="B150" s="11" t="s">
        <v>1847</v>
      </c>
      <c r="C150" s="12">
        <v>5028</v>
      </c>
      <c r="D150" s="12">
        <v>5254</v>
      </c>
      <c r="E150" s="11" t="s">
        <v>71</v>
      </c>
      <c r="F150" s="13" t="s">
        <v>91</v>
      </c>
      <c r="G150" s="14">
        <v>88</v>
      </c>
      <c r="H150" s="11" t="s">
        <v>73</v>
      </c>
      <c r="I150" s="11" t="s">
        <v>282</v>
      </c>
      <c r="J150" s="11" t="s">
        <v>1848</v>
      </c>
      <c r="K150" s="11" t="s">
        <v>76</v>
      </c>
      <c r="L150" s="11" t="s">
        <v>284</v>
      </c>
      <c r="M150" s="5" t="s">
        <v>1849</v>
      </c>
      <c r="N150" s="5" t="s">
        <v>1855</v>
      </c>
      <c r="O150" s="5" t="s">
        <v>1719</v>
      </c>
      <c r="P150" s="5" t="s">
        <v>94</v>
      </c>
      <c r="Q150" s="11" t="s">
        <v>82</v>
      </c>
      <c r="R150" s="11" t="s">
        <v>82</v>
      </c>
      <c r="S150" s="11" t="s">
        <v>82</v>
      </c>
      <c r="T150" s="11" t="s">
        <v>1851</v>
      </c>
      <c r="U150" s="5" t="s">
        <v>1852</v>
      </c>
      <c r="V150" s="11" t="s">
        <v>95</v>
      </c>
      <c r="W150" s="11" t="s">
        <v>96</v>
      </c>
      <c r="X150" s="11" t="s">
        <v>97</v>
      </c>
      <c r="Y150" s="11" t="s">
        <v>1853</v>
      </c>
      <c r="Z150" s="11" t="s">
        <v>1856</v>
      </c>
    </row>
    <row r="151" spans="1:26">
      <c r="A151" s="11" t="s">
        <v>99</v>
      </c>
      <c r="B151" s="11" t="s">
        <v>1847</v>
      </c>
      <c r="C151" s="12">
        <v>5343</v>
      </c>
      <c r="D151" s="12">
        <v>5028</v>
      </c>
      <c r="E151" s="11" t="s">
        <v>71</v>
      </c>
      <c r="F151" s="13" t="s">
        <v>100</v>
      </c>
      <c r="G151" s="14">
        <v>86</v>
      </c>
      <c r="H151" s="11" t="s">
        <v>73</v>
      </c>
      <c r="I151" s="11" t="s">
        <v>282</v>
      </c>
      <c r="J151" s="11" t="s">
        <v>1848</v>
      </c>
      <c r="K151" s="11" t="s">
        <v>76</v>
      </c>
      <c r="L151" s="11" t="s">
        <v>284</v>
      </c>
      <c r="M151" s="5" t="s">
        <v>1849</v>
      </c>
      <c r="N151" s="5" t="s">
        <v>1857</v>
      </c>
      <c r="O151" s="5" t="s">
        <v>1858</v>
      </c>
      <c r="P151" s="5" t="s">
        <v>103</v>
      </c>
      <c r="Q151" s="11" t="s">
        <v>82</v>
      </c>
      <c r="R151" s="11" t="s">
        <v>82</v>
      </c>
      <c r="S151" s="11" t="s">
        <v>82</v>
      </c>
      <c r="T151" s="11" t="s">
        <v>1851</v>
      </c>
      <c r="U151" s="5" t="s">
        <v>1852</v>
      </c>
      <c r="V151" s="11" t="s">
        <v>104</v>
      </c>
      <c r="W151" s="11" t="s">
        <v>105</v>
      </c>
      <c r="X151" s="11" t="s">
        <v>106</v>
      </c>
      <c r="Y151" s="11" t="s">
        <v>1853</v>
      </c>
      <c r="Z151" s="11" t="s">
        <v>1859</v>
      </c>
    </row>
    <row r="152" spans="1:26">
      <c r="A152" s="11" t="s">
        <v>445</v>
      </c>
      <c r="B152" s="11" t="s">
        <v>1847</v>
      </c>
      <c r="C152" s="12">
        <v>1270</v>
      </c>
      <c r="D152" s="12">
        <v>1189</v>
      </c>
      <c r="E152" s="11" t="s">
        <v>71</v>
      </c>
      <c r="F152" s="13" t="s">
        <v>446</v>
      </c>
      <c r="G152" s="14">
        <v>18</v>
      </c>
      <c r="H152" s="11" t="s">
        <v>73</v>
      </c>
      <c r="I152" s="11" t="s">
        <v>282</v>
      </c>
      <c r="J152" s="11" t="s">
        <v>1848</v>
      </c>
      <c r="K152" s="11" t="s">
        <v>447</v>
      </c>
      <c r="L152" s="11" t="s">
        <v>1000</v>
      </c>
      <c r="M152" s="5" t="s">
        <v>1860</v>
      </c>
      <c r="N152" s="5" t="s">
        <v>768</v>
      </c>
      <c r="O152" s="5" t="s">
        <v>1457</v>
      </c>
      <c r="P152" s="5" t="s">
        <v>452</v>
      </c>
      <c r="Q152" s="11" t="s">
        <v>82</v>
      </c>
      <c r="R152" s="11" t="s">
        <v>82</v>
      </c>
      <c r="S152" s="11" t="s">
        <v>82</v>
      </c>
      <c r="T152" s="11" t="s">
        <v>1851</v>
      </c>
      <c r="U152" s="5" t="s">
        <v>1861</v>
      </c>
      <c r="V152" s="11" t="s">
        <v>454</v>
      </c>
      <c r="W152" s="11" t="s">
        <v>455</v>
      </c>
      <c r="X152" s="11" t="s">
        <v>456</v>
      </c>
      <c r="Y152" s="11" t="s">
        <v>1853</v>
      </c>
      <c r="Z152" s="11" t="s">
        <v>1862</v>
      </c>
    </row>
    <row r="153" spans="1:26">
      <c r="A153" s="11" t="s">
        <v>458</v>
      </c>
      <c r="B153" s="11" t="s">
        <v>1847</v>
      </c>
      <c r="C153" s="12">
        <v>1298</v>
      </c>
      <c r="D153" s="12">
        <v>1273</v>
      </c>
      <c r="E153" s="11" t="s">
        <v>71</v>
      </c>
      <c r="F153" s="13" t="s">
        <v>459</v>
      </c>
      <c r="G153" s="14">
        <v>22</v>
      </c>
      <c r="H153" s="11" t="s">
        <v>73</v>
      </c>
      <c r="I153" s="11" t="s">
        <v>282</v>
      </c>
      <c r="J153" s="11" t="s">
        <v>1848</v>
      </c>
      <c r="K153" s="11" t="s">
        <v>447</v>
      </c>
      <c r="L153" s="11" t="s">
        <v>1000</v>
      </c>
      <c r="M153" s="5" t="s">
        <v>1860</v>
      </c>
      <c r="N153" s="5" t="s">
        <v>1863</v>
      </c>
      <c r="O153" s="5" t="s">
        <v>1864</v>
      </c>
      <c r="P153" s="5" t="s">
        <v>462</v>
      </c>
      <c r="Q153" s="11" t="s">
        <v>82</v>
      </c>
      <c r="R153" s="11" t="s">
        <v>82</v>
      </c>
      <c r="S153" s="11" t="s">
        <v>82</v>
      </c>
      <c r="T153" s="11" t="s">
        <v>1851</v>
      </c>
      <c r="U153" s="5" t="s">
        <v>1861</v>
      </c>
      <c r="V153" s="11" t="s">
        <v>463</v>
      </c>
      <c r="W153" s="11" t="s">
        <v>464</v>
      </c>
      <c r="X153" s="11" t="s">
        <v>465</v>
      </c>
      <c r="Y153" s="11" t="s">
        <v>1853</v>
      </c>
      <c r="Z153" s="11" t="s">
        <v>1865</v>
      </c>
    </row>
    <row r="154" spans="1:26">
      <c r="A154" s="11" t="s">
        <v>467</v>
      </c>
      <c r="B154" s="11" t="s">
        <v>1847</v>
      </c>
      <c r="C154" s="12">
        <v>1307</v>
      </c>
      <c r="D154" s="12">
        <v>1268</v>
      </c>
      <c r="E154" s="11" t="s">
        <v>71</v>
      </c>
      <c r="F154" s="13" t="s">
        <v>468</v>
      </c>
      <c r="G154" s="14">
        <v>22</v>
      </c>
      <c r="H154" s="11" t="s">
        <v>73</v>
      </c>
      <c r="I154" s="11" t="s">
        <v>282</v>
      </c>
      <c r="J154" s="11" t="s">
        <v>1848</v>
      </c>
      <c r="K154" s="11" t="s">
        <v>447</v>
      </c>
      <c r="L154" s="11" t="s">
        <v>1000</v>
      </c>
      <c r="M154" s="5" t="s">
        <v>1860</v>
      </c>
      <c r="N154" s="5" t="s">
        <v>1866</v>
      </c>
      <c r="O154" s="5" t="s">
        <v>1867</v>
      </c>
      <c r="P154" s="5" t="s">
        <v>471</v>
      </c>
      <c r="Q154" s="11" t="s">
        <v>82</v>
      </c>
      <c r="R154" s="11" t="s">
        <v>82</v>
      </c>
      <c r="S154" s="11" t="s">
        <v>82</v>
      </c>
      <c r="T154" s="11" t="s">
        <v>1851</v>
      </c>
      <c r="U154" s="5" t="s">
        <v>1852</v>
      </c>
      <c r="V154" s="11" t="s">
        <v>472</v>
      </c>
      <c r="W154" s="11" t="s">
        <v>473</v>
      </c>
      <c r="X154" s="11" t="s">
        <v>474</v>
      </c>
      <c r="Y154" s="11" t="s">
        <v>1853</v>
      </c>
      <c r="Z154" s="11" t="s">
        <v>1868</v>
      </c>
    </row>
    <row r="155" spans="1:26">
      <c r="A155" s="11" t="s">
        <v>476</v>
      </c>
      <c r="B155" s="11" t="s">
        <v>1847</v>
      </c>
      <c r="C155" s="17">
        <v>1379</v>
      </c>
      <c r="D155" s="17">
        <v>1436</v>
      </c>
      <c r="E155" s="11" t="s">
        <v>71</v>
      </c>
      <c r="F155" s="13" t="s">
        <v>477</v>
      </c>
      <c r="G155" s="18" t="s">
        <v>1012</v>
      </c>
      <c r="H155" s="11" t="s">
        <v>73</v>
      </c>
      <c r="I155" s="11" t="s">
        <v>282</v>
      </c>
      <c r="J155" s="11" t="s">
        <v>1848</v>
      </c>
      <c r="K155" s="11" t="s">
        <v>479</v>
      </c>
      <c r="L155" s="11" t="s">
        <v>284</v>
      </c>
      <c r="M155" s="5" t="s">
        <v>1869</v>
      </c>
      <c r="N155" s="5" t="s">
        <v>1870</v>
      </c>
      <c r="O155" s="5" t="s">
        <v>571</v>
      </c>
      <c r="P155" s="5" t="s">
        <v>483</v>
      </c>
      <c r="Q155" s="11" t="s">
        <v>82</v>
      </c>
      <c r="R155" s="11" t="s">
        <v>82</v>
      </c>
      <c r="S155" s="11" t="s">
        <v>82</v>
      </c>
      <c r="T155" s="11" t="s">
        <v>1851</v>
      </c>
      <c r="U155" s="5" t="s">
        <v>1852</v>
      </c>
      <c r="V155" s="11" t="s">
        <v>484</v>
      </c>
      <c r="W155" s="11" t="s">
        <v>86</v>
      </c>
      <c r="X155" s="11" t="s">
        <v>87</v>
      </c>
      <c r="Y155" s="11" t="s">
        <v>1853</v>
      </c>
      <c r="Z155" s="11" t="s">
        <v>1871</v>
      </c>
    </row>
    <row r="156" spans="1:26">
      <c r="A156" s="11" t="s">
        <v>486</v>
      </c>
      <c r="B156" s="11" t="s">
        <v>1847</v>
      </c>
      <c r="C156" s="12">
        <v>1345</v>
      </c>
      <c r="D156" s="12">
        <v>1270</v>
      </c>
      <c r="E156" s="11" t="s">
        <v>71</v>
      </c>
      <c r="F156" s="13" t="s">
        <v>487</v>
      </c>
      <c r="G156" s="14">
        <v>17</v>
      </c>
      <c r="H156" s="11" t="s">
        <v>73</v>
      </c>
      <c r="I156" s="11" t="s">
        <v>282</v>
      </c>
      <c r="J156" s="11" t="s">
        <v>1848</v>
      </c>
      <c r="K156" s="11" t="s">
        <v>447</v>
      </c>
      <c r="L156" s="11" t="s">
        <v>1017</v>
      </c>
      <c r="M156" s="5" t="s">
        <v>1860</v>
      </c>
      <c r="N156" s="5" t="s">
        <v>1872</v>
      </c>
      <c r="O156" s="5" t="s">
        <v>1744</v>
      </c>
      <c r="P156" s="5" t="s">
        <v>491</v>
      </c>
      <c r="Q156" s="11" t="s">
        <v>82</v>
      </c>
      <c r="R156" s="11" t="s">
        <v>82</v>
      </c>
      <c r="S156" s="11" t="s">
        <v>82</v>
      </c>
      <c r="T156" s="11" t="s">
        <v>1851</v>
      </c>
      <c r="U156" s="5" t="s">
        <v>1852</v>
      </c>
      <c r="V156" s="11" t="s">
        <v>492</v>
      </c>
      <c r="W156" s="11" t="s">
        <v>493</v>
      </c>
      <c r="X156" s="11" t="s">
        <v>494</v>
      </c>
      <c r="Y156" s="11" t="s">
        <v>1853</v>
      </c>
      <c r="Z156" s="11" t="s">
        <v>1873</v>
      </c>
    </row>
    <row r="157" spans="1:26">
      <c r="A157" s="11" t="s">
        <v>496</v>
      </c>
      <c r="B157" s="11" t="s">
        <v>1847</v>
      </c>
      <c r="C157" s="12">
        <v>1468</v>
      </c>
      <c r="D157" s="12">
        <v>1298</v>
      </c>
      <c r="E157" s="11" t="s">
        <v>71</v>
      </c>
      <c r="F157" s="13" t="s">
        <v>497</v>
      </c>
      <c r="G157" s="14">
        <v>20</v>
      </c>
      <c r="H157" s="11" t="s">
        <v>73</v>
      </c>
      <c r="I157" s="11" t="s">
        <v>282</v>
      </c>
      <c r="J157" s="11" t="s">
        <v>1848</v>
      </c>
      <c r="K157" s="11" t="s">
        <v>447</v>
      </c>
      <c r="L157" s="11" t="s">
        <v>1017</v>
      </c>
      <c r="M157" s="5" t="s">
        <v>1860</v>
      </c>
      <c r="N157" s="5" t="s">
        <v>1874</v>
      </c>
      <c r="O157" s="5" t="s">
        <v>1875</v>
      </c>
      <c r="P157" s="5" t="s">
        <v>500</v>
      </c>
      <c r="Q157" s="11" t="s">
        <v>82</v>
      </c>
      <c r="R157" s="11" t="s">
        <v>82</v>
      </c>
      <c r="S157" s="11" t="s">
        <v>82</v>
      </c>
      <c r="T157" s="11" t="s">
        <v>1851</v>
      </c>
      <c r="U157" s="5" t="s">
        <v>1852</v>
      </c>
      <c r="V157" s="11" t="s">
        <v>501</v>
      </c>
      <c r="W157" s="11" t="s">
        <v>502</v>
      </c>
      <c r="X157" s="11" t="s">
        <v>503</v>
      </c>
      <c r="Y157" s="11" t="s">
        <v>1853</v>
      </c>
      <c r="Z157" s="11" t="s">
        <v>1876</v>
      </c>
    </row>
    <row r="158" spans="1:26">
      <c r="A158" s="11" t="s">
        <v>505</v>
      </c>
      <c r="B158" s="11" t="s">
        <v>1847</v>
      </c>
      <c r="C158" s="12">
        <v>1414</v>
      </c>
      <c r="D158" s="12">
        <v>1307</v>
      </c>
      <c r="E158" s="11" t="s">
        <v>71</v>
      </c>
      <c r="F158" s="13" t="s">
        <v>506</v>
      </c>
      <c r="G158" s="14">
        <v>20</v>
      </c>
      <c r="H158" s="11" t="s">
        <v>73</v>
      </c>
      <c r="I158" s="11" t="s">
        <v>282</v>
      </c>
      <c r="J158" s="11" t="s">
        <v>1848</v>
      </c>
      <c r="K158" s="11" t="s">
        <v>447</v>
      </c>
      <c r="L158" s="11" t="s">
        <v>1017</v>
      </c>
      <c r="M158" s="5" t="s">
        <v>1860</v>
      </c>
      <c r="N158" s="5" t="s">
        <v>1877</v>
      </c>
      <c r="O158" s="5" t="s">
        <v>1878</v>
      </c>
      <c r="P158" s="5" t="s">
        <v>509</v>
      </c>
      <c r="Q158" s="11" t="s">
        <v>82</v>
      </c>
      <c r="R158" s="11" t="s">
        <v>82</v>
      </c>
      <c r="S158" s="11" t="s">
        <v>82</v>
      </c>
      <c r="T158" s="11" t="s">
        <v>1851</v>
      </c>
      <c r="U158" s="5" t="s">
        <v>1852</v>
      </c>
      <c r="V158" s="11" t="s">
        <v>510</v>
      </c>
      <c r="W158" s="11" t="s">
        <v>511</v>
      </c>
      <c r="X158" s="11" t="s">
        <v>512</v>
      </c>
      <c r="Y158" s="11" t="s">
        <v>1853</v>
      </c>
      <c r="Z158" s="11" t="s">
        <v>1879</v>
      </c>
    </row>
    <row r="159" spans="1:26">
      <c r="A159" s="11" t="s">
        <v>514</v>
      </c>
      <c r="B159" s="11" t="s">
        <v>1847</v>
      </c>
      <c r="C159" s="17">
        <v>801</v>
      </c>
      <c r="D159" s="17">
        <v>1379</v>
      </c>
      <c r="E159" s="11" t="s">
        <v>71</v>
      </c>
      <c r="F159" s="13" t="s">
        <v>515</v>
      </c>
      <c r="G159" s="18" t="s">
        <v>1026</v>
      </c>
      <c r="H159" s="11" t="s">
        <v>73</v>
      </c>
      <c r="I159" s="11" t="s">
        <v>282</v>
      </c>
      <c r="J159" s="11" t="s">
        <v>1848</v>
      </c>
      <c r="K159" s="11" t="s">
        <v>479</v>
      </c>
      <c r="L159" s="11" t="s">
        <v>284</v>
      </c>
      <c r="M159" s="5" t="s">
        <v>1880</v>
      </c>
      <c r="N159" s="5" t="s">
        <v>1881</v>
      </c>
      <c r="O159" s="5" t="s">
        <v>583</v>
      </c>
      <c r="P159" s="5" t="s">
        <v>520</v>
      </c>
      <c r="Q159" s="11" t="s">
        <v>82</v>
      </c>
      <c r="R159" s="11" t="s">
        <v>82</v>
      </c>
      <c r="S159" s="11" t="s">
        <v>82</v>
      </c>
      <c r="T159" s="11" t="s">
        <v>1851</v>
      </c>
      <c r="U159" s="5" t="s">
        <v>1852</v>
      </c>
      <c r="V159" s="11" t="s">
        <v>521</v>
      </c>
      <c r="W159" s="11" t="s">
        <v>96</v>
      </c>
      <c r="X159" s="11" t="s">
        <v>97</v>
      </c>
      <c r="Y159" s="11" t="s">
        <v>1853</v>
      </c>
      <c r="Z159" s="11" t="s">
        <v>1882</v>
      </c>
    </row>
    <row r="160" spans="1:26">
      <c r="A160" s="11" t="s">
        <v>523</v>
      </c>
      <c r="B160" s="11" t="s">
        <v>1847</v>
      </c>
      <c r="C160" s="12">
        <v>1099</v>
      </c>
      <c r="D160" s="12">
        <v>1345</v>
      </c>
      <c r="E160" s="11" t="s">
        <v>71</v>
      </c>
      <c r="F160" s="13" t="s">
        <v>524</v>
      </c>
      <c r="G160" s="14">
        <v>17</v>
      </c>
      <c r="H160" s="11" t="s">
        <v>73</v>
      </c>
      <c r="I160" s="11" t="s">
        <v>282</v>
      </c>
      <c r="J160" s="11" t="s">
        <v>1848</v>
      </c>
      <c r="K160" s="11" t="s">
        <v>447</v>
      </c>
      <c r="L160" s="11" t="s">
        <v>1017</v>
      </c>
      <c r="M160" s="5" t="s">
        <v>1860</v>
      </c>
      <c r="N160" s="5" t="s">
        <v>1883</v>
      </c>
      <c r="O160" s="5" t="s">
        <v>93</v>
      </c>
      <c r="P160" s="5" t="s">
        <v>527</v>
      </c>
      <c r="Q160" s="11" t="s">
        <v>82</v>
      </c>
      <c r="R160" s="11" t="s">
        <v>82</v>
      </c>
      <c r="S160" s="11" t="s">
        <v>82</v>
      </c>
      <c r="T160" s="11" t="s">
        <v>1851</v>
      </c>
      <c r="U160" s="5" t="s">
        <v>1852</v>
      </c>
      <c r="V160" s="11" t="s">
        <v>528</v>
      </c>
      <c r="W160" s="11" t="s">
        <v>529</v>
      </c>
      <c r="X160" s="11" t="s">
        <v>530</v>
      </c>
      <c r="Y160" s="11" t="s">
        <v>1853</v>
      </c>
      <c r="Z160" s="11" t="s">
        <v>1884</v>
      </c>
    </row>
    <row r="161" spans="1:26">
      <c r="A161" s="11" t="s">
        <v>532</v>
      </c>
      <c r="B161" s="11" t="s">
        <v>1847</v>
      </c>
      <c r="C161" s="12">
        <v>1471</v>
      </c>
      <c r="D161" s="12">
        <v>1468</v>
      </c>
      <c r="E161" s="11" t="s">
        <v>71</v>
      </c>
      <c r="F161" s="13" t="s">
        <v>533</v>
      </c>
      <c r="G161" s="14">
        <v>19</v>
      </c>
      <c r="H161" s="11" t="s">
        <v>73</v>
      </c>
      <c r="I161" s="11" t="s">
        <v>282</v>
      </c>
      <c r="J161" s="11" t="s">
        <v>1848</v>
      </c>
      <c r="K161" s="11" t="s">
        <v>447</v>
      </c>
      <c r="L161" s="11" t="s">
        <v>1017</v>
      </c>
      <c r="M161" s="5" t="s">
        <v>1860</v>
      </c>
      <c r="N161" s="5" t="s">
        <v>1885</v>
      </c>
      <c r="O161" s="5" t="s">
        <v>1886</v>
      </c>
      <c r="P161" s="5" t="s">
        <v>536</v>
      </c>
      <c r="Q161" s="11" t="s">
        <v>82</v>
      </c>
      <c r="R161" s="11" t="s">
        <v>82</v>
      </c>
      <c r="S161" s="11" t="s">
        <v>82</v>
      </c>
      <c r="T161" s="11" t="s">
        <v>1851</v>
      </c>
      <c r="U161" s="5" t="s">
        <v>1852</v>
      </c>
      <c r="V161" s="11" t="s">
        <v>537</v>
      </c>
      <c r="W161" s="11" t="s">
        <v>538</v>
      </c>
      <c r="X161" s="11" t="s">
        <v>539</v>
      </c>
      <c r="Y161" s="11" t="s">
        <v>1853</v>
      </c>
      <c r="Z161" s="11" t="s">
        <v>1887</v>
      </c>
    </row>
    <row r="162" spans="1:26">
      <c r="A162" s="11" t="s">
        <v>541</v>
      </c>
      <c r="B162" s="11" t="s">
        <v>1847</v>
      </c>
      <c r="C162" s="12">
        <v>1315</v>
      </c>
      <c r="D162" s="12">
        <v>1414</v>
      </c>
      <c r="E162" s="11" t="s">
        <v>71</v>
      </c>
      <c r="F162" s="13" t="s">
        <v>542</v>
      </c>
      <c r="G162" s="14">
        <v>19</v>
      </c>
      <c r="H162" s="11" t="s">
        <v>73</v>
      </c>
      <c r="I162" s="11" t="s">
        <v>282</v>
      </c>
      <c r="J162" s="11" t="s">
        <v>1848</v>
      </c>
      <c r="K162" s="11" t="s">
        <v>447</v>
      </c>
      <c r="L162" s="11" t="s">
        <v>1017</v>
      </c>
      <c r="M162" s="5" t="s">
        <v>1860</v>
      </c>
      <c r="N162" s="5" t="s">
        <v>1888</v>
      </c>
      <c r="O162" s="5" t="s">
        <v>1889</v>
      </c>
      <c r="P162" s="5" t="s">
        <v>545</v>
      </c>
      <c r="Q162" s="11" t="s">
        <v>82</v>
      </c>
      <c r="R162" s="11" t="s">
        <v>82</v>
      </c>
      <c r="S162" s="11" t="s">
        <v>82</v>
      </c>
      <c r="T162" s="11" t="s">
        <v>1851</v>
      </c>
      <c r="U162" s="5" t="s">
        <v>1852</v>
      </c>
      <c r="V162" s="11" t="s">
        <v>546</v>
      </c>
      <c r="W162" s="11" t="s">
        <v>547</v>
      </c>
      <c r="X162" s="11" t="s">
        <v>548</v>
      </c>
      <c r="Y162" s="11" t="s">
        <v>1853</v>
      </c>
      <c r="Z162" s="11" t="s">
        <v>1890</v>
      </c>
    </row>
    <row r="163" spans="1:26">
      <c r="A163" s="11" t="s">
        <v>550</v>
      </c>
      <c r="B163" s="11" t="s">
        <v>1847</v>
      </c>
      <c r="C163" s="17">
        <v>1458</v>
      </c>
      <c r="D163" s="17">
        <v>801</v>
      </c>
      <c r="E163" s="11" t="s">
        <v>71</v>
      </c>
      <c r="F163" s="13" t="s">
        <v>551</v>
      </c>
      <c r="G163" s="18" t="s">
        <v>1038</v>
      </c>
      <c r="H163" s="11" t="s">
        <v>73</v>
      </c>
      <c r="I163" s="11" t="s">
        <v>282</v>
      </c>
      <c r="J163" s="11" t="s">
        <v>1848</v>
      </c>
      <c r="K163" s="11" t="s">
        <v>479</v>
      </c>
      <c r="L163" s="11" t="s">
        <v>284</v>
      </c>
      <c r="M163" s="5" t="s">
        <v>1891</v>
      </c>
      <c r="N163" s="5" t="s">
        <v>1892</v>
      </c>
      <c r="O163" s="5" t="s">
        <v>555</v>
      </c>
      <c r="P163" s="5" t="s">
        <v>556</v>
      </c>
      <c r="Q163" s="11" t="s">
        <v>82</v>
      </c>
      <c r="R163" s="11" t="s">
        <v>82</v>
      </c>
      <c r="S163" s="11" t="s">
        <v>82</v>
      </c>
      <c r="T163" s="11" t="s">
        <v>1851</v>
      </c>
      <c r="U163" s="5" t="s">
        <v>1852</v>
      </c>
      <c r="V163" s="11" t="s">
        <v>557</v>
      </c>
      <c r="W163" s="11" t="s">
        <v>105</v>
      </c>
      <c r="X163" s="11" t="s">
        <v>106</v>
      </c>
      <c r="Y163" s="11" t="s">
        <v>1853</v>
      </c>
      <c r="Z163" s="11" t="s">
        <v>1893</v>
      </c>
    </row>
    <row r="164" spans="1:26">
      <c r="A164" s="11" t="s">
        <v>69</v>
      </c>
      <c r="B164" s="11" t="s">
        <v>1894</v>
      </c>
      <c r="C164" s="12">
        <v>1508</v>
      </c>
      <c r="D164" s="12">
        <v>1337</v>
      </c>
      <c r="E164" s="11" t="s">
        <v>71</v>
      </c>
      <c r="F164" s="13" t="s">
        <v>72</v>
      </c>
      <c r="G164" s="14">
        <v>80</v>
      </c>
      <c r="H164" s="11" t="s">
        <v>73</v>
      </c>
      <c r="I164" s="11" t="s">
        <v>282</v>
      </c>
      <c r="J164" s="11" t="s">
        <v>1895</v>
      </c>
      <c r="K164" s="11" t="s">
        <v>76</v>
      </c>
      <c r="L164" s="11" t="s">
        <v>284</v>
      </c>
      <c r="M164" s="5" t="s">
        <v>1896</v>
      </c>
      <c r="N164" s="5" t="s">
        <v>1897</v>
      </c>
      <c r="O164" s="5" t="s">
        <v>1711</v>
      </c>
      <c r="P164" s="5" t="s">
        <v>81</v>
      </c>
      <c r="Q164" s="11" t="s">
        <v>82</v>
      </c>
      <c r="R164" s="11" t="s">
        <v>82</v>
      </c>
      <c r="S164" s="11" t="s">
        <v>82</v>
      </c>
      <c r="T164" s="11" t="s">
        <v>1898</v>
      </c>
      <c r="U164" s="5" t="s">
        <v>1899</v>
      </c>
      <c r="V164" s="11" t="s">
        <v>85</v>
      </c>
      <c r="W164" s="11" t="s">
        <v>86</v>
      </c>
      <c r="X164" s="11" t="s">
        <v>87</v>
      </c>
      <c r="Y164" s="11" t="s">
        <v>1900</v>
      </c>
      <c r="Z164" s="11" t="s">
        <v>1901</v>
      </c>
    </row>
    <row r="165" spans="1:26">
      <c r="A165" s="11" t="s">
        <v>90</v>
      </c>
      <c r="B165" s="11" t="s">
        <v>1894</v>
      </c>
      <c r="C165" s="12">
        <v>1620</v>
      </c>
      <c r="D165" s="12">
        <v>1508</v>
      </c>
      <c r="E165" s="11" t="s">
        <v>71</v>
      </c>
      <c r="F165" s="13" t="s">
        <v>91</v>
      </c>
      <c r="G165" s="14">
        <v>88</v>
      </c>
      <c r="H165" s="11" t="s">
        <v>73</v>
      </c>
      <c r="I165" s="11" t="s">
        <v>282</v>
      </c>
      <c r="J165" s="11" t="s">
        <v>1895</v>
      </c>
      <c r="K165" s="11" t="s">
        <v>76</v>
      </c>
      <c r="L165" s="11" t="s">
        <v>284</v>
      </c>
      <c r="M165" s="5" t="s">
        <v>1896</v>
      </c>
      <c r="N165" s="5" t="s">
        <v>1902</v>
      </c>
      <c r="O165" s="5" t="s">
        <v>1719</v>
      </c>
      <c r="P165" s="5" t="s">
        <v>94</v>
      </c>
      <c r="Q165" s="11" t="s">
        <v>82</v>
      </c>
      <c r="R165" s="11" t="s">
        <v>82</v>
      </c>
      <c r="S165" s="11" t="s">
        <v>82</v>
      </c>
      <c r="T165" s="11" t="s">
        <v>1898</v>
      </c>
      <c r="U165" s="5" t="s">
        <v>1899</v>
      </c>
      <c r="V165" s="11" t="s">
        <v>95</v>
      </c>
      <c r="W165" s="11" t="s">
        <v>96</v>
      </c>
      <c r="X165" s="11" t="s">
        <v>97</v>
      </c>
      <c r="Y165" s="11" t="s">
        <v>1900</v>
      </c>
      <c r="Z165" s="11" t="s">
        <v>1903</v>
      </c>
    </row>
    <row r="166" spans="1:26">
      <c r="A166" s="11" t="s">
        <v>99</v>
      </c>
      <c r="B166" s="11" t="s">
        <v>1894</v>
      </c>
      <c r="C166" s="12">
        <v>1956</v>
      </c>
      <c r="D166" s="12">
        <v>1620</v>
      </c>
      <c r="E166" s="11" t="s">
        <v>71</v>
      </c>
      <c r="F166" s="13" t="s">
        <v>100</v>
      </c>
      <c r="G166" s="14">
        <v>86</v>
      </c>
      <c r="H166" s="11" t="s">
        <v>73</v>
      </c>
      <c r="I166" s="11" t="s">
        <v>282</v>
      </c>
      <c r="J166" s="11" t="s">
        <v>1895</v>
      </c>
      <c r="K166" s="11" t="s">
        <v>76</v>
      </c>
      <c r="L166" s="11" t="s">
        <v>284</v>
      </c>
      <c r="M166" s="5" t="s">
        <v>1896</v>
      </c>
      <c r="N166" s="5" t="s">
        <v>1681</v>
      </c>
      <c r="O166" s="5" t="s">
        <v>1858</v>
      </c>
      <c r="P166" s="5" t="s">
        <v>103</v>
      </c>
      <c r="Q166" s="11" t="s">
        <v>82</v>
      </c>
      <c r="R166" s="11" t="s">
        <v>82</v>
      </c>
      <c r="S166" s="11" t="s">
        <v>82</v>
      </c>
      <c r="T166" s="11" t="s">
        <v>1898</v>
      </c>
      <c r="U166" s="5" t="s">
        <v>1899</v>
      </c>
      <c r="V166" s="11" t="s">
        <v>104</v>
      </c>
      <c r="W166" s="11" t="s">
        <v>105</v>
      </c>
      <c r="X166" s="11" t="s">
        <v>106</v>
      </c>
      <c r="Y166" s="11" t="s">
        <v>1900</v>
      </c>
      <c r="Z166" s="11" t="s">
        <v>1904</v>
      </c>
    </row>
    <row r="167" spans="1:26">
      <c r="A167" s="11" t="s">
        <v>445</v>
      </c>
      <c r="B167" s="11" t="s">
        <v>1894</v>
      </c>
      <c r="C167" s="12">
        <v>336</v>
      </c>
      <c r="D167" s="12">
        <v>300</v>
      </c>
      <c r="E167" s="11" t="s">
        <v>71</v>
      </c>
      <c r="F167" s="13" t="s">
        <v>446</v>
      </c>
      <c r="G167" s="14">
        <v>18</v>
      </c>
      <c r="H167" s="11" t="s">
        <v>73</v>
      </c>
      <c r="I167" s="11" t="s">
        <v>282</v>
      </c>
      <c r="J167" s="11" t="s">
        <v>1895</v>
      </c>
      <c r="K167" s="11" t="s">
        <v>447</v>
      </c>
      <c r="L167" s="11" t="s">
        <v>1000</v>
      </c>
      <c r="M167" s="5" t="s">
        <v>1905</v>
      </c>
      <c r="N167" s="5" t="s">
        <v>1906</v>
      </c>
      <c r="O167" s="5" t="s">
        <v>1457</v>
      </c>
      <c r="P167" s="5" t="s">
        <v>452</v>
      </c>
      <c r="Q167" s="11" t="s">
        <v>82</v>
      </c>
      <c r="R167" s="11" t="s">
        <v>82</v>
      </c>
      <c r="S167" s="11" t="s">
        <v>82</v>
      </c>
      <c r="T167" s="11" t="s">
        <v>1898</v>
      </c>
      <c r="U167" s="5" t="s">
        <v>1907</v>
      </c>
      <c r="V167" s="11" t="s">
        <v>454</v>
      </c>
      <c r="W167" s="11" t="s">
        <v>455</v>
      </c>
      <c r="X167" s="11" t="s">
        <v>456</v>
      </c>
      <c r="Y167" s="11" t="s">
        <v>1900</v>
      </c>
      <c r="Z167" s="11" t="s">
        <v>1908</v>
      </c>
    </row>
    <row r="168" spans="1:26">
      <c r="A168" s="11" t="s">
        <v>458</v>
      </c>
      <c r="B168" s="11" t="s">
        <v>1894</v>
      </c>
      <c r="C168" s="12">
        <v>361</v>
      </c>
      <c r="D168" s="12">
        <v>313</v>
      </c>
      <c r="E168" s="11" t="s">
        <v>71</v>
      </c>
      <c r="F168" s="13" t="s">
        <v>459</v>
      </c>
      <c r="G168" s="14">
        <v>22</v>
      </c>
      <c r="H168" s="11" t="s">
        <v>73</v>
      </c>
      <c r="I168" s="11" t="s">
        <v>282</v>
      </c>
      <c r="J168" s="11" t="s">
        <v>1895</v>
      </c>
      <c r="K168" s="11" t="s">
        <v>447</v>
      </c>
      <c r="L168" s="11" t="s">
        <v>1000</v>
      </c>
      <c r="M168" s="5" t="s">
        <v>1905</v>
      </c>
      <c r="N168" s="5" t="s">
        <v>1909</v>
      </c>
      <c r="O168" s="5" t="s">
        <v>1864</v>
      </c>
      <c r="P168" s="5" t="s">
        <v>462</v>
      </c>
      <c r="Q168" s="11" t="s">
        <v>82</v>
      </c>
      <c r="R168" s="11" t="s">
        <v>82</v>
      </c>
      <c r="S168" s="11" t="s">
        <v>82</v>
      </c>
      <c r="T168" s="11" t="s">
        <v>1898</v>
      </c>
      <c r="U168" s="5" t="s">
        <v>1907</v>
      </c>
      <c r="V168" s="11" t="s">
        <v>463</v>
      </c>
      <c r="W168" s="11" t="s">
        <v>464</v>
      </c>
      <c r="X168" s="11" t="s">
        <v>465</v>
      </c>
      <c r="Y168" s="11" t="s">
        <v>1900</v>
      </c>
      <c r="Z168" s="11" t="s">
        <v>1910</v>
      </c>
    </row>
    <row r="169" spans="1:26">
      <c r="A169" s="11" t="s">
        <v>467</v>
      </c>
      <c r="B169" s="11" t="s">
        <v>1894</v>
      </c>
      <c r="C169" s="12">
        <v>401</v>
      </c>
      <c r="D169" s="12">
        <v>340</v>
      </c>
      <c r="E169" s="11" t="s">
        <v>71</v>
      </c>
      <c r="F169" s="13" t="s">
        <v>468</v>
      </c>
      <c r="G169" s="14">
        <v>22</v>
      </c>
      <c r="H169" s="11" t="s">
        <v>73</v>
      </c>
      <c r="I169" s="11" t="s">
        <v>282</v>
      </c>
      <c r="J169" s="11" t="s">
        <v>1895</v>
      </c>
      <c r="K169" s="11" t="s">
        <v>447</v>
      </c>
      <c r="L169" s="11" t="s">
        <v>1000</v>
      </c>
      <c r="M169" s="5" t="s">
        <v>1905</v>
      </c>
      <c r="N169" s="5" t="s">
        <v>1911</v>
      </c>
      <c r="O169" s="5" t="s">
        <v>1867</v>
      </c>
      <c r="P169" s="5" t="s">
        <v>471</v>
      </c>
      <c r="Q169" s="11" t="s">
        <v>82</v>
      </c>
      <c r="R169" s="11" t="s">
        <v>82</v>
      </c>
      <c r="S169" s="11" t="s">
        <v>82</v>
      </c>
      <c r="T169" s="11" t="s">
        <v>1898</v>
      </c>
      <c r="U169" s="5" t="s">
        <v>1899</v>
      </c>
      <c r="V169" s="11" t="s">
        <v>472</v>
      </c>
      <c r="W169" s="11" t="s">
        <v>473</v>
      </c>
      <c r="X169" s="11" t="s">
        <v>474</v>
      </c>
      <c r="Y169" s="11" t="s">
        <v>1900</v>
      </c>
      <c r="Z169" s="11" t="s">
        <v>1912</v>
      </c>
    </row>
    <row r="170" spans="1:26">
      <c r="A170" s="11" t="s">
        <v>476</v>
      </c>
      <c r="B170" s="11" t="s">
        <v>1894</v>
      </c>
      <c r="C170" s="17">
        <v>410</v>
      </c>
      <c r="D170" s="17">
        <v>384</v>
      </c>
      <c r="E170" s="11" t="s">
        <v>71</v>
      </c>
      <c r="F170" s="13" t="s">
        <v>477</v>
      </c>
      <c r="G170" s="18" t="s">
        <v>1012</v>
      </c>
      <c r="H170" s="11" t="s">
        <v>73</v>
      </c>
      <c r="I170" s="11" t="s">
        <v>282</v>
      </c>
      <c r="J170" s="11" t="s">
        <v>1895</v>
      </c>
      <c r="K170" s="11" t="s">
        <v>479</v>
      </c>
      <c r="L170" s="11" t="s">
        <v>284</v>
      </c>
      <c r="M170" s="5" t="s">
        <v>1913</v>
      </c>
      <c r="N170" s="5" t="s">
        <v>1914</v>
      </c>
      <c r="O170" s="5" t="s">
        <v>1015</v>
      </c>
      <c r="P170" s="5" t="s">
        <v>483</v>
      </c>
      <c r="Q170" s="11" t="s">
        <v>82</v>
      </c>
      <c r="R170" s="11" t="s">
        <v>82</v>
      </c>
      <c r="S170" s="11" t="s">
        <v>82</v>
      </c>
      <c r="T170" s="11" t="s">
        <v>1898</v>
      </c>
      <c r="U170" s="5" t="s">
        <v>1899</v>
      </c>
      <c r="V170" s="11" t="s">
        <v>484</v>
      </c>
      <c r="W170" s="11" t="s">
        <v>86</v>
      </c>
      <c r="X170" s="11" t="s">
        <v>87</v>
      </c>
      <c r="Y170" s="11" t="s">
        <v>1900</v>
      </c>
      <c r="Z170" s="11" t="s">
        <v>1915</v>
      </c>
    </row>
    <row r="171" spans="1:26">
      <c r="A171" s="11" t="s">
        <v>486</v>
      </c>
      <c r="B171" s="11" t="s">
        <v>1894</v>
      </c>
      <c r="C171" s="12">
        <v>395</v>
      </c>
      <c r="D171" s="12">
        <v>336</v>
      </c>
      <c r="E171" s="11" t="s">
        <v>71</v>
      </c>
      <c r="F171" s="13" t="s">
        <v>487</v>
      </c>
      <c r="G171" s="14">
        <v>17</v>
      </c>
      <c r="H171" s="11" t="s">
        <v>73</v>
      </c>
      <c r="I171" s="11" t="s">
        <v>282</v>
      </c>
      <c r="J171" s="11" t="s">
        <v>1895</v>
      </c>
      <c r="K171" s="11" t="s">
        <v>447</v>
      </c>
      <c r="L171" s="11" t="s">
        <v>1017</v>
      </c>
      <c r="M171" s="5" t="s">
        <v>1905</v>
      </c>
      <c r="N171" s="5" t="s">
        <v>1916</v>
      </c>
      <c r="O171" s="5" t="s">
        <v>1744</v>
      </c>
      <c r="P171" s="5" t="s">
        <v>491</v>
      </c>
      <c r="Q171" s="11" t="s">
        <v>82</v>
      </c>
      <c r="R171" s="11" t="s">
        <v>82</v>
      </c>
      <c r="S171" s="11" t="s">
        <v>82</v>
      </c>
      <c r="T171" s="11" t="s">
        <v>1898</v>
      </c>
      <c r="U171" s="5" t="s">
        <v>1899</v>
      </c>
      <c r="V171" s="11" t="s">
        <v>492</v>
      </c>
      <c r="W171" s="11" t="s">
        <v>493</v>
      </c>
      <c r="X171" s="11" t="s">
        <v>494</v>
      </c>
      <c r="Y171" s="11" t="s">
        <v>1900</v>
      </c>
      <c r="Z171" s="11" t="s">
        <v>1917</v>
      </c>
    </row>
    <row r="172" spans="1:26">
      <c r="A172" s="11" t="s">
        <v>496</v>
      </c>
      <c r="B172" s="11" t="s">
        <v>1894</v>
      </c>
      <c r="C172" s="12">
        <v>446</v>
      </c>
      <c r="D172" s="12">
        <v>361</v>
      </c>
      <c r="E172" s="11" t="s">
        <v>71</v>
      </c>
      <c r="F172" s="13" t="s">
        <v>497</v>
      </c>
      <c r="G172" s="14">
        <v>20</v>
      </c>
      <c r="H172" s="11" t="s">
        <v>73</v>
      </c>
      <c r="I172" s="11" t="s">
        <v>282</v>
      </c>
      <c r="J172" s="11" t="s">
        <v>1895</v>
      </c>
      <c r="K172" s="11" t="s">
        <v>447</v>
      </c>
      <c r="L172" s="11" t="s">
        <v>1017</v>
      </c>
      <c r="M172" s="5" t="s">
        <v>1905</v>
      </c>
      <c r="N172" s="5" t="s">
        <v>1918</v>
      </c>
      <c r="O172" s="5" t="s">
        <v>1875</v>
      </c>
      <c r="P172" s="5" t="s">
        <v>500</v>
      </c>
      <c r="Q172" s="11" t="s">
        <v>82</v>
      </c>
      <c r="R172" s="11" t="s">
        <v>82</v>
      </c>
      <c r="S172" s="11" t="s">
        <v>82</v>
      </c>
      <c r="T172" s="11" t="s">
        <v>1898</v>
      </c>
      <c r="U172" s="5" t="s">
        <v>1899</v>
      </c>
      <c r="V172" s="11" t="s">
        <v>501</v>
      </c>
      <c r="W172" s="11" t="s">
        <v>502</v>
      </c>
      <c r="X172" s="11" t="s">
        <v>503</v>
      </c>
      <c r="Y172" s="11" t="s">
        <v>1900</v>
      </c>
      <c r="Z172" s="11" t="s">
        <v>1919</v>
      </c>
    </row>
    <row r="173" spans="1:26">
      <c r="A173" s="11" t="s">
        <v>505</v>
      </c>
      <c r="B173" s="11" t="s">
        <v>1894</v>
      </c>
      <c r="C173" s="12">
        <v>461</v>
      </c>
      <c r="D173" s="12">
        <v>401</v>
      </c>
      <c r="E173" s="11" t="s">
        <v>71</v>
      </c>
      <c r="F173" s="13" t="s">
        <v>506</v>
      </c>
      <c r="G173" s="14">
        <v>20</v>
      </c>
      <c r="H173" s="11" t="s">
        <v>73</v>
      </c>
      <c r="I173" s="11" t="s">
        <v>282</v>
      </c>
      <c r="J173" s="11" t="s">
        <v>1895</v>
      </c>
      <c r="K173" s="11" t="s">
        <v>447</v>
      </c>
      <c r="L173" s="11" t="s">
        <v>1017</v>
      </c>
      <c r="M173" s="5" t="s">
        <v>1905</v>
      </c>
      <c r="N173" s="5" t="s">
        <v>1920</v>
      </c>
      <c r="O173" s="5" t="s">
        <v>1878</v>
      </c>
      <c r="P173" s="5" t="s">
        <v>509</v>
      </c>
      <c r="Q173" s="11" t="s">
        <v>82</v>
      </c>
      <c r="R173" s="11" t="s">
        <v>82</v>
      </c>
      <c r="S173" s="11" t="s">
        <v>82</v>
      </c>
      <c r="T173" s="11" t="s">
        <v>1898</v>
      </c>
      <c r="U173" s="5" t="s">
        <v>1899</v>
      </c>
      <c r="V173" s="11" t="s">
        <v>510</v>
      </c>
      <c r="W173" s="11" t="s">
        <v>511</v>
      </c>
      <c r="X173" s="11" t="s">
        <v>512</v>
      </c>
      <c r="Y173" s="11" t="s">
        <v>1900</v>
      </c>
      <c r="Z173" s="11" t="s">
        <v>1921</v>
      </c>
    </row>
    <row r="174" spans="1:26">
      <c r="A174" s="11" t="s">
        <v>514</v>
      </c>
      <c r="B174" s="11" t="s">
        <v>1894</v>
      </c>
      <c r="C174" s="17">
        <v>318</v>
      </c>
      <c r="D174" s="17">
        <v>410</v>
      </c>
      <c r="E174" s="11" t="s">
        <v>71</v>
      </c>
      <c r="F174" s="13" t="s">
        <v>515</v>
      </c>
      <c r="G174" s="18" t="s">
        <v>1026</v>
      </c>
      <c r="H174" s="11" t="s">
        <v>73</v>
      </c>
      <c r="I174" s="11" t="s">
        <v>282</v>
      </c>
      <c r="J174" s="11" t="s">
        <v>1895</v>
      </c>
      <c r="K174" s="11" t="s">
        <v>479</v>
      </c>
      <c r="L174" s="11" t="s">
        <v>284</v>
      </c>
      <c r="M174" s="5" t="s">
        <v>1922</v>
      </c>
      <c r="N174" s="5" t="s">
        <v>1923</v>
      </c>
      <c r="O174" s="5" t="s">
        <v>1015</v>
      </c>
      <c r="P174" s="5" t="s">
        <v>520</v>
      </c>
      <c r="Q174" s="11" t="s">
        <v>82</v>
      </c>
      <c r="R174" s="11" t="s">
        <v>82</v>
      </c>
      <c r="S174" s="11" t="s">
        <v>82</v>
      </c>
      <c r="T174" s="11" t="s">
        <v>1898</v>
      </c>
      <c r="U174" s="5" t="s">
        <v>1899</v>
      </c>
      <c r="V174" s="11" t="s">
        <v>521</v>
      </c>
      <c r="W174" s="11" t="s">
        <v>96</v>
      </c>
      <c r="X174" s="11" t="s">
        <v>97</v>
      </c>
      <c r="Y174" s="11" t="s">
        <v>1900</v>
      </c>
      <c r="Z174" s="11" t="s">
        <v>1924</v>
      </c>
    </row>
    <row r="175" spans="1:26">
      <c r="A175" s="11" t="s">
        <v>523</v>
      </c>
      <c r="B175" s="11" t="s">
        <v>1894</v>
      </c>
      <c r="C175" s="12">
        <v>391</v>
      </c>
      <c r="D175" s="12">
        <v>395</v>
      </c>
      <c r="E175" s="11" t="s">
        <v>71</v>
      </c>
      <c r="F175" s="13" t="s">
        <v>524</v>
      </c>
      <c r="G175" s="14">
        <v>17</v>
      </c>
      <c r="H175" s="11" t="s">
        <v>73</v>
      </c>
      <c r="I175" s="11" t="s">
        <v>282</v>
      </c>
      <c r="J175" s="11" t="s">
        <v>1895</v>
      </c>
      <c r="K175" s="11" t="s">
        <v>447</v>
      </c>
      <c r="L175" s="11" t="s">
        <v>1017</v>
      </c>
      <c r="M175" s="5" t="s">
        <v>1905</v>
      </c>
      <c r="N175" s="5" t="s">
        <v>1925</v>
      </c>
      <c r="O175" s="5" t="s">
        <v>93</v>
      </c>
      <c r="P175" s="5" t="s">
        <v>527</v>
      </c>
      <c r="Q175" s="11" t="s">
        <v>82</v>
      </c>
      <c r="R175" s="11" t="s">
        <v>82</v>
      </c>
      <c r="S175" s="11" t="s">
        <v>82</v>
      </c>
      <c r="T175" s="11" t="s">
        <v>1898</v>
      </c>
      <c r="U175" s="5" t="s">
        <v>1899</v>
      </c>
      <c r="V175" s="11" t="s">
        <v>528</v>
      </c>
      <c r="W175" s="11" t="s">
        <v>529</v>
      </c>
      <c r="X175" s="11" t="s">
        <v>530</v>
      </c>
      <c r="Y175" s="11" t="s">
        <v>1900</v>
      </c>
      <c r="Z175" s="11" t="s">
        <v>1926</v>
      </c>
    </row>
    <row r="176" spans="1:26">
      <c r="A176" s="11" t="s">
        <v>532</v>
      </c>
      <c r="B176" s="11" t="s">
        <v>1894</v>
      </c>
      <c r="C176" s="12">
        <v>546</v>
      </c>
      <c r="D176" s="12">
        <v>446</v>
      </c>
      <c r="E176" s="11" t="s">
        <v>71</v>
      </c>
      <c r="F176" s="13" t="s">
        <v>533</v>
      </c>
      <c r="G176" s="14">
        <v>19</v>
      </c>
      <c r="H176" s="11" t="s">
        <v>73</v>
      </c>
      <c r="I176" s="11" t="s">
        <v>282</v>
      </c>
      <c r="J176" s="11" t="s">
        <v>1895</v>
      </c>
      <c r="K176" s="11" t="s">
        <v>447</v>
      </c>
      <c r="L176" s="11" t="s">
        <v>1017</v>
      </c>
      <c r="M176" s="5" t="s">
        <v>1905</v>
      </c>
      <c r="N176" s="5" t="s">
        <v>1927</v>
      </c>
      <c r="O176" s="5" t="s">
        <v>1886</v>
      </c>
      <c r="P176" s="5" t="s">
        <v>536</v>
      </c>
      <c r="Q176" s="11" t="s">
        <v>82</v>
      </c>
      <c r="R176" s="11" t="s">
        <v>82</v>
      </c>
      <c r="S176" s="11" t="s">
        <v>82</v>
      </c>
      <c r="T176" s="11" t="s">
        <v>1898</v>
      </c>
      <c r="U176" s="5" t="s">
        <v>1899</v>
      </c>
      <c r="V176" s="11" t="s">
        <v>537</v>
      </c>
      <c r="W176" s="11" t="s">
        <v>538</v>
      </c>
      <c r="X176" s="11" t="s">
        <v>539</v>
      </c>
      <c r="Y176" s="11" t="s">
        <v>1900</v>
      </c>
      <c r="Z176" s="11" t="s">
        <v>1928</v>
      </c>
    </row>
    <row r="177" spans="1:26">
      <c r="A177" s="11" t="s">
        <v>541</v>
      </c>
      <c r="B177" s="11" t="s">
        <v>1894</v>
      </c>
      <c r="C177" s="12">
        <v>469</v>
      </c>
      <c r="D177" s="12">
        <v>461</v>
      </c>
      <c r="E177" s="11" t="s">
        <v>71</v>
      </c>
      <c r="F177" s="13" t="s">
        <v>542</v>
      </c>
      <c r="G177" s="14">
        <v>19</v>
      </c>
      <c r="H177" s="11" t="s">
        <v>73</v>
      </c>
      <c r="I177" s="11" t="s">
        <v>282</v>
      </c>
      <c r="J177" s="11" t="s">
        <v>1895</v>
      </c>
      <c r="K177" s="11" t="s">
        <v>447</v>
      </c>
      <c r="L177" s="11" t="s">
        <v>1017</v>
      </c>
      <c r="M177" s="5" t="s">
        <v>1905</v>
      </c>
      <c r="N177" s="5" t="s">
        <v>1929</v>
      </c>
      <c r="O177" s="5" t="s">
        <v>1889</v>
      </c>
      <c r="P177" s="5" t="s">
        <v>545</v>
      </c>
      <c r="Q177" s="11" t="s">
        <v>82</v>
      </c>
      <c r="R177" s="11" t="s">
        <v>82</v>
      </c>
      <c r="S177" s="11" t="s">
        <v>82</v>
      </c>
      <c r="T177" s="11" t="s">
        <v>1898</v>
      </c>
      <c r="U177" s="5" t="s">
        <v>1899</v>
      </c>
      <c r="V177" s="11" t="s">
        <v>546</v>
      </c>
      <c r="W177" s="11" t="s">
        <v>547</v>
      </c>
      <c r="X177" s="11" t="s">
        <v>548</v>
      </c>
      <c r="Y177" s="11" t="s">
        <v>1900</v>
      </c>
      <c r="Z177" s="11" t="s">
        <v>1930</v>
      </c>
    </row>
    <row r="178" spans="1:26">
      <c r="A178" s="11" t="s">
        <v>550</v>
      </c>
      <c r="B178" s="11" t="s">
        <v>1894</v>
      </c>
      <c r="C178" s="17">
        <v>550</v>
      </c>
      <c r="D178" s="17">
        <v>318</v>
      </c>
      <c r="E178" s="11" t="s">
        <v>71</v>
      </c>
      <c r="F178" s="13" t="s">
        <v>551</v>
      </c>
      <c r="G178" s="18" t="s">
        <v>1038</v>
      </c>
      <c r="H178" s="11" t="s">
        <v>73</v>
      </c>
      <c r="I178" s="11" t="s">
        <v>282</v>
      </c>
      <c r="J178" s="11" t="s">
        <v>1895</v>
      </c>
      <c r="K178" s="11" t="s">
        <v>479</v>
      </c>
      <c r="L178" s="11" t="s">
        <v>284</v>
      </c>
      <c r="M178" s="5" t="s">
        <v>1931</v>
      </c>
      <c r="N178" s="5" t="s">
        <v>1932</v>
      </c>
      <c r="O178" s="5" t="s">
        <v>1015</v>
      </c>
      <c r="P178" s="5" t="s">
        <v>556</v>
      </c>
      <c r="Q178" s="11" t="s">
        <v>82</v>
      </c>
      <c r="R178" s="11" t="s">
        <v>82</v>
      </c>
      <c r="S178" s="11" t="s">
        <v>82</v>
      </c>
      <c r="T178" s="11" t="s">
        <v>1898</v>
      </c>
      <c r="U178" s="5" t="s">
        <v>1899</v>
      </c>
      <c r="V178" s="11" t="s">
        <v>557</v>
      </c>
      <c r="W178" s="11" t="s">
        <v>105</v>
      </c>
      <c r="X178" s="11" t="s">
        <v>106</v>
      </c>
      <c r="Y178" s="11" t="s">
        <v>1900</v>
      </c>
      <c r="Z178" s="11" t="s">
        <v>1933</v>
      </c>
    </row>
    <row r="179" spans="1:26">
      <c r="A179" s="11" t="s">
        <v>69</v>
      </c>
      <c r="B179" s="11" t="s">
        <v>1934</v>
      </c>
      <c r="C179" s="12">
        <v>3746</v>
      </c>
      <c r="D179" s="12">
        <v>3829</v>
      </c>
      <c r="E179" s="11" t="s">
        <v>71</v>
      </c>
      <c r="F179" s="13" t="s">
        <v>72</v>
      </c>
      <c r="G179" s="14">
        <v>80</v>
      </c>
      <c r="H179" s="11" t="s">
        <v>73</v>
      </c>
      <c r="I179" s="11" t="s">
        <v>282</v>
      </c>
      <c r="J179" s="11" t="s">
        <v>1935</v>
      </c>
      <c r="K179" s="11" t="s">
        <v>76</v>
      </c>
      <c r="L179" s="11" t="s">
        <v>284</v>
      </c>
      <c r="M179" s="5" t="s">
        <v>1936</v>
      </c>
      <c r="N179" s="5" t="s">
        <v>1937</v>
      </c>
      <c r="O179" s="5" t="s">
        <v>1711</v>
      </c>
      <c r="P179" s="5" t="s">
        <v>81</v>
      </c>
      <c r="Q179" s="11" t="s">
        <v>82</v>
      </c>
      <c r="R179" s="11" t="s">
        <v>82</v>
      </c>
      <c r="S179" s="11" t="s">
        <v>82</v>
      </c>
      <c r="T179" s="11" t="s">
        <v>1938</v>
      </c>
      <c r="U179" s="5" t="s">
        <v>1939</v>
      </c>
      <c r="V179" s="11" t="s">
        <v>85</v>
      </c>
      <c r="W179" s="11" t="s">
        <v>86</v>
      </c>
      <c r="X179" s="11" t="s">
        <v>87</v>
      </c>
      <c r="Y179" s="11" t="s">
        <v>1940</v>
      </c>
      <c r="Z179" s="11" t="s">
        <v>1941</v>
      </c>
    </row>
    <row r="180" spans="1:26">
      <c r="A180" s="11" t="s">
        <v>90</v>
      </c>
      <c r="B180" s="11" t="s">
        <v>1934</v>
      </c>
      <c r="C180" s="12">
        <v>3408</v>
      </c>
      <c r="D180" s="12">
        <v>3746</v>
      </c>
      <c r="E180" s="11" t="s">
        <v>71</v>
      </c>
      <c r="F180" s="13" t="s">
        <v>91</v>
      </c>
      <c r="G180" s="14">
        <v>88</v>
      </c>
      <c r="H180" s="11" t="s">
        <v>73</v>
      </c>
      <c r="I180" s="11" t="s">
        <v>282</v>
      </c>
      <c r="J180" s="11" t="s">
        <v>1935</v>
      </c>
      <c r="K180" s="11" t="s">
        <v>76</v>
      </c>
      <c r="L180" s="11" t="s">
        <v>284</v>
      </c>
      <c r="M180" s="5" t="s">
        <v>1936</v>
      </c>
      <c r="N180" s="5" t="s">
        <v>1942</v>
      </c>
      <c r="O180" s="5" t="s">
        <v>1719</v>
      </c>
      <c r="P180" s="5" t="s">
        <v>94</v>
      </c>
      <c r="Q180" s="11" t="s">
        <v>82</v>
      </c>
      <c r="R180" s="11" t="s">
        <v>82</v>
      </c>
      <c r="S180" s="11" t="s">
        <v>82</v>
      </c>
      <c r="T180" s="11" t="s">
        <v>1938</v>
      </c>
      <c r="U180" s="5" t="s">
        <v>1939</v>
      </c>
      <c r="V180" s="11" t="s">
        <v>95</v>
      </c>
      <c r="W180" s="11" t="s">
        <v>96</v>
      </c>
      <c r="X180" s="11" t="s">
        <v>97</v>
      </c>
      <c r="Y180" s="11" t="s">
        <v>1940</v>
      </c>
      <c r="Z180" s="11" t="s">
        <v>1943</v>
      </c>
    </row>
    <row r="181" spans="1:26">
      <c r="A181" s="11" t="s">
        <v>99</v>
      </c>
      <c r="B181" s="11" t="s">
        <v>1934</v>
      </c>
      <c r="C181" s="12">
        <v>3387</v>
      </c>
      <c r="D181" s="12">
        <v>3408</v>
      </c>
      <c r="E181" s="11" t="s">
        <v>71</v>
      </c>
      <c r="F181" s="13" t="s">
        <v>100</v>
      </c>
      <c r="G181" s="14">
        <v>86</v>
      </c>
      <c r="H181" s="11" t="s">
        <v>73</v>
      </c>
      <c r="I181" s="11" t="s">
        <v>282</v>
      </c>
      <c r="J181" s="11" t="s">
        <v>1935</v>
      </c>
      <c r="K181" s="11" t="s">
        <v>76</v>
      </c>
      <c r="L181" s="11" t="s">
        <v>284</v>
      </c>
      <c r="M181" s="5" t="s">
        <v>1936</v>
      </c>
      <c r="N181" s="5" t="s">
        <v>1944</v>
      </c>
      <c r="O181" s="5" t="s">
        <v>1858</v>
      </c>
      <c r="P181" s="5" t="s">
        <v>103</v>
      </c>
      <c r="Q181" s="11" t="s">
        <v>82</v>
      </c>
      <c r="R181" s="11" t="s">
        <v>82</v>
      </c>
      <c r="S181" s="11" t="s">
        <v>82</v>
      </c>
      <c r="T181" s="11" t="s">
        <v>1938</v>
      </c>
      <c r="U181" s="5" t="s">
        <v>1939</v>
      </c>
      <c r="V181" s="11" t="s">
        <v>104</v>
      </c>
      <c r="W181" s="11" t="s">
        <v>105</v>
      </c>
      <c r="X181" s="11" t="s">
        <v>106</v>
      </c>
      <c r="Y181" s="11" t="s">
        <v>1940</v>
      </c>
      <c r="Z181" s="11" t="s">
        <v>1945</v>
      </c>
    </row>
    <row r="182" spans="1:26">
      <c r="A182" s="11" t="s">
        <v>445</v>
      </c>
      <c r="B182" s="11" t="s">
        <v>1934</v>
      </c>
      <c r="C182" s="12">
        <v>934</v>
      </c>
      <c r="D182" s="12">
        <v>889</v>
      </c>
      <c r="E182" s="11" t="s">
        <v>71</v>
      </c>
      <c r="F182" s="13" t="s">
        <v>446</v>
      </c>
      <c r="G182" s="14">
        <v>18</v>
      </c>
      <c r="H182" s="11" t="s">
        <v>73</v>
      </c>
      <c r="I182" s="11" t="s">
        <v>282</v>
      </c>
      <c r="J182" s="11" t="s">
        <v>1935</v>
      </c>
      <c r="K182" s="11" t="s">
        <v>447</v>
      </c>
      <c r="L182" s="11" t="s">
        <v>1000</v>
      </c>
      <c r="M182" s="5" t="s">
        <v>1946</v>
      </c>
      <c r="N182" s="5" t="s">
        <v>206</v>
      </c>
      <c r="O182" s="5" t="s">
        <v>1457</v>
      </c>
      <c r="P182" s="5" t="s">
        <v>452</v>
      </c>
      <c r="Q182" s="11" t="s">
        <v>82</v>
      </c>
      <c r="R182" s="11" t="s">
        <v>82</v>
      </c>
      <c r="S182" s="11" t="s">
        <v>82</v>
      </c>
      <c r="T182" s="11" t="s">
        <v>1938</v>
      </c>
      <c r="U182" s="5" t="s">
        <v>1947</v>
      </c>
      <c r="V182" s="11" t="s">
        <v>454</v>
      </c>
      <c r="W182" s="11" t="s">
        <v>455</v>
      </c>
      <c r="X182" s="11" t="s">
        <v>456</v>
      </c>
      <c r="Y182" s="11" t="s">
        <v>1940</v>
      </c>
      <c r="Z182" s="11" t="s">
        <v>1948</v>
      </c>
    </row>
    <row r="183" spans="1:26">
      <c r="A183" s="11" t="s">
        <v>458</v>
      </c>
      <c r="B183" s="11" t="s">
        <v>1934</v>
      </c>
      <c r="C183" s="12">
        <v>937</v>
      </c>
      <c r="D183" s="12">
        <v>960</v>
      </c>
      <c r="E183" s="11" t="s">
        <v>71</v>
      </c>
      <c r="F183" s="13" t="s">
        <v>459</v>
      </c>
      <c r="G183" s="14">
        <v>22</v>
      </c>
      <c r="H183" s="11" t="s">
        <v>73</v>
      </c>
      <c r="I183" s="11" t="s">
        <v>282</v>
      </c>
      <c r="J183" s="11" t="s">
        <v>1935</v>
      </c>
      <c r="K183" s="11" t="s">
        <v>447</v>
      </c>
      <c r="L183" s="11" t="s">
        <v>1000</v>
      </c>
      <c r="M183" s="5" t="s">
        <v>1946</v>
      </c>
      <c r="N183" s="5" t="s">
        <v>1645</v>
      </c>
      <c r="O183" s="5" t="s">
        <v>1864</v>
      </c>
      <c r="P183" s="5" t="s">
        <v>462</v>
      </c>
      <c r="Q183" s="11" t="s">
        <v>82</v>
      </c>
      <c r="R183" s="11" t="s">
        <v>82</v>
      </c>
      <c r="S183" s="11" t="s">
        <v>82</v>
      </c>
      <c r="T183" s="11" t="s">
        <v>1938</v>
      </c>
      <c r="U183" s="5" t="s">
        <v>1947</v>
      </c>
      <c r="V183" s="11" t="s">
        <v>463</v>
      </c>
      <c r="W183" s="11" t="s">
        <v>464</v>
      </c>
      <c r="X183" s="11" t="s">
        <v>465</v>
      </c>
      <c r="Y183" s="11" t="s">
        <v>1940</v>
      </c>
      <c r="Z183" s="11" t="s">
        <v>1949</v>
      </c>
    </row>
    <row r="184" spans="1:26">
      <c r="A184" s="11" t="s">
        <v>467</v>
      </c>
      <c r="B184" s="11" t="s">
        <v>1934</v>
      </c>
      <c r="C184" s="12">
        <v>906</v>
      </c>
      <c r="D184" s="12">
        <v>928</v>
      </c>
      <c r="E184" s="11" t="s">
        <v>71</v>
      </c>
      <c r="F184" s="13" t="s">
        <v>468</v>
      </c>
      <c r="G184" s="14">
        <v>22</v>
      </c>
      <c r="H184" s="11" t="s">
        <v>73</v>
      </c>
      <c r="I184" s="11" t="s">
        <v>282</v>
      </c>
      <c r="J184" s="11" t="s">
        <v>1935</v>
      </c>
      <c r="K184" s="11" t="s">
        <v>447</v>
      </c>
      <c r="L184" s="11" t="s">
        <v>1000</v>
      </c>
      <c r="M184" s="5" t="s">
        <v>1946</v>
      </c>
      <c r="N184" s="5" t="s">
        <v>1950</v>
      </c>
      <c r="O184" s="5" t="s">
        <v>1867</v>
      </c>
      <c r="P184" s="5" t="s">
        <v>471</v>
      </c>
      <c r="Q184" s="11" t="s">
        <v>82</v>
      </c>
      <c r="R184" s="11" t="s">
        <v>82</v>
      </c>
      <c r="S184" s="11" t="s">
        <v>82</v>
      </c>
      <c r="T184" s="11" t="s">
        <v>1938</v>
      </c>
      <c r="U184" s="5" t="s">
        <v>1939</v>
      </c>
      <c r="V184" s="11" t="s">
        <v>472</v>
      </c>
      <c r="W184" s="11" t="s">
        <v>473</v>
      </c>
      <c r="X184" s="11" t="s">
        <v>474</v>
      </c>
      <c r="Y184" s="11" t="s">
        <v>1940</v>
      </c>
      <c r="Z184" s="11" t="s">
        <v>1951</v>
      </c>
    </row>
    <row r="185" spans="1:26">
      <c r="A185" s="11" t="s">
        <v>476</v>
      </c>
      <c r="B185" s="11" t="s">
        <v>1934</v>
      </c>
      <c r="C185" s="17">
        <v>969</v>
      </c>
      <c r="D185" s="17">
        <v>1052</v>
      </c>
      <c r="E185" s="11" t="s">
        <v>71</v>
      </c>
      <c r="F185" s="13" t="s">
        <v>477</v>
      </c>
      <c r="G185" s="18" t="s">
        <v>1012</v>
      </c>
      <c r="H185" s="11" t="s">
        <v>73</v>
      </c>
      <c r="I185" s="11" t="s">
        <v>282</v>
      </c>
      <c r="J185" s="11" t="s">
        <v>1935</v>
      </c>
      <c r="K185" s="11" t="s">
        <v>479</v>
      </c>
      <c r="L185" s="11" t="s">
        <v>284</v>
      </c>
      <c r="M185" s="5" t="s">
        <v>1952</v>
      </c>
      <c r="N185" s="5" t="s">
        <v>1953</v>
      </c>
      <c r="O185" s="5" t="s">
        <v>1015</v>
      </c>
      <c r="P185" s="5" t="s">
        <v>483</v>
      </c>
      <c r="Q185" s="11" t="s">
        <v>82</v>
      </c>
      <c r="R185" s="11" t="s">
        <v>82</v>
      </c>
      <c r="S185" s="11" t="s">
        <v>82</v>
      </c>
      <c r="T185" s="11" t="s">
        <v>1938</v>
      </c>
      <c r="U185" s="5" t="s">
        <v>1939</v>
      </c>
      <c r="V185" s="11" t="s">
        <v>484</v>
      </c>
      <c r="W185" s="11" t="s">
        <v>86</v>
      </c>
      <c r="X185" s="11" t="s">
        <v>87</v>
      </c>
      <c r="Y185" s="11" t="s">
        <v>1940</v>
      </c>
      <c r="Z185" s="11" t="s">
        <v>1954</v>
      </c>
    </row>
    <row r="186" spans="1:26">
      <c r="A186" s="11" t="s">
        <v>486</v>
      </c>
      <c r="B186" s="11" t="s">
        <v>1934</v>
      </c>
      <c r="C186" s="12">
        <v>950</v>
      </c>
      <c r="D186" s="12">
        <v>934</v>
      </c>
      <c r="E186" s="11" t="s">
        <v>71</v>
      </c>
      <c r="F186" s="13" t="s">
        <v>487</v>
      </c>
      <c r="G186" s="14">
        <v>17</v>
      </c>
      <c r="H186" s="11" t="s">
        <v>73</v>
      </c>
      <c r="I186" s="11" t="s">
        <v>282</v>
      </c>
      <c r="J186" s="11" t="s">
        <v>1935</v>
      </c>
      <c r="K186" s="11" t="s">
        <v>447</v>
      </c>
      <c r="L186" s="11" t="s">
        <v>1017</v>
      </c>
      <c r="M186" s="5" t="s">
        <v>1946</v>
      </c>
      <c r="N186" s="5" t="s">
        <v>1955</v>
      </c>
      <c r="O186" s="5" t="s">
        <v>1744</v>
      </c>
      <c r="P186" s="5" t="s">
        <v>491</v>
      </c>
      <c r="Q186" s="11" t="s">
        <v>82</v>
      </c>
      <c r="R186" s="11" t="s">
        <v>82</v>
      </c>
      <c r="S186" s="11" t="s">
        <v>82</v>
      </c>
      <c r="T186" s="11" t="s">
        <v>1938</v>
      </c>
      <c r="U186" s="5" t="s">
        <v>1939</v>
      </c>
      <c r="V186" s="11" t="s">
        <v>492</v>
      </c>
      <c r="W186" s="11" t="s">
        <v>493</v>
      </c>
      <c r="X186" s="11" t="s">
        <v>494</v>
      </c>
      <c r="Y186" s="11" t="s">
        <v>1940</v>
      </c>
      <c r="Z186" s="11" t="s">
        <v>1956</v>
      </c>
    </row>
    <row r="187" spans="1:26">
      <c r="A187" s="11" t="s">
        <v>496</v>
      </c>
      <c r="B187" s="11" t="s">
        <v>1934</v>
      </c>
      <c r="C187" s="12">
        <v>1022</v>
      </c>
      <c r="D187" s="12">
        <v>937</v>
      </c>
      <c r="E187" s="11" t="s">
        <v>71</v>
      </c>
      <c r="F187" s="13" t="s">
        <v>497</v>
      </c>
      <c r="G187" s="14">
        <v>20</v>
      </c>
      <c r="H187" s="11" t="s">
        <v>73</v>
      </c>
      <c r="I187" s="11" t="s">
        <v>282</v>
      </c>
      <c r="J187" s="11" t="s">
        <v>1935</v>
      </c>
      <c r="K187" s="11" t="s">
        <v>447</v>
      </c>
      <c r="L187" s="11" t="s">
        <v>1017</v>
      </c>
      <c r="M187" s="5" t="s">
        <v>1946</v>
      </c>
      <c r="N187" s="5" t="s">
        <v>1957</v>
      </c>
      <c r="O187" s="5" t="s">
        <v>1875</v>
      </c>
      <c r="P187" s="5" t="s">
        <v>500</v>
      </c>
      <c r="Q187" s="11" t="s">
        <v>82</v>
      </c>
      <c r="R187" s="11" t="s">
        <v>82</v>
      </c>
      <c r="S187" s="11" t="s">
        <v>82</v>
      </c>
      <c r="T187" s="11" t="s">
        <v>1938</v>
      </c>
      <c r="U187" s="5" t="s">
        <v>1939</v>
      </c>
      <c r="V187" s="11" t="s">
        <v>501</v>
      </c>
      <c r="W187" s="11" t="s">
        <v>502</v>
      </c>
      <c r="X187" s="11" t="s">
        <v>503</v>
      </c>
      <c r="Y187" s="11" t="s">
        <v>1940</v>
      </c>
      <c r="Z187" s="11" t="s">
        <v>1958</v>
      </c>
    </row>
    <row r="188" spans="1:26">
      <c r="A188" s="11" t="s">
        <v>505</v>
      </c>
      <c r="B188" s="11" t="s">
        <v>1934</v>
      </c>
      <c r="C188" s="12">
        <v>953</v>
      </c>
      <c r="D188" s="12">
        <v>906</v>
      </c>
      <c r="E188" s="11" t="s">
        <v>71</v>
      </c>
      <c r="F188" s="13" t="s">
        <v>506</v>
      </c>
      <c r="G188" s="14">
        <v>20</v>
      </c>
      <c r="H188" s="11" t="s">
        <v>73</v>
      </c>
      <c r="I188" s="11" t="s">
        <v>282</v>
      </c>
      <c r="J188" s="11" t="s">
        <v>1935</v>
      </c>
      <c r="K188" s="11" t="s">
        <v>447</v>
      </c>
      <c r="L188" s="11" t="s">
        <v>1017</v>
      </c>
      <c r="M188" s="5" t="s">
        <v>1946</v>
      </c>
      <c r="N188" s="5" t="s">
        <v>1959</v>
      </c>
      <c r="O188" s="5" t="s">
        <v>1878</v>
      </c>
      <c r="P188" s="5" t="s">
        <v>509</v>
      </c>
      <c r="Q188" s="11" t="s">
        <v>82</v>
      </c>
      <c r="R188" s="11" t="s">
        <v>82</v>
      </c>
      <c r="S188" s="11" t="s">
        <v>82</v>
      </c>
      <c r="T188" s="11" t="s">
        <v>1938</v>
      </c>
      <c r="U188" s="5" t="s">
        <v>1939</v>
      </c>
      <c r="V188" s="11" t="s">
        <v>510</v>
      </c>
      <c r="W188" s="11" t="s">
        <v>511</v>
      </c>
      <c r="X188" s="11" t="s">
        <v>512</v>
      </c>
      <c r="Y188" s="11" t="s">
        <v>1940</v>
      </c>
      <c r="Z188" s="11" t="s">
        <v>1960</v>
      </c>
    </row>
    <row r="189" spans="1:26">
      <c r="A189" s="11" t="s">
        <v>514</v>
      </c>
      <c r="B189" s="11" t="s">
        <v>1934</v>
      </c>
      <c r="C189" s="17">
        <v>483</v>
      </c>
      <c r="D189" s="17">
        <v>969</v>
      </c>
      <c r="E189" s="11" t="s">
        <v>71</v>
      </c>
      <c r="F189" s="13" t="s">
        <v>515</v>
      </c>
      <c r="G189" s="18" t="s">
        <v>1026</v>
      </c>
      <c r="H189" s="11" t="s">
        <v>73</v>
      </c>
      <c r="I189" s="11" t="s">
        <v>282</v>
      </c>
      <c r="J189" s="11" t="s">
        <v>1935</v>
      </c>
      <c r="K189" s="11" t="s">
        <v>479</v>
      </c>
      <c r="L189" s="11" t="s">
        <v>284</v>
      </c>
      <c r="M189" s="5" t="s">
        <v>1961</v>
      </c>
      <c r="N189" s="5" t="s">
        <v>1962</v>
      </c>
      <c r="O189" s="5" t="s">
        <v>1015</v>
      </c>
      <c r="P189" s="5" t="s">
        <v>520</v>
      </c>
      <c r="Q189" s="11" t="s">
        <v>82</v>
      </c>
      <c r="R189" s="11" t="s">
        <v>82</v>
      </c>
      <c r="S189" s="11" t="s">
        <v>82</v>
      </c>
      <c r="T189" s="11" t="s">
        <v>1938</v>
      </c>
      <c r="U189" s="5" t="s">
        <v>1939</v>
      </c>
      <c r="V189" s="11" t="s">
        <v>521</v>
      </c>
      <c r="W189" s="11" t="s">
        <v>96</v>
      </c>
      <c r="X189" s="11" t="s">
        <v>97</v>
      </c>
      <c r="Y189" s="11" t="s">
        <v>1940</v>
      </c>
      <c r="Z189" s="11" t="s">
        <v>1963</v>
      </c>
    </row>
    <row r="190" spans="1:26">
      <c r="A190" s="11" t="s">
        <v>523</v>
      </c>
      <c r="B190" s="11" t="s">
        <v>1934</v>
      </c>
      <c r="C190" s="12">
        <v>708</v>
      </c>
      <c r="D190" s="12">
        <v>950</v>
      </c>
      <c r="E190" s="11" t="s">
        <v>71</v>
      </c>
      <c r="F190" s="13" t="s">
        <v>524</v>
      </c>
      <c r="G190" s="14">
        <v>17</v>
      </c>
      <c r="H190" s="11" t="s">
        <v>73</v>
      </c>
      <c r="I190" s="11" t="s">
        <v>282</v>
      </c>
      <c r="J190" s="11" t="s">
        <v>1935</v>
      </c>
      <c r="K190" s="11" t="s">
        <v>447</v>
      </c>
      <c r="L190" s="11" t="s">
        <v>1017</v>
      </c>
      <c r="M190" s="5" t="s">
        <v>1946</v>
      </c>
      <c r="N190" s="5" t="s">
        <v>1964</v>
      </c>
      <c r="O190" s="5" t="s">
        <v>93</v>
      </c>
      <c r="P190" s="5" t="s">
        <v>527</v>
      </c>
      <c r="Q190" s="11" t="s">
        <v>82</v>
      </c>
      <c r="R190" s="11" t="s">
        <v>82</v>
      </c>
      <c r="S190" s="11" t="s">
        <v>82</v>
      </c>
      <c r="T190" s="11" t="s">
        <v>1938</v>
      </c>
      <c r="U190" s="5" t="s">
        <v>1939</v>
      </c>
      <c r="V190" s="11" t="s">
        <v>528</v>
      </c>
      <c r="W190" s="11" t="s">
        <v>529</v>
      </c>
      <c r="X190" s="11" t="s">
        <v>530</v>
      </c>
      <c r="Y190" s="11" t="s">
        <v>1940</v>
      </c>
      <c r="Z190" s="11" t="s">
        <v>1965</v>
      </c>
    </row>
    <row r="191" spans="1:26">
      <c r="A191" s="11" t="s">
        <v>532</v>
      </c>
      <c r="B191" s="11" t="s">
        <v>1934</v>
      </c>
      <c r="C191" s="12">
        <v>925</v>
      </c>
      <c r="D191" s="12">
        <v>1022</v>
      </c>
      <c r="E191" s="11" t="s">
        <v>71</v>
      </c>
      <c r="F191" s="13" t="s">
        <v>533</v>
      </c>
      <c r="G191" s="14">
        <v>19</v>
      </c>
      <c r="H191" s="11" t="s">
        <v>73</v>
      </c>
      <c r="I191" s="11" t="s">
        <v>282</v>
      </c>
      <c r="J191" s="11" t="s">
        <v>1935</v>
      </c>
      <c r="K191" s="11" t="s">
        <v>447</v>
      </c>
      <c r="L191" s="11" t="s">
        <v>1017</v>
      </c>
      <c r="M191" s="5" t="s">
        <v>1946</v>
      </c>
      <c r="N191" s="5" t="s">
        <v>1966</v>
      </c>
      <c r="O191" s="5" t="s">
        <v>1886</v>
      </c>
      <c r="P191" s="5" t="s">
        <v>536</v>
      </c>
      <c r="Q191" s="11" t="s">
        <v>82</v>
      </c>
      <c r="R191" s="11" t="s">
        <v>82</v>
      </c>
      <c r="S191" s="11" t="s">
        <v>82</v>
      </c>
      <c r="T191" s="11" t="s">
        <v>1938</v>
      </c>
      <c r="U191" s="5" t="s">
        <v>1939</v>
      </c>
      <c r="V191" s="11" t="s">
        <v>537</v>
      </c>
      <c r="W191" s="11" t="s">
        <v>538</v>
      </c>
      <c r="X191" s="11" t="s">
        <v>539</v>
      </c>
      <c r="Y191" s="11" t="s">
        <v>1940</v>
      </c>
      <c r="Z191" s="11" t="s">
        <v>1967</v>
      </c>
    </row>
    <row r="192" spans="1:26">
      <c r="A192" s="11" t="s">
        <v>541</v>
      </c>
      <c r="B192" s="11" t="s">
        <v>1934</v>
      </c>
      <c r="C192" s="12">
        <v>846</v>
      </c>
      <c r="D192" s="12">
        <v>953</v>
      </c>
      <c r="E192" s="11" t="s">
        <v>71</v>
      </c>
      <c r="F192" s="13" t="s">
        <v>542</v>
      </c>
      <c r="G192" s="14">
        <v>19</v>
      </c>
      <c r="H192" s="11" t="s">
        <v>73</v>
      </c>
      <c r="I192" s="11" t="s">
        <v>282</v>
      </c>
      <c r="J192" s="11" t="s">
        <v>1935</v>
      </c>
      <c r="K192" s="11" t="s">
        <v>447</v>
      </c>
      <c r="L192" s="11" t="s">
        <v>1017</v>
      </c>
      <c r="M192" s="5" t="s">
        <v>1946</v>
      </c>
      <c r="N192" s="5" t="s">
        <v>1968</v>
      </c>
      <c r="O192" s="5" t="s">
        <v>1889</v>
      </c>
      <c r="P192" s="5" t="s">
        <v>545</v>
      </c>
      <c r="Q192" s="11" t="s">
        <v>82</v>
      </c>
      <c r="R192" s="11" t="s">
        <v>82</v>
      </c>
      <c r="S192" s="11" t="s">
        <v>82</v>
      </c>
      <c r="T192" s="11" t="s">
        <v>1938</v>
      </c>
      <c r="U192" s="5" t="s">
        <v>1939</v>
      </c>
      <c r="V192" s="11" t="s">
        <v>546</v>
      </c>
      <c r="W192" s="11" t="s">
        <v>547</v>
      </c>
      <c r="X192" s="11" t="s">
        <v>548</v>
      </c>
      <c r="Y192" s="11" t="s">
        <v>1940</v>
      </c>
      <c r="Z192" s="11" t="s">
        <v>1969</v>
      </c>
    </row>
    <row r="193" spans="1:26">
      <c r="A193" s="11" t="s">
        <v>550</v>
      </c>
      <c r="B193" s="11" t="s">
        <v>1934</v>
      </c>
      <c r="C193" s="17">
        <v>908</v>
      </c>
      <c r="D193" s="17">
        <v>483</v>
      </c>
      <c r="E193" s="11" t="s">
        <v>71</v>
      </c>
      <c r="F193" s="13" t="s">
        <v>551</v>
      </c>
      <c r="G193" s="18" t="s">
        <v>1038</v>
      </c>
      <c r="H193" s="11" t="s">
        <v>73</v>
      </c>
      <c r="I193" s="11" t="s">
        <v>282</v>
      </c>
      <c r="J193" s="11" t="s">
        <v>1935</v>
      </c>
      <c r="K193" s="11" t="s">
        <v>479</v>
      </c>
      <c r="L193" s="11" t="s">
        <v>284</v>
      </c>
      <c r="M193" s="5" t="s">
        <v>1970</v>
      </c>
      <c r="N193" s="5" t="s">
        <v>1971</v>
      </c>
      <c r="O193" s="5" t="s">
        <v>1015</v>
      </c>
      <c r="P193" s="5" t="s">
        <v>556</v>
      </c>
      <c r="Q193" s="11" t="s">
        <v>82</v>
      </c>
      <c r="R193" s="11" t="s">
        <v>82</v>
      </c>
      <c r="S193" s="11" t="s">
        <v>82</v>
      </c>
      <c r="T193" s="11" t="s">
        <v>1938</v>
      </c>
      <c r="U193" s="5" t="s">
        <v>1939</v>
      </c>
      <c r="V193" s="11" t="s">
        <v>557</v>
      </c>
      <c r="W193" s="11" t="s">
        <v>105</v>
      </c>
      <c r="X193" s="11" t="s">
        <v>106</v>
      </c>
      <c r="Y193" s="11" t="s">
        <v>1940</v>
      </c>
      <c r="Z193" s="11" t="s">
        <v>1972</v>
      </c>
    </row>
    <row r="194" spans="1:26">
      <c r="A194" s="11" t="s">
        <v>69</v>
      </c>
      <c r="B194" s="11" t="s">
        <v>1973</v>
      </c>
      <c r="C194" s="12">
        <v>1323</v>
      </c>
      <c r="D194" s="12">
        <v>1189</v>
      </c>
      <c r="E194" s="11" t="s">
        <v>71</v>
      </c>
      <c r="F194" s="13" t="s">
        <v>72</v>
      </c>
      <c r="G194" s="14">
        <v>82</v>
      </c>
      <c r="H194" s="11" t="s">
        <v>73</v>
      </c>
      <c r="I194" s="11" t="s">
        <v>282</v>
      </c>
      <c r="J194" s="11" t="s">
        <v>1848</v>
      </c>
      <c r="K194" s="11" t="s">
        <v>76</v>
      </c>
      <c r="L194" s="11" t="s">
        <v>1551</v>
      </c>
      <c r="M194" s="5" t="s">
        <v>1974</v>
      </c>
      <c r="N194" s="5" t="s">
        <v>1975</v>
      </c>
      <c r="O194" s="5" t="s">
        <v>1837</v>
      </c>
      <c r="P194" s="5" t="s">
        <v>81</v>
      </c>
      <c r="Q194" s="11" t="s">
        <v>82</v>
      </c>
      <c r="R194" s="11" t="s">
        <v>82</v>
      </c>
      <c r="S194" s="11" t="s">
        <v>82</v>
      </c>
      <c r="T194" s="11" t="s">
        <v>1976</v>
      </c>
      <c r="U194" s="5" t="s">
        <v>1977</v>
      </c>
      <c r="V194" s="11" t="s">
        <v>85</v>
      </c>
      <c r="W194" s="11" t="s">
        <v>86</v>
      </c>
      <c r="X194" s="11" t="s">
        <v>87</v>
      </c>
      <c r="Y194" s="11" t="s">
        <v>1978</v>
      </c>
      <c r="Z194" s="11" t="s">
        <v>1979</v>
      </c>
    </row>
    <row r="195" spans="1:26">
      <c r="A195" s="11" t="s">
        <v>90</v>
      </c>
      <c r="B195" s="11" t="s">
        <v>1973</v>
      </c>
      <c r="C195" s="12">
        <v>1184</v>
      </c>
      <c r="D195" s="12">
        <v>1323</v>
      </c>
      <c r="E195" s="11" t="s">
        <v>71</v>
      </c>
      <c r="F195" s="13" t="s">
        <v>91</v>
      </c>
      <c r="G195" s="14">
        <v>90</v>
      </c>
      <c r="H195" s="11" t="s">
        <v>73</v>
      </c>
      <c r="I195" s="11" t="s">
        <v>282</v>
      </c>
      <c r="J195" s="11" t="s">
        <v>1848</v>
      </c>
      <c r="K195" s="11" t="s">
        <v>76</v>
      </c>
      <c r="L195" s="11" t="s">
        <v>1551</v>
      </c>
      <c r="M195" s="5" t="s">
        <v>1974</v>
      </c>
      <c r="N195" s="5" t="s">
        <v>1980</v>
      </c>
      <c r="O195" s="5" t="s">
        <v>1845</v>
      </c>
      <c r="P195" s="5" t="s">
        <v>94</v>
      </c>
      <c r="Q195" s="11" t="s">
        <v>82</v>
      </c>
      <c r="R195" s="11" t="s">
        <v>82</v>
      </c>
      <c r="S195" s="11" t="s">
        <v>82</v>
      </c>
      <c r="T195" s="11" t="s">
        <v>1976</v>
      </c>
      <c r="U195" s="5" t="s">
        <v>1977</v>
      </c>
      <c r="V195" s="11" t="s">
        <v>95</v>
      </c>
      <c r="W195" s="11" t="s">
        <v>96</v>
      </c>
      <c r="X195" s="11" t="s">
        <v>97</v>
      </c>
      <c r="Y195" s="11" t="s">
        <v>1978</v>
      </c>
      <c r="Z195" s="11" t="s">
        <v>1981</v>
      </c>
    </row>
    <row r="196" spans="1:26">
      <c r="A196" s="11" t="s">
        <v>99</v>
      </c>
      <c r="B196" s="11" t="s">
        <v>1973</v>
      </c>
      <c r="C196" s="12">
        <v>1530</v>
      </c>
      <c r="D196" s="12">
        <v>1184</v>
      </c>
      <c r="E196" s="11" t="s">
        <v>71</v>
      </c>
      <c r="F196" s="13" t="s">
        <v>100</v>
      </c>
      <c r="G196" s="14">
        <v>89</v>
      </c>
      <c r="H196" s="11" t="s">
        <v>73</v>
      </c>
      <c r="I196" s="11" t="s">
        <v>282</v>
      </c>
      <c r="J196" s="11" t="s">
        <v>1848</v>
      </c>
      <c r="K196" s="11" t="s">
        <v>76</v>
      </c>
      <c r="L196" s="11" t="s">
        <v>1551</v>
      </c>
      <c r="M196" s="5" t="s">
        <v>1974</v>
      </c>
      <c r="N196" s="5" t="s">
        <v>1982</v>
      </c>
      <c r="O196" s="5" t="s">
        <v>1983</v>
      </c>
      <c r="P196" s="5" t="s">
        <v>103</v>
      </c>
      <c r="Q196" s="11" t="s">
        <v>82</v>
      </c>
      <c r="R196" s="11" t="s">
        <v>82</v>
      </c>
      <c r="S196" s="11" t="s">
        <v>82</v>
      </c>
      <c r="T196" s="11" t="s">
        <v>1976</v>
      </c>
      <c r="U196" s="5" t="s">
        <v>1977</v>
      </c>
      <c r="V196" s="11" t="s">
        <v>104</v>
      </c>
      <c r="W196" s="11" t="s">
        <v>105</v>
      </c>
      <c r="X196" s="11" t="s">
        <v>106</v>
      </c>
      <c r="Y196" s="11" t="s">
        <v>1978</v>
      </c>
      <c r="Z196" s="11" t="s">
        <v>1984</v>
      </c>
    </row>
  </sheetData>
  <autoFilter ref="A4:Z196"/>
  <mergeCells count="2">
    <mergeCell ref="A1:H1"/>
    <mergeCell ref="A2:H2"/>
  </mergeCells>
  <conditionalFormatting sqref="H5:H701">
    <cfRule type="cellIs" dxfId="0" priority="1" operator="equal">
      <formula>"Chờ người kiểm tra"</formula>
    </cfRule>
    <cfRule type="cellIs" dxfId="1" priority="2" operator="equal">
      <formula>"Thiếu / không công bố"</formula>
    </cfRule>
    <cfRule type="cellIs" dxfId="2" priority="3" operator="equal">
      <formula>"Đã xác minh (người)"</formula>
    </cfRule>
    <cfRule type="cellIs" dxfId="3" priority="4" operator="equal">
      <formula>"Bằng chứng mâu thuẫn"</formula>
    </cfRule>
  </conditionalFormatting>
  <dataValidations count="1">
    <dataValidation type="list" allowBlank="1" showInputMessage="1" showErrorMessage="1" errorTitle="Trạng thái không hợp lệ" error="Chọn một trạng thái trong danh sách." sqref="H5:H701">
      <formula1>"Khớp nguồn chính thức,Chờ người kiểm tra,Đã xác minh (người),Thiếu / không công bố,Bằng chứng mâu thuẫn"</formula1>
    </dataValidation>
  </dataValidations>
  <hyperlinks>
    <hyperlink ref="F5" r:id="rId1" tooltip="NIKE, Inc. Form 10-K for the fiscal year ended May 31, 2019 – SEC EDGAR"/>
    <hyperlink ref="F6" r:id="rId2" tooltip="NIKE, Inc. Form 10-K for the fiscal year ended May 31, 2020 – SEC EDGAR"/>
    <hyperlink ref="F7" r:id="rId3" tooltip="NIKE, Inc. Form 10-K for the fiscal year ended May 31, 2021 – SEC EDGAR"/>
    <hyperlink ref="F8" r:id="rId4" tooltip="NIKE, Inc. Form 10-Q for the quarterly period ended August 31, 2018 – SEC EDGAR"/>
    <hyperlink ref="F9" r:id="rId5" tooltip="NIKE, Inc. Form 10-Q for the quarterly period ended November 30, 2018 – SEC EDGAR"/>
    <hyperlink ref="F10" r:id="rId6" tooltip="NIKE, Inc. Form 10-Q for the quarterly period ended February 28, 2019 – SEC EDGAR"/>
    <hyperlink ref="F11" r:id="rId7" tooltip="NIKE, Inc. Form 10-K for the fiscal year ended May 31, 2019 – SEC EDGAR. 10-Q Q3 FY2019: link ở sheet 07."/>
    <hyperlink ref="F12" r:id="rId8" tooltip="NIKE, Inc. Form 10-Q for the quarterly period ended August 31, 2019 – SEC EDGAR"/>
    <hyperlink ref="F13" r:id="rId9" tooltip="NIKE, Inc. Form 10-Q for the quarterly period ended November 30, 2019 – SEC EDGAR"/>
    <hyperlink ref="F14" r:id="rId10" tooltip="NIKE, Inc. Form 10-Q for the quarterly period ended February 29, 2020 – SEC EDGAR"/>
    <hyperlink ref="F15" r:id="rId11" tooltip="NIKE, Inc. Form 10-K for the fiscal year ended May 31, 2020 – SEC EDGAR. 10-Q Q3 FY2020: link ở sheet 07."/>
    <hyperlink ref="F16" r:id="rId12" tooltip="NIKE, Inc. Form 10-Q for the quarterly period ended August 31, 2020 – SEC EDGAR"/>
    <hyperlink ref="F17" r:id="rId13" tooltip="NIKE, Inc. Form 10-Q for the quarterly period ended November 30, 2020 – SEC EDGAR"/>
    <hyperlink ref="F18" r:id="rId14" tooltip="NIKE, Inc. Form 10-Q for the quarterly period ended February 28, 2021 – SEC EDGAR"/>
    <hyperlink ref="F19" r:id="rId15" tooltip="NIKE, Inc. Form 10-K for the fiscal year ended May 31, 2021 – SEC EDGAR. 10-Q Q3 FY2021: link ở sheet 07."/>
    <hyperlink ref="F20" r:id="rId16" tooltip="NIKE, Inc. Form 10-K for the fiscal year ended May 31, 2019 – SEC EDGAR"/>
    <hyperlink ref="F21" r:id="rId17" tooltip="NIKE, Inc. Form 10-K for the fiscal year ended May 31, 2020 – SEC EDGAR"/>
    <hyperlink ref="F22" r:id="rId18" tooltip="NIKE, Inc. Form 10-K for the fiscal year ended May 31, 2021 – SEC EDGAR"/>
    <hyperlink ref="F23" r:id="rId19" tooltip="NIKE, Inc. Form 10-Q for the quarterly period ended August 31, 2018 – SEC EDGAR"/>
    <hyperlink ref="F24" r:id="rId20" tooltip="NIKE, Inc. Form 10-Q for the quarterly period ended November 30, 2018 – SEC EDGAR"/>
    <hyperlink ref="F25" r:id="rId21" tooltip="NIKE, Inc. Form 10-Q for the quarterly period ended February 28, 2019 – SEC EDGAR"/>
    <hyperlink ref="F26" r:id="rId22" tooltip="NIKE, Inc. Form 10-K for the fiscal year ended May 31, 2019 – SEC EDGAR. 10-Q Q3 FY2019: link ở sheet 07."/>
    <hyperlink ref="F27" r:id="rId23" tooltip="NIKE, Inc. Form 10-Q for the quarterly period ended August 31, 2019 – SEC EDGAR"/>
    <hyperlink ref="F28" r:id="rId24" tooltip="NIKE, Inc. Form 10-Q for the quarterly period ended November 30, 2019 – SEC EDGAR"/>
    <hyperlink ref="F29" r:id="rId25" tooltip="NIKE, Inc. Form 10-Q for the quarterly period ended February 29, 2020 – SEC EDGAR"/>
    <hyperlink ref="F30" r:id="rId26" tooltip="NIKE, Inc. Form 10-K for the fiscal year ended May 31, 2020 – SEC EDGAR. 10-Q Q3 FY2020: link ở sheet 07."/>
    <hyperlink ref="F31" r:id="rId27" tooltip="NIKE, Inc. Form 10-Q for the quarterly period ended August 31, 2020 – SEC EDGAR"/>
    <hyperlink ref="F32" r:id="rId28" tooltip="NIKE, Inc. Form 10-Q for the quarterly period ended November 30, 2020 – SEC EDGAR"/>
    <hyperlink ref="F33" r:id="rId29" tooltip="NIKE, Inc. Form 10-Q for the quarterly period ended February 28, 2021 – SEC EDGAR"/>
    <hyperlink ref="F34" r:id="rId30" tooltip="NIKE, Inc. Form 10-K for the fiscal year ended May 31, 2021 – SEC EDGAR. 10-Q Q3 FY2021: link ở sheet 07."/>
    <hyperlink ref="F35" r:id="rId31" tooltip="NIKE, Inc. Form 10-K for the fiscal year ended May 31, 2019 – SEC EDGAR"/>
    <hyperlink ref="F36" r:id="rId32" tooltip="NIKE, Inc. Form 10-K for the fiscal year ended May 31, 2020 – SEC EDGAR"/>
    <hyperlink ref="F37" r:id="rId33" tooltip="NIKE, Inc. Form 10-K for the fiscal year ended May 31, 2021 – SEC EDGAR"/>
    <hyperlink ref="F38" r:id="rId34" tooltip="NIKE, Inc. Form 10-Q for the quarterly period ended August 31, 2018 – SEC EDGAR"/>
    <hyperlink ref="F39" r:id="rId35" tooltip="NIKE, Inc. Form 10-Q for the quarterly period ended November 30, 2018 – SEC EDGAR"/>
    <hyperlink ref="F40" r:id="rId36" tooltip="NIKE, Inc. Form 10-Q for the quarterly period ended February 28, 2019 – SEC EDGAR"/>
    <hyperlink ref="F41" r:id="rId37" tooltip="NIKE, Inc. Form 10-K for the fiscal year ended May 31, 2019 – SEC EDGAR. 10-Q Q3 FY2019: link ở sheet 07."/>
    <hyperlink ref="F42" r:id="rId38" tooltip="NIKE, Inc. Form 10-Q for the quarterly period ended August 31, 2019 – SEC EDGAR"/>
    <hyperlink ref="F43" r:id="rId39" tooltip="NIKE, Inc. Form 10-Q for the quarterly period ended November 30, 2019 – SEC EDGAR"/>
    <hyperlink ref="F44" r:id="rId40" tooltip="NIKE, Inc. Form 10-Q for the quarterly period ended February 29, 2020 – SEC EDGAR"/>
    <hyperlink ref="F45" r:id="rId41" tooltip="NIKE, Inc. Form 10-K for the fiscal year ended May 31, 2020 – SEC EDGAR. 10-Q Q3 FY2020: link ở sheet 07."/>
    <hyperlink ref="F46" r:id="rId42" tooltip="NIKE, Inc. Form 10-Q for the quarterly period ended August 31, 2020 – SEC EDGAR"/>
    <hyperlink ref="F47" r:id="rId43" tooltip="NIKE, Inc. Form 10-Q for the quarterly period ended November 30, 2020 – SEC EDGAR"/>
    <hyperlink ref="F48" r:id="rId44" tooltip="NIKE, Inc. Form 10-Q for the quarterly period ended February 28, 2021 – SEC EDGAR"/>
    <hyperlink ref="F49" r:id="rId45" tooltip="NIKE, Inc. Form 10-K for the fiscal year ended May 31, 2021 – SEC EDGAR. 10-Q Q3 FY2021: link ở sheet 07."/>
    <hyperlink ref="F50" r:id="rId46" tooltip="NIKE, Inc. Form 10-K for the fiscal year ended May 31, 2019 – SEC EDGAR"/>
    <hyperlink ref="F51" r:id="rId47" tooltip="NIKE, Inc. Form 10-K for the fiscal year ended May 31, 2020 – SEC EDGAR"/>
    <hyperlink ref="F52" r:id="rId48" tooltip="NIKE, Inc. Form 10-K for the fiscal year ended May 31, 2021 – SEC EDGAR"/>
    <hyperlink ref="F53" r:id="rId49" tooltip="NIKE, Inc. Form 10-K for the fiscal year ended May 31, 2019 – SEC EDGAR"/>
    <hyperlink ref="F54" r:id="rId50" tooltip="NIKE, Inc. Form 10-K for the fiscal year ended May 31, 2020 – SEC EDGAR"/>
    <hyperlink ref="F55" r:id="rId51" tooltip="NIKE, Inc. Form 10-K for the fiscal year ended May 31, 2021 – SEC EDGAR"/>
    <hyperlink ref="F56" r:id="rId52" tooltip="NIKE, Inc. Form 10-Q for the quarterly period ended August 31, 2018 – SEC EDGAR"/>
    <hyperlink ref="F57" r:id="rId53" tooltip="NIKE, Inc. Form 10-Q for the quarterly period ended November 30, 2018 – SEC EDGAR"/>
    <hyperlink ref="F58" r:id="rId54" tooltip="NIKE, Inc. Form 10-Q for the quarterly period ended February 28, 2019 – SEC EDGAR"/>
    <hyperlink ref="F59" r:id="rId55" tooltip="NIKE, Inc. Form 10-K for the fiscal year ended May 31, 2019 – SEC EDGAR. 10-Q Q3 FY2019: link ở sheet 07."/>
    <hyperlink ref="F60" r:id="rId56" tooltip="NIKE, Inc. Form 10-Q for the quarterly period ended August 31, 2019 – SEC EDGAR"/>
    <hyperlink ref="F61" r:id="rId57" tooltip="NIKE, Inc. Form 10-Q for the quarterly period ended November 30, 2019 – SEC EDGAR"/>
    <hyperlink ref="F62" r:id="rId58" tooltip="NIKE, Inc. Form 10-Q for the quarterly period ended February 29, 2020 – SEC EDGAR"/>
    <hyperlink ref="F63" r:id="rId59" tooltip="NIKE, Inc. Form 10-K for the fiscal year ended May 31, 2020 – SEC EDGAR. 10-Q Q3 FY2020: link ở sheet 07."/>
    <hyperlink ref="F64" r:id="rId60" tooltip="NIKE, Inc. Form 10-Q for the quarterly period ended August 31, 2020 – SEC EDGAR"/>
    <hyperlink ref="F65" r:id="rId61" tooltip="NIKE, Inc. Form 10-Q for the quarterly period ended November 30, 2020 – SEC EDGAR"/>
    <hyperlink ref="F66" r:id="rId62" tooltip="NIKE, Inc. Form 10-Q for the quarterly period ended February 28, 2021 – SEC EDGAR"/>
    <hyperlink ref="F67" r:id="rId63" tooltip="NIKE, Inc. Form 10-K for the fiscal year ended May 31, 2021 – SEC EDGAR. 10-Q Q3 FY2021: link ở sheet 07."/>
    <hyperlink ref="F68" r:id="rId64" tooltip="NIKE, Inc. Form 10-K for the fiscal year ended May 31, 2019 – SEC EDGAR"/>
    <hyperlink ref="F69" r:id="rId65" tooltip="NIKE, Inc. Form 10-K for the fiscal year ended May 31, 2020 – SEC EDGAR"/>
    <hyperlink ref="F70" r:id="rId66" tooltip="NIKE, Inc. Form 10-K for the fiscal year ended May 31, 2021 – SEC EDGAR"/>
    <hyperlink ref="F71" r:id="rId67" tooltip="NIKE, Inc. Form 10-Q for the quarterly period ended August 31, 2018 – SEC EDGAR"/>
    <hyperlink ref="F72" r:id="rId68" tooltip="NIKE, Inc. Form 10-Q for the quarterly period ended November 30, 2018 – SEC EDGAR"/>
    <hyperlink ref="F73" r:id="rId69" tooltip="NIKE, Inc. Form 10-Q for the quarterly period ended February 28, 2019 – SEC EDGAR"/>
    <hyperlink ref="F74" r:id="rId70" tooltip="NIKE, Inc. Form 10-K for the fiscal year ended May 31, 2019 – SEC EDGAR. 10-Q Q3 FY2019: link ở sheet 07."/>
    <hyperlink ref="F75" r:id="rId71" tooltip="NIKE, Inc. Form 10-Q for the quarterly period ended August 31, 2019 – SEC EDGAR"/>
    <hyperlink ref="F76" r:id="rId72" tooltip="NIKE, Inc. Form 10-Q for the quarterly period ended November 30, 2019 – SEC EDGAR"/>
    <hyperlink ref="F77" r:id="rId73" tooltip="NIKE, Inc. Form 10-Q for the quarterly period ended February 29, 2020 – SEC EDGAR"/>
    <hyperlink ref="F78" r:id="rId74" tooltip="NIKE, Inc. Form 10-K for the fiscal year ended May 31, 2020 – SEC EDGAR. 10-Q Q3 FY2020: link ở sheet 07."/>
    <hyperlink ref="F79" r:id="rId75" tooltip="NIKE, Inc. Form 10-Q for the quarterly period ended August 31, 2020 – SEC EDGAR"/>
    <hyperlink ref="F80" r:id="rId76" tooltip="NIKE, Inc. Form 10-Q for the quarterly period ended November 30, 2020 – SEC EDGAR"/>
    <hyperlink ref="F81" r:id="rId77" tooltip="NIKE, Inc. Form 10-Q for the quarterly period ended February 28, 2021 – SEC EDGAR"/>
    <hyperlink ref="F82" r:id="rId78" tooltip="NIKE, Inc. Form 10-K for the fiscal year ended May 31, 2021 – SEC EDGAR. 10-Q Q3 FY2021: link ở sheet 07."/>
    <hyperlink ref="F83" r:id="rId79" tooltip="NIKE, Inc. Form 10-K for the fiscal year ended May 31, 2019 – SEC EDGAR"/>
    <hyperlink ref="F84" r:id="rId80" tooltip="NIKE, Inc. Form 10-K for the fiscal year ended May 31, 2020 – SEC EDGAR"/>
    <hyperlink ref="F85" r:id="rId81" tooltip="NIKE, Inc. Form 10-K for the fiscal year ended May 31, 2021 – SEC EDGAR"/>
    <hyperlink ref="F86" r:id="rId82" tooltip="NIKE, Inc. Form 10-Q for the quarterly period ended August 31, 2018 – SEC EDGAR"/>
    <hyperlink ref="F87" r:id="rId83" tooltip="NIKE, Inc. Form 10-Q for the quarterly period ended November 30, 2018 – SEC EDGAR"/>
    <hyperlink ref="F88" r:id="rId84" tooltip="NIKE, Inc. Form 10-Q for the quarterly period ended February 28, 2019 – SEC EDGAR"/>
    <hyperlink ref="F89" r:id="rId85" tooltip="NIKE, Inc. Form 10-K for the fiscal year ended May 31, 2019 – SEC EDGAR. 10-Q Q3 FY2019: link ở sheet 07."/>
    <hyperlink ref="F90" r:id="rId86" tooltip="NIKE, Inc. Form 10-Q for the quarterly period ended August 31, 2019 – SEC EDGAR"/>
    <hyperlink ref="F91" r:id="rId87" tooltip="NIKE, Inc. Form 10-Q for the quarterly period ended November 30, 2019 – SEC EDGAR"/>
    <hyperlink ref="F92" r:id="rId88" tooltip="NIKE, Inc. Form 10-Q for the quarterly period ended February 29, 2020 – SEC EDGAR"/>
    <hyperlink ref="F93" r:id="rId89" tooltip="NIKE, Inc. Form 10-K for the fiscal year ended May 31, 2020 – SEC EDGAR. 10-Q Q3 FY2020: link ở sheet 07."/>
    <hyperlink ref="F94" r:id="rId90" tooltip="NIKE, Inc. Form 10-Q for the quarterly period ended August 31, 2020 – SEC EDGAR"/>
    <hyperlink ref="F95" r:id="rId91" tooltip="NIKE, Inc. Form 10-Q for the quarterly period ended November 30, 2020 – SEC EDGAR"/>
    <hyperlink ref="F96" r:id="rId92" tooltip="NIKE, Inc. Form 10-Q for the quarterly period ended February 28, 2021 – SEC EDGAR"/>
    <hyperlink ref="F97" r:id="rId93" tooltip="NIKE, Inc. Form 10-K for the fiscal year ended May 31, 2021 – SEC EDGAR. 10-Q Q3 FY2021: link ở sheet 07."/>
    <hyperlink ref="F98" r:id="rId94" tooltip="NIKE, Inc. Form 10-K for the fiscal year ended May 31, 2019 – SEC EDGAR"/>
    <hyperlink ref="F99" r:id="rId95" tooltip="NIKE, Inc. Form 10-K for the fiscal year ended May 31, 2020 – SEC EDGAR"/>
    <hyperlink ref="F100" r:id="rId96" tooltip="NIKE, Inc. Form 10-K for the fiscal year ended May 31, 2021 – SEC EDGAR"/>
    <hyperlink ref="F101" r:id="rId97" tooltip="NIKE, Inc. Form 10-K for the fiscal year ended May 31, 2019 – SEC EDGAR"/>
    <hyperlink ref="F102" r:id="rId98" tooltip="NIKE, Inc. Form 10-K for the fiscal year ended May 31, 2020 – SEC EDGAR"/>
    <hyperlink ref="F103" r:id="rId99" tooltip="NIKE, Inc. Form 10-K for the fiscal year ended May 31, 2021 – SEC EDGAR"/>
    <hyperlink ref="F104" r:id="rId100" tooltip="NIKE, Inc. Form 10-Q for the quarterly period ended August 31, 2018 – SEC EDGAR"/>
    <hyperlink ref="F105" r:id="rId101" tooltip="NIKE, Inc. Form 10-Q for the quarterly period ended November 30, 2018 – SEC EDGAR"/>
    <hyperlink ref="F106" r:id="rId102" tooltip="NIKE, Inc. Form 10-Q for the quarterly period ended February 28, 2019 – SEC EDGAR"/>
    <hyperlink ref="F107" r:id="rId103" tooltip="NIKE, Inc. Form 10-K for the fiscal year ended May 31, 2019 – SEC EDGAR. 10-Q Q3 FY2019: link ở sheet 07."/>
    <hyperlink ref="F108" r:id="rId104" tooltip="NIKE, Inc. Form 10-Q for the quarterly period ended August 31, 2019 – SEC EDGAR"/>
    <hyperlink ref="F109" r:id="rId105" tooltip="NIKE, Inc. Form 10-Q for the quarterly period ended November 30, 2019 – SEC EDGAR"/>
    <hyperlink ref="F110" r:id="rId106" tooltip="NIKE, Inc. Form 10-Q for the quarterly period ended February 29, 2020 – SEC EDGAR"/>
    <hyperlink ref="F111" r:id="rId107" tooltip="NIKE, Inc. Form 10-K for the fiscal year ended May 31, 2020 – SEC EDGAR. 10-Q Q3 FY2020: link ở sheet 07."/>
    <hyperlink ref="F112" r:id="rId108" tooltip="NIKE, Inc. Form 10-Q for the quarterly period ended August 31, 2020 – SEC EDGAR"/>
    <hyperlink ref="F113" r:id="rId109" tooltip="NIKE, Inc. Form 10-Q for the quarterly period ended November 30, 2020 – SEC EDGAR"/>
    <hyperlink ref="F114" r:id="rId110" tooltip="NIKE, Inc. Form 10-Q for the quarterly period ended February 28, 2021 – SEC EDGAR"/>
    <hyperlink ref="F115" r:id="rId111" tooltip="NIKE, Inc. Form 10-K for the fiscal year ended May 31, 2021 – SEC EDGAR. 10-Q Q3 FY2021: link ở sheet 07."/>
    <hyperlink ref="F116" r:id="rId112" tooltip="NIKE, Inc. Form 10-K for the fiscal year ended May 31, 2019 – SEC EDGAR"/>
    <hyperlink ref="F117" r:id="rId113" tooltip="NIKE, Inc. Form 10-K for the fiscal year ended May 31, 2020 – SEC EDGAR"/>
    <hyperlink ref="F118" r:id="rId114" tooltip="NIKE, Inc. Form 10-K for the fiscal year ended May 31, 2021 – SEC EDGAR"/>
    <hyperlink ref="F119" r:id="rId115" tooltip="NIKE, Inc. Form 10-Q for the quarterly period ended August 31, 2018 – SEC EDGAR"/>
    <hyperlink ref="F120" r:id="rId116" tooltip="NIKE, Inc. Form 10-Q for the quarterly period ended November 30, 2018 – SEC EDGAR"/>
    <hyperlink ref="F121" r:id="rId117" tooltip="NIKE, Inc. Form 10-Q for the quarterly period ended February 28, 2019 – SEC EDGAR"/>
    <hyperlink ref="F122" r:id="rId118" tooltip="NIKE, Inc. Form 10-K for the fiscal year ended May 31, 2019 – SEC EDGAR. 10-Q Q3 FY2019: link ở sheet 07."/>
    <hyperlink ref="F123" r:id="rId119" tooltip="NIKE, Inc. Form 10-Q for the quarterly period ended August 31, 2019 – SEC EDGAR"/>
    <hyperlink ref="F124" r:id="rId120" tooltip="NIKE, Inc. Form 10-Q for the quarterly period ended November 30, 2019 – SEC EDGAR"/>
    <hyperlink ref="F125" r:id="rId121" tooltip="NIKE, Inc. Form 10-Q for the quarterly period ended February 29, 2020 – SEC EDGAR"/>
    <hyperlink ref="F126" r:id="rId122" tooltip="NIKE, Inc. Form 10-K for the fiscal year ended May 31, 2020 – SEC EDGAR. 10-Q Q3 FY2020: link ở sheet 07."/>
    <hyperlink ref="F127" r:id="rId123" tooltip="NIKE, Inc. Form 10-Q for the quarterly period ended August 31, 2020 – SEC EDGAR"/>
    <hyperlink ref="F128" r:id="rId124" tooltip="NIKE, Inc. Form 10-Q for the quarterly period ended November 30, 2020 – SEC EDGAR"/>
    <hyperlink ref="F129" r:id="rId125" tooltip="NIKE, Inc. Form 10-Q for the quarterly period ended February 28, 2021 – SEC EDGAR"/>
    <hyperlink ref="F130" r:id="rId126" tooltip="NIKE, Inc. Form 10-K for the fiscal year ended May 31, 2021 – SEC EDGAR. 10-Q Q3 FY2021: link ở sheet 07."/>
    <hyperlink ref="F131" r:id="rId127" tooltip="NIKE, Inc. Form 10-K for the fiscal year ended May 31, 2019 – SEC EDGAR"/>
    <hyperlink ref="F132" r:id="rId128" tooltip="NIKE, Inc. Form 10-K for the fiscal year ended May 31, 2020 – SEC EDGAR"/>
    <hyperlink ref="F133" r:id="rId129" tooltip="NIKE, Inc. Form 10-K for the fiscal year ended May 31, 2021 – SEC EDGAR"/>
    <hyperlink ref="F134" r:id="rId130" tooltip="NIKE, Inc. Form 10-Q for the quarterly period ended August 31, 2018 – SEC EDGAR"/>
    <hyperlink ref="F135" r:id="rId131" tooltip="NIKE, Inc. Form 10-Q for the quarterly period ended November 30, 2018 – SEC EDGAR"/>
    <hyperlink ref="F136" r:id="rId132" tooltip="NIKE, Inc. Form 10-Q for the quarterly period ended February 28, 2019 – SEC EDGAR"/>
    <hyperlink ref="F137" r:id="rId133" tooltip="NIKE, Inc. Form 10-K for the fiscal year ended May 31, 2019 – SEC EDGAR. 10-Q Q3 FY2019: link ở sheet 07."/>
    <hyperlink ref="F138" r:id="rId134" tooltip="NIKE, Inc. Form 10-Q for the quarterly period ended August 31, 2019 – SEC EDGAR"/>
    <hyperlink ref="F139" r:id="rId135" tooltip="NIKE, Inc. Form 10-Q for the quarterly period ended November 30, 2019 – SEC EDGAR"/>
    <hyperlink ref="F140" r:id="rId136" tooltip="NIKE, Inc. Form 10-Q for the quarterly period ended February 29, 2020 – SEC EDGAR"/>
    <hyperlink ref="F141" r:id="rId137" tooltip="NIKE, Inc. Form 10-K for the fiscal year ended May 31, 2020 – SEC EDGAR. 10-Q Q3 FY2020: link ở sheet 07."/>
    <hyperlink ref="F142" r:id="rId138" tooltip="NIKE, Inc. Form 10-Q for the quarterly period ended August 31, 2020 – SEC EDGAR"/>
    <hyperlink ref="F143" r:id="rId139" tooltip="NIKE, Inc. Form 10-Q for the quarterly period ended November 30, 2020 – SEC EDGAR"/>
    <hyperlink ref="F144" r:id="rId140" tooltip="NIKE, Inc. Form 10-Q for the quarterly period ended February 28, 2021 – SEC EDGAR"/>
    <hyperlink ref="F145" r:id="rId141" tooltip="NIKE, Inc. Form 10-K for the fiscal year ended May 31, 2021 – SEC EDGAR. 10-Q Q3 FY2021: link ở sheet 07."/>
    <hyperlink ref="F146" r:id="rId142" tooltip="NIKE, Inc. Form 10-K for the fiscal year ended May 31, 2019 – SEC EDGAR"/>
    <hyperlink ref="F147" r:id="rId143" tooltip="NIKE, Inc. Form 10-K for the fiscal year ended May 31, 2020 – SEC EDGAR"/>
    <hyperlink ref="F148" r:id="rId144" tooltip="NIKE, Inc. Form 10-K for the fiscal year ended May 31, 2021 – SEC EDGAR"/>
    <hyperlink ref="F149" r:id="rId145" tooltip="NIKE, Inc. Form 10-K for the fiscal year ended May 31, 2019 – SEC EDGAR"/>
    <hyperlink ref="F150" r:id="rId146" tooltip="NIKE, Inc. Form 10-K for the fiscal year ended May 31, 2020 – SEC EDGAR"/>
    <hyperlink ref="F151" r:id="rId147" tooltip="NIKE, Inc. Form 10-K for the fiscal year ended May 31, 2021 – SEC EDGAR"/>
    <hyperlink ref="F152" r:id="rId148" tooltip="NIKE, Inc. Form 10-Q for the quarterly period ended August 31, 2018 – SEC EDGAR"/>
    <hyperlink ref="F153" r:id="rId149" tooltip="NIKE, Inc. Form 10-Q for the quarterly period ended November 30, 2018 – SEC EDGAR"/>
    <hyperlink ref="F154" r:id="rId150" tooltip="NIKE, Inc. Form 10-Q for the quarterly period ended February 28, 2019 – SEC EDGAR"/>
    <hyperlink ref="F155" r:id="rId151" tooltip="NIKE, Inc. Form 10-K for the fiscal year ended May 31, 2019 – SEC EDGAR. 10-Q Q3 FY2019: link ở sheet 07."/>
    <hyperlink ref="F156" r:id="rId152" tooltip="NIKE, Inc. Form 10-Q for the quarterly period ended August 31, 2019 – SEC EDGAR"/>
    <hyperlink ref="F157" r:id="rId153" tooltip="NIKE, Inc. Form 10-Q for the quarterly period ended November 30, 2019 – SEC EDGAR"/>
    <hyperlink ref="F158" r:id="rId154" tooltip="NIKE, Inc. Form 10-Q for the quarterly period ended February 29, 2020 – SEC EDGAR"/>
    <hyperlink ref="F159" r:id="rId155" tooltip="NIKE, Inc. Form 10-K for the fiscal year ended May 31, 2020 – SEC EDGAR. 10-Q Q3 FY2020: link ở sheet 07."/>
    <hyperlink ref="F160" r:id="rId156" tooltip="NIKE, Inc. Form 10-Q for the quarterly period ended August 31, 2020 – SEC EDGAR"/>
    <hyperlink ref="F161" r:id="rId157" tooltip="NIKE, Inc. Form 10-Q for the quarterly period ended November 30, 2020 – SEC EDGAR"/>
    <hyperlink ref="F162" r:id="rId158" tooltip="NIKE, Inc. Form 10-Q for the quarterly period ended February 28, 2021 – SEC EDGAR"/>
    <hyperlink ref="F163" r:id="rId159" tooltip="NIKE, Inc. Form 10-K for the fiscal year ended May 31, 2021 – SEC EDGAR. 10-Q Q3 FY2021: link ở sheet 07."/>
    <hyperlink ref="F164" r:id="rId160" tooltip="NIKE, Inc. Form 10-K for the fiscal year ended May 31, 2019 – SEC EDGAR"/>
    <hyperlink ref="F165" r:id="rId161" tooltip="NIKE, Inc. Form 10-K for the fiscal year ended May 31, 2020 – SEC EDGAR"/>
    <hyperlink ref="F166" r:id="rId162" tooltip="NIKE, Inc. Form 10-K for the fiscal year ended May 31, 2021 – SEC EDGAR"/>
    <hyperlink ref="F167" r:id="rId163" tooltip="NIKE, Inc. Form 10-Q for the quarterly period ended August 31, 2018 – SEC EDGAR"/>
    <hyperlink ref="F168" r:id="rId164" tooltip="NIKE, Inc. Form 10-Q for the quarterly period ended November 30, 2018 – SEC EDGAR"/>
    <hyperlink ref="F169" r:id="rId165" tooltip="NIKE, Inc. Form 10-Q for the quarterly period ended February 28, 2019 – SEC EDGAR"/>
    <hyperlink ref="F170" r:id="rId166" tooltip="NIKE, Inc. Form 10-K for the fiscal year ended May 31, 2019 – SEC EDGAR. 10-Q Q3 FY2019: link ở sheet 07."/>
    <hyperlink ref="F171" r:id="rId167" tooltip="NIKE, Inc. Form 10-Q for the quarterly period ended August 31, 2019 – SEC EDGAR"/>
    <hyperlink ref="F172" r:id="rId168" tooltip="NIKE, Inc. Form 10-Q for the quarterly period ended November 30, 2019 – SEC EDGAR"/>
    <hyperlink ref="F173" r:id="rId169" tooltip="NIKE, Inc. Form 10-Q for the quarterly period ended February 29, 2020 – SEC EDGAR"/>
    <hyperlink ref="F174" r:id="rId170" tooltip="NIKE, Inc. Form 10-K for the fiscal year ended May 31, 2020 – SEC EDGAR. 10-Q Q3 FY2020: link ở sheet 07."/>
    <hyperlink ref="F175" r:id="rId171" tooltip="NIKE, Inc. Form 10-Q for the quarterly period ended August 31, 2020 – SEC EDGAR"/>
    <hyperlink ref="F176" r:id="rId172" tooltip="NIKE, Inc. Form 10-Q for the quarterly period ended November 30, 2020 – SEC EDGAR"/>
    <hyperlink ref="F177" r:id="rId173" tooltip="NIKE, Inc. Form 10-Q for the quarterly period ended February 28, 2021 – SEC EDGAR"/>
    <hyperlink ref="F178" r:id="rId174" tooltip="NIKE, Inc. Form 10-K for the fiscal year ended May 31, 2021 – SEC EDGAR. 10-Q Q3 FY2021: link ở sheet 07."/>
    <hyperlink ref="F179" r:id="rId175" tooltip="NIKE, Inc. Form 10-K for the fiscal year ended May 31, 2019 – SEC EDGAR"/>
    <hyperlink ref="F180" r:id="rId176" tooltip="NIKE, Inc. Form 10-K for the fiscal year ended May 31, 2020 – SEC EDGAR"/>
    <hyperlink ref="F181" r:id="rId177" tooltip="NIKE, Inc. Form 10-K for the fiscal year ended May 31, 2021 – SEC EDGAR"/>
    <hyperlink ref="F182" r:id="rId178" tooltip="NIKE, Inc. Form 10-Q for the quarterly period ended August 31, 2018 – SEC EDGAR"/>
    <hyperlink ref="F183" r:id="rId179" tooltip="NIKE, Inc. Form 10-Q for the quarterly period ended November 30, 2018 – SEC EDGAR"/>
    <hyperlink ref="F184" r:id="rId180" tooltip="NIKE, Inc. Form 10-Q for the quarterly period ended February 28, 2019 – SEC EDGAR"/>
    <hyperlink ref="F185" r:id="rId181" tooltip="NIKE, Inc. Form 10-K for the fiscal year ended May 31, 2019 – SEC EDGAR. 10-Q Q3 FY2019: link ở sheet 07."/>
    <hyperlink ref="F186" r:id="rId182" tooltip="NIKE, Inc. Form 10-Q for the quarterly period ended August 31, 2019 – SEC EDGAR"/>
    <hyperlink ref="F187" r:id="rId183" tooltip="NIKE, Inc. Form 10-Q for the quarterly period ended November 30, 2019 – SEC EDGAR"/>
    <hyperlink ref="F188" r:id="rId184" tooltip="NIKE, Inc. Form 10-Q for the quarterly period ended February 29, 2020 – SEC EDGAR"/>
    <hyperlink ref="F189" r:id="rId185" tooltip="NIKE, Inc. Form 10-K for the fiscal year ended May 31, 2020 – SEC EDGAR. 10-Q Q3 FY2020: link ở sheet 07."/>
    <hyperlink ref="F190" r:id="rId186" tooltip="NIKE, Inc. Form 10-Q for the quarterly period ended August 31, 2020 – SEC EDGAR"/>
    <hyperlink ref="F191" r:id="rId187" tooltip="NIKE, Inc. Form 10-Q for the quarterly period ended November 30, 2020 – SEC EDGAR"/>
    <hyperlink ref="F192" r:id="rId188" tooltip="NIKE, Inc. Form 10-Q for the quarterly period ended February 28, 2021 – SEC EDGAR"/>
    <hyperlink ref="F193" r:id="rId189" tooltip="NIKE, Inc. Form 10-K for the fiscal year ended May 31, 2021 – SEC EDGAR. 10-Q Q3 FY2021: link ở sheet 07."/>
    <hyperlink ref="F194" r:id="rId190" tooltip="NIKE, Inc. Form 10-K for the fiscal year ended May 31, 2019 – SEC EDGAR"/>
    <hyperlink ref="F195" r:id="rId191" tooltip="NIKE, Inc. Form 10-K for the fiscal year ended May 31, 2020 – SEC EDGAR"/>
    <hyperlink ref="F196" r:id="rId192" tooltip="NIKE, Inc. Form 10-K for the fiscal year ended May 31, 2021 – SEC EDGAR"/>
  </hyperlinks>
  <pageMargins left="0.7" right="0.7" top="0.75" bottom="0.75" header="0.3" footer="0.3"/>
  <pageSetup paperSize="9" fitToHeight="0" orientation="landscape"/>
  <headerFooter>
    <oddFooter>&amp;C&amp;8Trang &amp;P/&amp;N</oddFooter>
  </headerFooter>
</worksheet>
</file>

<file path=xl/worksheets/sheet5.xml><?xml version="1.0" encoding="utf-8"?>
<worksheet xmlns="http://schemas.openxmlformats.org/spreadsheetml/2006/main" xmlns:r="http://schemas.openxmlformats.org/officeDocument/2006/relationships">
  <sheetPr>
    <pageSetUpPr fitToPage="1"/>
  </sheetPr>
  <dimension ref="A1:H129"/>
  <sheetViews>
    <sheetView showGridLines="0" workbookViewId="0">
      <pane xSplit="3" ySplit="4" topLeftCell="D5" activePane="bottomRight" state="frozen"/>
      <selection pane="topRight" activeCell="D1" sqref="D1"/>
      <selection pane="bottomLeft" activeCell="A5" sqref="A5"/>
      <selection pane="bottomRight"/>
    </sheetView>
  </sheetViews>
  <sheetFormatPr defaultRowHeight="15"/>
  <cols>
    <col min="1" max="1" width="40.7109375" customWidth="1"/>
    <col min="2" max="2" width="66.7109375" customWidth="1"/>
    <col min="3" max="3" width="10.7109375" customWidth="1"/>
    <col min="4" max="6" width="11.7109375" customWidth="1"/>
    <col min="7" max="7" width="58.7109375" customWidth="1"/>
    <col min="8" max="8" width="62.7109375" customWidth="1"/>
  </cols>
  <sheetData>
    <row r="1" spans="1:8">
      <c r="B1" s="7" t="s">
        <v>1985</v>
      </c>
    </row>
    <row r="2" spans="1:8">
      <c r="B2" s="2" t="s">
        <v>1986</v>
      </c>
    </row>
    <row r="4" spans="1:8" ht="21.75" customHeight="1">
      <c r="A4" s="9" t="s">
        <v>1987</v>
      </c>
      <c r="B4" s="9" t="s">
        <v>46</v>
      </c>
      <c r="C4" s="9" t="s">
        <v>7</v>
      </c>
      <c r="D4" s="20" t="s">
        <v>69</v>
      </c>
      <c r="E4" s="20" t="s">
        <v>90</v>
      </c>
      <c r="F4" s="20" t="s">
        <v>99</v>
      </c>
      <c r="G4" s="21" t="s">
        <v>1988</v>
      </c>
      <c r="H4" s="21" t="s">
        <v>1989</v>
      </c>
    </row>
    <row r="6" spans="1:8">
      <c r="A6" s="22"/>
      <c r="B6" s="22" t="s">
        <v>1990</v>
      </c>
      <c r="C6" s="22"/>
      <c r="D6" s="22"/>
      <c r="E6" s="22"/>
      <c r="F6" s="22"/>
      <c r="G6" s="22"/>
      <c r="H6" s="22"/>
    </row>
    <row r="7" spans="1:8">
      <c r="A7" s="23" t="s">
        <v>88</v>
      </c>
      <c r="B7" s="11" t="s">
        <v>70</v>
      </c>
      <c r="C7" s="11" t="s">
        <v>71</v>
      </c>
      <c r="D7" s="24">
        <f>IF(INDEX('02 Số liệu năm'!$C$5:$C$701,MATCH(D$4&amp;"|revenues",'02 Số liệu năm'!$Z$5:$Z$701,0))="","—",INDEX('02 Số liệu năm'!$C$5:$C$701,MATCH(D$4&amp;"|revenues",'02 Số liệu năm'!$Z$5:$Z$701,0)))</f>
        <v>39117.0</v>
      </c>
      <c r="E7" s="24">
        <f>IF(INDEX('02 Số liệu năm'!$C$5:$C$701,MATCH(E$4&amp;"|revenues",'02 Số liệu năm'!$Z$5:$Z$701,0))="","—",INDEX('02 Số liệu năm'!$C$5:$C$701,MATCH(E$4&amp;"|revenues",'02 Số liệu năm'!$Z$5:$Z$701,0)))</f>
        <v>37403.0</v>
      </c>
      <c r="F7" s="24">
        <f>IF(INDEX('02 Số liệu năm'!$C$5:$C$701,MATCH(F$4&amp;"|revenues",'02 Số liệu năm'!$Z$5:$Z$701,0))="","—",INDEX('02 Số liệu năm'!$C$5:$C$701,MATCH(F$4&amp;"|revenues",'02 Số liệu năm'!$Z$5:$Z$701,0)))</f>
        <v>44538.0</v>
      </c>
      <c r="G7" s="25" t="s">
        <v>1991</v>
      </c>
    </row>
    <row r="8" spans="1:8">
      <c r="A8" s="23" t="s">
        <v>1992</v>
      </c>
      <c r="B8" s="11" t="s">
        <v>1993</v>
      </c>
      <c r="C8" s="11" t="s">
        <v>71</v>
      </c>
      <c r="D8" s="24">
        <f>IF(INDEX('02 Số liệu năm'!$D$5:$D$701,MATCH(D$4&amp;"|revenues",'02 Số liệu năm'!$Z$5:$Z$701,0))="","—",INDEX('02 Số liệu năm'!$D$5:$D$701,MATCH(D$4&amp;"|revenues",'02 Số liệu năm'!$Z$5:$Z$701,0)))</f>
        <v>36397.0</v>
      </c>
      <c r="E8" s="24">
        <f>IF(INDEX('02 Số liệu năm'!$D$5:$D$701,MATCH(E$4&amp;"|revenues",'02 Số liệu năm'!$Z$5:$Z$701,0))="","—",INDEX('02 Số liệu năm'!$D$5:$D$701,MATCH(E$4&amp;"|revenues",'02 Số liệu năm'!$Z$5:$Z$701,0)))</f>
        <v>39117.0</v>
      </c>
      <c r="F8" s="24">
        <f>IF(INDEX('02 Số liệu năm'!$D$5:$D$701,MATCH(F$4&amp;"|revenues",'02 Số liệu năm'!$Z$5:$Z$701,0))="","—",INDEX('02 Số liệu năm'!$D$5:$D$701,MATCH(F$4&amp;"|revenues",'02 Số liệu năm'!$Z$5:$Z$701,0)))</f>
        <v>37403.0</v>
      </c>
      <c r="G8" s="25" t="s">
        <v>1994</v>
      </c>
    </row>
    <row r="9" spans="1:8">
      <c r="A9" s="23" t="s">
        <v>114</v>
      </c>
      <c r="B9" s="11" t="s">
        <v>108</v>
      </c>
      <c r="C9" s="11" t="s">
        <v>71</v>
      </c>
      <c r="D9" s="24">
        <f>IF(INDEX('02 Số liệu năm'!$C$5:$C$701,MATCH(D$4&amp;"|cost_of_sales",'02 Số liệu năm'!$Z$5:$Z$701,0))="","—",INDEX('02 Số liệu năm'!$C$5:$C$701,MATCH(D$4&amp;"|cost_of_sales",'02 Số liệu năm'!$Z$5:$Z$701,0)))</f>
        <v>21643.0</v>
      </c>
      <c r="E9" s="24">
        <f>IF(INDEX('02 Số liệu năm'!$C$5:$C$701,MATCH(E$4&amp;"|cost_of_sales",'02 Số liệu năm'!$Z$5:$Z$701,0))="","—",INDEX('02 Số liệu năm'!$C$5:$C$701,MATCH(E$4&amp;"|cost_of_sales",'02 Số liệu năm'!$Z$5:$Z$701,0)))</f>
        <v>21162.0</v>
      </c>
      <c r="F9" s="24">
        <f>IF(INDEX('02 Số liệu năm'!$C$5:$C$701,MATCH(F$4&amp;"|cost_of_sales",'02 Số liệu năm'!$Z$5:$Z$701,0))="","—",INDEX('02 Số liệu năm'!$C$5:$C$701,MATCH(F$4&amp;"|cost_of_sales",'02 Số liệu năm'!$Z$5:$Z$701,0)))</f>
        <v>24576.0</v>
      </c>
      <c r="G9" s="25" t="s">
        <v>1995</v>
      </c>
    </row>
    <row r="10" spans="1:8">
      <c r="A10" s="23" t="s">
        <v>125</v>
      </c>
      <c r="B10" s="11" t="s">
        <v>120</v>
      </c>
      <c r="C10" s="11" t="s">
        <v>71</v>
      </c>
      <c r="D10" s="24">
        <f>IF(INDEX('02 Số liệu năm'!$C$5:$C$701,MATCH(D$4&amp;"|gross_profit",'02 Số liệu năm'!$Z$5:$Z$701,0))="","—",INDEX('02 Số liệu năm'!$C$5:$C$701,MATCH(D$4&amp;"|gross_profit",'02 Số liệu năm'!$Z$5:$Z$701,0)))</f>
        <v>17474.0</v>
      </c>
      <c r="E10" s="24">
        <f>IF(INDEX('02 Số liệu năm'!$C$5:$C$701,MATCH(E$4&amp;"|gross_profit",'02 Số liệu năm'!$Z$5:$Z$701,0))="","—",INDEX('02 Số liệu năm'!$C$5:$C$701,MATCH(E$4&amp;"|gross_profit",'02 Số liệu năm'!$Z$5:$Z$701,0)))</f>
        <v>16241.0</v>
      </c>
      <c r="F10" s="24">
        <f>IF(INDEX('02 Số liệu năm'!$C$5:$C$701,MATCH(F$4&amp;"|gross_profit",'02 Số liệu năm'!$Z$5:$Z$701,0))="","—",INDEX('02 Số liệu năm'!$C$5:$C$701,MATCH(F$4&amp;"|gross_profit",'02 Số liệu năm'!$Z$5:$Z$701,0)))</f>
        <v>19962.0</v>
      </c>
      <c r="G10" s="25" t="s">
        <v>1996</v>
      </c>
    </row>
    <row r="11" spans="1:8">
      <c r="A11" s="23" t="s">
        <v>136</v>
      </c>
      <c r="B11" s="11" t="s">
        <v>131</v>
      </c>
      <c r="C11" s="11" t="s">
        <v>71</v>
      </c>
      <c r="D11" s="24">
        <f>IF(INDEX('02 Số liệu năm'!$C$5:$C$701,MATCH(D$4&amp;"|demand_creation_expense",'02 Số liệu năm'!$Z$5:$Z$701,0))="","—",INDEX('02 Số liệu năm'!$C$5:$C$701,MATCH(D$4&amp;"|demand_creation_expense",'02 Số liệu năm'!$Z$5:$Z$701,0)))</f>
        <v>3753.0</v>
      </c>
      <c r="E11" s="24">
        <f>IF(INDEX('02 Số liệu năm'!$C$5:$C$701,MATCH(E$4&amp;"|demand_creation_expense",'02 Số liệu năm'!$Z$5:$Z$701,0))="","—",INDEX('02 Số liệu năm'!$C$5:$C$701,MATCH(E$4&amp;"|demand_creation_expense",'02 Số liệu năm'!$Z$5:$Z$701,0)))</f>
        <v>3592.0</v>
      </c>
      <c r="F11" s="24">
        <f>IF(INDEX('02 Số liệu năm'!$C$5:$C$701,MATCH(F$4&amp;"|demand_creation_expense",'02 Số liệu năm'!$Z$5:$Z$701,0))="","—",INDEX('02 Số liệu năm'!$C$5:$C$701,MATCH(F$4&amp;"|demand_creation_expense",'02 Số liệu năm'!$Z$5:$Z$701,0)))</f>
        <v>3114.0</v>
      </c>
      <c r="G11" s="25" t="s">
        <v>1997</v>
      </c>
    </row>
    <row r="12" spans="1:8">
      <c r="A12" s="23" t="s">
        <v>147</v>
      </c>
      <c r="B12" s="11" t="s">
        <v>142</v>
      </c>
      <c r="C12" s="11" t="s">
        <v>71</v>
      </c>
      <c r="D12" s="24">
        <f>IF(INDEX('02 Số liệu năm'!$C$5:$C$701,MATCH(D$4&amp;"|operating_overhead_expense",'02 Số liệu năm'!$Z$5:$Z$701,0))="","—",INDEX('02 Số liệu năm'!$C$5:$C$701,MATCH(D$4&amp;"|operating_overhead_expense",'02 Số liệu năm'!$Z$5:$Z$701,0)))</f>
        <v>8949.0</v>
      </c>
      <c r="E12" s="24">
        <f>IF(INDEX('02 Số liệu năm'!$C$5:$C$701,MATCH(E$4&amp;"|operating_overhead_expense",'02 Số liệu năm'!$Z$5:$Z$701,0))="","—",INDEX('02 Số liệu năm'!$C$5:$C$701,MATCH(E$4&amp;"|operating_overhead_expense",'02 Số liệu năm'!$Z$5:$Z$701,0)))</f>
        <v>9534.0</v>
      </c>
      <c r="F12" s="24">
        <f>IF(INDEX('02 Số liệu năm'!$C$5:$C$701,MATCH(F$4&amp;"|operating_overhead_expense",'02 Số liệu năm'!$Z$5:$Z$701,0))="","—",INDEX('02 Số liệu năm'!$C$5:$C$701,MATCH(F$4&amp;"|operating_overhead_expense",'02 Số liệu năm'!$Z$5:$Z$701,0)))</f>
        <v>9911.0</v>
      </c>
      <c r="G12" s="25" t="s">
        <v>1998</v>
      </c>
    </row>
    <row r="13" spans="1:8">
      <c r="A13" s="23" t="s">
        <v>158</v>
      </c>
      <c r="B13" s="11" t="s">
        <v>153</v>
      </c>
      <c r="C13" s="11" t="s">
        <v>71</v>
      </c>
      <c r="D13" s="24">
        <f>IF(INDEX('02 Số liệu năm'!$C$5:$C$701,MATCH(D$4&amp;"|total_selling_admin_expense",'02 Số liệu năm'!$Z$5:$Z$701,0))="","—",INDEX('02 Số liệu năm'!$C$5:$C$701,MATCH(D$4&amp;"|total_selling_admin_expense",'02 Số liệu năm'!$Z$5:$Z$701,0)))</f>
        <v>12702.0</v>
      </c>
      <c r="E13" s="24">
        <f>IF(INDEX('02 Số liệu năm'!$C$5:$C$701,MATCH(E$4&amp;"|total_selling_admin_expense",'02 Số liệu năm'!$Z$5:$Z$701,0))="","—",INDEX('02 Số liệu năm'!$C$5:$C$701,MATCH(E$4&amp;"|total_selling_admin_expense",'02 Số liệu năm'!$Z$5:$Z$701,0)))</f>
        <v>13126.0</v>
      </c>
      <c r="F13" s="24">
        <f>IF(INDEX('02 Số liệu năm'!$C$5:$C$701,MATCH(F$4&amp;"|total_selling_admin_expense",'02 Số liệu năm'!$Z$5:$Z$701,0))="","—",INDEX('02 Số liệu năm'!$C$5:$C$701,MATCH(F$4&amp;"|total_selling_admin_expense",'02 Số liệu năm'!$Z$5:$Z$701,0)))</f>
        <v>13025.0</v>
      </c>
      <c r="G13" s="25" t="s">
        <v>1999</v>
      </c>
    </row>
    <row r="14" spans="1:8">
      <c r="A14" s="23" t="s">
        <v>169</v>
      </c>
      <c r="B14" s="11" t="s">
        <v>164</v>
      </c>
      <c r="C14" s="11" t="s">
        <v>71</v>
      </c>
      <c r="D14" s="24">
        <f>IF(INDEX('02 Số liệu năm'!$C$5:$C$701,MATCH(D$4&amp;"|interest_expense_net",'02 Số liệu năm'!$Z$5:$Z$701,0))="","—",INDEX('02 Số liệu năm'!$C$5:$C$701,MATCH(D$4&amp;"|interest_expense_net",'02 Số liệu năm'!$Z$5:$Z$701,0)))</f>
        <v>49.0</v>
      </c>
      <c r="E14" s="24">
        <f>IF(INDEX('02 Số liệu năm'!$C$5:$C$701,MATCH(E$4&amp;"|interest_expense_net",'02 Số liệu năm'!$Z$5:$Z$701,0))="","—",INDEX('02 Số liệu năm'!$C$5:$C$701,MATCH(E$4&amp;"|interest_expense_net",'02 Số liệu năm'!$Z$5:$Z$701,0)))</f>
        <v>89.0</v>
      </c>
      <c r="F14" s="24">
        <f>IF(INDEX('02 Số liệu năm'!$C$5:$C$701,MATCH(F$4&amp;"|interest_expense_net",'02 Số liệu năm'!$Z$5:$Z$701,0))="","—",INDEX('02 Số liệu năm'!$C$5:$C$701,MATCH(F$4&amp;"|interest_expense_net",'02 Số liệu năm'!$Z$5:$Z$701,0)))</f>
        <v>262.0</v>
      </c>
      <c r="G14" s="25" t="s">
        <v>2000</v>
      </c>
    </row>
    <row r="15" spans="1:8">
      <c r="A15" s="23" t="s">
        <v>180</v>
      </c>
      <c r="B15" s="11" t="s">
        <v>175</v>
      </c>
      <c r="C15" s="11" t="s">
        <v>71</v>
      </c>
      <c r="D15" s="24">
        <f>IF(INDEX('02 Số liệu năm'!$C$5:$C$701,MATCH(D$4&amp;"|other_expense_net",'02 Số liệu năm'!$Z$5:$Z$701,0))="","—",INDEX('02 Số liệu năm'!$C$5:$C$701,MATCH(D$4&amp;"|other_expense_net",'02 Số liệu năm'!$Z$5:$Z$701,0)))</f>
        <v>-78.0</v>
      </c>
      <c r="E15" s="24">
        <f>IF(INDEX('02 Số liệu năm'!$C$5:$C$701,MATCH(E$4&amp;"|other_expense_net",'02 Số liệu năm'!$Z$5:$Z$701,0))="","—",INDEX('02 Số liệu năm'!$C$5:$C$701,MATCH(E$4&amp;"|other_expense_net",'02 Số liệu năm'!$Z$5:$Z$701,0)))</f>
        <v>139.0</v>
      </c>
      <c r="F15" s="24">
        <f>IF(INDEX('02 Số liệu năm'!$C$5:$C$701,MATCH(F$4&amp;"|other_expense_net",'02 Số liệu năm'!$Z$5:$Z$701,0))="","—",INDEX('02 Số liệu năm'!$C$5:$C$701,MATCH(F$4&amp;"|other_expense_net",'02 Số liệu năm'!$Z$5:$Z$701,0)))</f>
        <v>14.0</v>
      </c>
      <c r="G15" s="25" t="s">
        <v>2001</v>
      </c>
    </row>
    <row r="16" spans="1:8">
      <c r="A16" s="23" t="s">
        <v>191</v>
      </c>
      <c r="B16" s="11" t="s">
        <v>186</v>
      </c>
      <c r="C16" s="11" t="s">
        <v>71</v>
      </c>
      <c r="D16" s="24">
        <f>IF(INDEX('02 Số liệu năm'!$C$5:$C$701,MATCH(D$4&amp;"|income_before_taxes",'02 Số liệu năm'!$Z$5:$Z$701,0))="","—",INDEX('02 Số liệu năm'!$C$5:$C$701,MATCH(D$4&amp;"|income_before_taxes",'02 Số liệu năm'!$Z$5:$Z$701,0)))</f>
        <v>4801.0</v>
      </c>
      <c r="E16" s="24">
        <f>IF(INDEX('02 Số liệu năm'!$C$5:$C$701,MATCH(E$4&amp;"|income_before_taxes",'02 Số liệu năm'!$Z$5:$Z$701,0))="","—",INDEX('02 Số liệu năm'!$C$5:$C$701,MATCH(E$4&amp;"|income_before_taxes",'02 Số liệu năm'!$Z$5:$Z$701,0)))</f>
        <v>2887.0</v>
      </c>
      <c r="F16" s="24">
        <f>IF(INDEX('02 Số liệu năm'!$C$5:$C$701,MATCH(F$4&amp;"|income_before_taxes",'02 Số liệu năm'!$Z$5:$Z$701,0))="","—",INDEX('02 Số liệu năm'!$C$5:$C$701,MATCH(F$4&amp;"|income_before_taxes",'02 Số liệu năm'!$Z$5:$Z$701,0)))</f>
        <v>6661.0</v>
      </c>
      <c r="G16" s="25" t="s">
        <v>2002</v>
      </c>
    </row>
    <row r="17" spans="1:7">
      <c r="A17" s="23" t="s">
        <v>202</v>
      </c>
      <c r="B17" s="11" t="s">
        <v>197</v>
      </c>
      <c r="C17" s="11" t="s">
        <v>71</v>
      </c>
      <c r="D17" s="24">
        <f>IF(INDEX('02 Số liệu năm'!$C$5:$C$701,MATCH(D$4&amp;"|income_tax_expense",'02 Số liệu năm'!$Z$5:$Z$701,0))="","—",INDEX('02 Số liệu năm'!$C$5:$C$701,MATCH(D$4&amp;"|income_tax_expense",'02 Số liệu năm'!$Z$5:$Z$701,0)))</f>
        <v>772.0</v>
      </c>
      <c r="E17" s="24">
        <f>IF(INDEX('02 Số liệu năm'!$C$5:$C$701,MATCH(E$4&amp;"|income_tax_expense",'02 Số liệu năm'!$Z$5:$Z$701,0))="","—",INDEX('02 Số liệu năm'!$C$5:$C$701,MATCH(E$4&amp;"|income_tax_expense",'02 Số liệu năm'!$Z$5:$Z$701,0)))</f>
        <v>348.0</v>
      </c>
      <c r="F17" s="24">
        <f>IF(INDEX('02 Số liệu năm'!$C$5:$C$701,MATCH(F$4&amp;"|income_tax_expense",'02 Số liệu năm'!$Z$5:$Z$701,0))="","—",INDEX('02 Số liệu năm'!$C$5:$C$701,MATCH(F$4&amp;"|income_tax_expense",'02 Số liệu năm'!$Z$5:$Z$701,0)))</f>
        <v>934.0</v>
      </c>
      <c r="G17" s="25" t="s">
        <v>2003</v>
      </c>
    </row>
    <row r="18" spans="1:7">
      <c r="A18" s="23" t="s">
        <v>213</v>
      </c>
      <c r="B18" s="11" t="s">
        <v>208</v>
      </c>
      <c r="C18" s="11" t="s">
        <v>71</v>
      </c>
      <c r="D18" s="24">
        <f>IF(INDEX('02 Số liệu năm'!$C$5:$C$701,MATCH(D$4&amp;"|net_income",'02 Số liệu năm'!$Z$5:$Z$701,0))="","—",INDEX('02 Số liệu năm'!$C$5:$C$701,MATCH(D$4&amp;"|net_income",'02 Số liệu năm'!$Z$5:$Z$701,0)))</f>
        <v>4029.0</v>
      </c>
      <c r="E18" s="24">
        <f>IF(INDEX('02 Số liệu năm'!$C$5:$C$701,MATCH(E$4&amp;"|net_income",'02 Số liệu năm'!$Z$5:$Z$701,0))="","—",INDEX('02 Số liệu năm'!$C$5:$C$701,MATCH(E$4&amp;"|net_income",'02 Số liệu năm'!$Z$5:$Z$701,0)))</f>
        <v>2539.0</v>
      </c>
      <c r="F18" s="24">
        <f>IF(INDEX('02 Số liệu năm'!$C$5:$C$701,MATCH(F$4&amp;"|net_income",'02 Số liệu năm'!$Z$5:$Z$701,0))="","—",INDEX('02 Số liệu năm'!$C$5:$C$701,MATCH(F$4&amp;"|net_income",'02 Số liệu năm'!$Z$5:$Z$701,0)))</f>
        <v>5727.0</v>
      </c>
      <c r="G18" s="25" t="s">
        <v>2004</v>
      </c>
    </row>
    <row r="19" spans="1:7">
      <c r="A19" s="23" t="s">
        <v>228</v>
      </c>
      <c r="B19" s="11" t="s">
        <v>219</v>
      </c>
      <c r="C19" s="11" t="s">
        <v>71</v>
      </c>
      <c r="D19" s="24">
        <f>IF(INDEX('02 Số liệu năm'!$C$5:$C$701,MATCH(D$4&amp;"|inventories",'02 Số liệu năm'!$Z$5:$Z$701,0))="","—",INDEX('02 Số liệu năm'!$C$5:$C$701,MATCH(D$4&amp;"|inventories",'02 Số liệu năm'!$Z$5:$Z$701,0)))</f>
        <v>5622.0</v>
      </c>
      <c r="E19" s="24">
        <f>IF(INDEX('02 Số liệu năm'!$C$5:$C$701,MATCH(E$4&amp;"|inventories",'02 Số liệu năm'!$Z$5:$Z$701,0))="","—",INDEX('02 Số liệu năm'!$C$5:$C$701,MATCH(E$4&amp;"|inventories",'02 Số liệu năm'!$Z$5:$Z$701,0)))</f>
        <v>7367.0</v>
      </c>
      <c r="F19" s="24">
        <f>IF(INDEX('02 Số liệu năm'!$C$5:$C$701,MATCH(F$4&amp;"|inventories",'02 Số liệu năm'!$Z$5:$Z$701,0))="","—",INDEX('02 Số liệu năm'!$C$5:$C$701,MATCH(F$4&amp;"|inventories",'02 Số liệu năm'!$Z$5:$Z$701,0)))</f>
        <v>6854.0</v>
      </c>
      <c r="G19" s="25" t="s">
        <v>2005</v>
      </c>
    </row>
    <row r="20" spans="1:7">
      <c r="A20" s="23" t="s">
        <v>2006</v>
      </c>
      <c r="B20" s="11" t="s">
        <v>2007</v>
      </c>
      <c r="C20" s="11" t="s">
        <v>71</v>
      </c>
      <c r="D20" s="24">
        <f>IF(INDEX('02 Số liệu năm'!$D$5:$D$701,MATCH(D$4&amp;"|inventories",'02 Số liệu năm'!$Z$5:$Z$701,0))="","—",INDEX('02 Số liệu năm'!$D$5:$D$701,MATCH(D$4&amp;"|inventories",'02 Số liệu năm'!$Z$5:$Z$701,0)))</f>
        <v>5261.0</v>
      </c>
      <c r="E20" s="24">
        <f>IF(INDEX('02 Số liệu năm'!$D$5:$D$701,MATCH(E$4&amp;"|inventories",'02 Số liệu năm'!$Z$5:$Z$701,0))="","—",INDEX('02 Số liệu năm'!$D$5:$D$701,MATCH(E$4&amp;"|inventories",'02 Số liệu năm'!$Z$5:$Z$701,0)))</f>
        <v>5622.0</v>
      </c>
      <c r="F20" s="24">
        <f>IF(INDEX('02 Số liệu năm'!$D$5:$D$701,MATCH(F$4&amp;"|inventories",'02 Số liệu năm'!$Z$5:$Z$701,0))="","—",INDEX('02 Số liệu năm'!$D$5:$D$701,MATCH(F$4&amp;"|inventories",'02 Số liệu năm'!$Z$5:$Z$701,0)))</f>
        <v>7367.0</v>
      </c>
      <c r="G20" s="25" t="s">
        <v>2008</v>
      </c>
    </row>
    <row r="21" spans="1:7">
      <c r="A21" s="23" t="s">
        <v>2009</v>
      </c>
      <c r="B21" s="11" t="s">
        <v>2010</v>
      </c>
      <c r="C21" s="11" t="s">
        <v>71</v>
      </c>
      <c r="D21" s="24">
        <f>IF(INDEX('02 Số liệu năm'!$D$5:$D$701,MATCH(D$4&amp;"|inventories",'02 Số liệu năm'!$Z$5:$Z$701,0))="","—",INDEX('02 Số liệu năm'!$D$5:$D$701,MATCH(D$4&amp;"|inventories",'02 Số liệu năm'!$Z$5:$Z$701,0)))</f>
        <v>5261.0</v>
      </c>
      <c r="E21" s="24">
        <f>IF(INDEX('02 Số liệu năm'!$D$5:$D$701,MATCH(E$4&amp;"|inventories",'02 Số liệu năm'!$Z$5:$Z$701,0))="","—",INDEX('02 Số liệu năm'!$D$5:$D$701,MATCH(E$4&amp;"|inventories",'02 Số liệu năm'!$Z$5:$Z$701,0)))</f>
        <v>5622.0</v>
      </c>
      <c r="F21" s="24">
        <f>IF(INDEX('02 Số liệu năm'!$D$5:$D$701,MATCH(F$4&amp;"|inventories",'02 Số liệu năm'!$Z$5:$Z$701,0))="","—",INDEX('02 Số liệu năm'!$D$5:$D$701,MATCH(F$4&amp;"|inventories",'02 Số liệu năm'!$Z$5:$Z$701,0)))</f>
        <v>7367.0</v>
      </c>
      <c r="G21" s="25" t="s">
        <v>2011</v>
      </c>
    </row>
    <row r="22" spans="1:7">
      <c r="A22" s="23" t="s">
        <v>247</v>
      </c>
      <c r="B22" s="11" t="s">
        <v>239</v>
      </c>
      <c r="C22" s="11" t="s">
        <v>71</v>
      </c>
      <c r="D22" s="24">
        <f>IF(INDEX('02 Số liệu năm'!$C$5:$C$701,MATCH(D$4&amp;"|ebit_reported",'02 Số liệu năm'!$Z$5:$Z$701,0))="","—",INDEX('02 Số liệu năm'!$C$5:$C$701,MATCH(D$4&amp;"|ebit_reported",'02 Số liệu năm'!$Z$5:$Z$701,0)))</f>
        <v>4850.0</v>
      </c>
      <c r="E22" s="24">
        <f>IF(INDEX('02 Số liệu năm'!$C$5:$C$701,MATCH(E$4&amp;"|ebit_reported",'02 Số liệu năm'!$Z$5:$Z$701,0))="","—",INDEX('02 Số liệu năm'!$C$5:$C$701,MATCH(E$4&amp;"|ebit_reported",'02 Số liệu năm'!$Z$5:$Z$701,0)))</f>
        <v>2976.0</v>
      </c>
      <c r="F22" s="24">
        <f>IF(INDEX('02 Số liệu năm'!$C$5:$C$701,MATCH(F$4&amp;"|ebit_reported",'02 Số liệu năm'!$Z$5:$Z$701,0))="","—",INDEX('02 Số liệu năm'!$C$5:$C$701,MATCH(F$4&amp;"|ebit_reported",'02 Số liệu năm'!$Z$5:$Z$701,0)))</f>
        <v>6923.0</v>
      </c>
      <c r="G22" s="25" t="s">
        <v>2012</v>
      </c>
    </row>
    <row r="23" spans="1:7">
      <c r="A23" s="23" t="s">
        <v>261</v>
      </c>
      <c r="B23" s="11" t="s">
        <v>253</v>
      </c>
      <c r="C23" s="11" t="s">
        <v>254</v>
      </c>
      <c r="D23" s="26">
        <f>IF(INDEX('02 Số liệu năm'!$C$5:$C$701,MATCH(D$4&amp;"|revenues_pct_change_reported",'02 Số liệu năm'!$Z$5:$Z$701,0))="","—",INDEX('02 Số liệu năm'!$C$5:$C$701,MATCH(D$4&amp;"|revenues_pct_change_reported",'02 Số liệu năm'!$Z$5:$Z$701,0)))</f>
        <v>0.07</v>
      </c>
      <c r="E23" s="26">
        <f>IF(INDEX('02 Số liệu năm'!$C$5:$C$701,MATCH(E$4&amp;"|revenues_pct_change_reported",'02 Số liệu năm'!$Z$5:$Z$701,0))="","—",INDEX('02 Số liệu năm'!$C$5:$C$701,MATCH(E$4&amp;"|revenues_pct_change_reported",'02 Số liệu năm'!$Z$5:$Z$701,0)))</f>
        <v>-0.04</v>
      </c>
      <c r="F23" s="26">
        <f>IF(INDEX('02 Số liệu năm'!$C$5:$C$701,MATCH(F$4&amp;"|revenues_pct_change_reported",'02 Số liệu năm'!$Z$5:$Z$701,0))="","—",INDEX('02 Số liệu năm'!$C$5:$C$701,MATCH(F$4&amp;"|revenues_pct_change_reported",'02 Số liệu năm'!$Z$5:$Z$701,0)))</f>
        <v>0.19</v>
      </c>
      <c r="G23" s="25" t="s">
        <v>2013</v>
      </c>
    </row>
    <row r="24" spans="1:7">
      <c r="A24" s="23" t="s">
        <v>289</v>
      </c>
      <c r="B24" s="11" t="s">
        <v>281</v>
      </c>
      <c r="C24" s="11" t="s">
        <v>71</v>
      </c>
      <c r="D24" s="24">
        <f>IF(INDEX('02 Số liệu năm'!$C$5:$C$701,MATCH(D$4&amp;"|nike_direct_revenue",'02 Số liệu năm'!$Z$5:$Z$701,0))="","—",INDEX('02 Số liệu năm'!$C$5:$C$701,MATCH(D$4&amp;"|nike_direct_revenue",'02 Số liệu năm'!$Z$5:$Z$701,0)))</f>
        <v>11753.0</v>
      </c>
      <c r="E24" s="24">
        <f>IF(INDEX('02 Số liệu năm'!$C$5:$C$701,MATCH(E$4&amp;"|nike_direct_revenue",'02 Số liệu năm'!$Z$5:$Z$701,0))="","—",INDEX('02 Số liệu năm'!$C$5:$C$701,MATCH(E$4&amp;"|nike_direct_revenue",'02 Số liệu năm'!$Z$5:$Z$701,0)))</f>
        <v>12382.0</v>
      </c>
      <c r="F24" s="24">
        <f>IF(INDEX('02 Số liệu năm'!$C$5:$C$701,MATCH(F$4&amp;"|nike_direct_revenue",'02 Số liệu năm'!$Z$5:$Z$701,0))="","—",INDEX('02 Số liệu năm'!$C$5:$C$701,MATCH(F$4&amp;"|nike_direct_revenue",'02 Số liệu năm'!$Z$5:$Z$701,0)))</f>
        <v>16370.0</v>
      </c>
      <c r="G24" s="25" t="s">
        <v>2014</v>
      </c>
    </row>
    <row r="25" spans="1:7">
      <c r="A25" s="23" t="s">
        <v>2015</v>
      </c>
      <c r="B25" s="11" t="s">
        <v>2016</v>
      </c>
      <c r="C25" s="11" t="s">
        <v>71</v>
      </c>
      <c r="D25" s="24">
        <f>IF(INDEX('02 Số liệu năm'!$D$5:$D$701,MATCH(D$4&amp;"|nike_direct_revenue",'02 Số liệu năm'!$Z$5:$Z$701,0))="","—",INDEX('02 Số liệu năm'!$D$5:$D$701,MATCH(D$4&amp;"|nike_direct_revenue",'02 Số liệu năm'!$Z$5:$Z$701,0)))</f>
        <v>10428.0</v>
      </c>
      <c r="E25" s="24">
        <f>IF(INDEX('02 Số liệu năm'!$D$5:$D$701,MATCH(E$4&amp;"|nike_direct_revenue",'02 Số liệu năm'!$Z$5:$Z$701,0))="","—",INDEX('02 Số liệu năm'!$D$5:$D$701,MATCH(E$4&amp;"|nike_direct_revenue",'02 Số liệu năm'!$Z$5:$Z$701,0)))</f>
        <v>11753.0</v>
      </c>
      <c r="F25" s="24">
        <f>IF(INDEX('02 Số liệu năm'!$D$5:$D$701,MATCH(F$4&amp;"|nike_direct_revenue",'02 Số liệu năm'!$Z$5:$Z$701,0))="","—",INDEX('02 Số liệu năm'!$D$5:$D$701,MATCH(F$4&amp;"|nike_direct_revenue",'02 Số liệu năm'!$Z$5:$Z$701,0)))</f>
        <v>12382.0</v>
      </c>
      <c r="G25" s="25" t="s">
        <v>2017</v>
      </c>
    </row>
    <row r="26" spans="1:7">
      <c r="A26" s="23" t="s">
        <v>301</v>
      </c>
      <c r="B26" s="11" t="s">
        <v>295</v>
      </c>
      <c r="C26" s="11" t="s">
        <v>71</v>
      </c>
      <c r="D26" s="24">
        <f>IF(INDEX('02 Số liệu năm'!$C$5:$C$701,MATCH(D$4&amp;"|nike_brand_wholesale_revenue",'02 Số liệu năm'!$Z$5:$Z$701,0))="","—",INDEX('02 Số liệu năm'!$C$5:$C$701,MATCH(D$4&amp;"|nike_brand_wholesale_revenue",'02 Số liệu năm'!$Z$5:$Z$701,0)))</f>
        <v>25423.0</v>
      </c>
      <c r="E26" s="24">
        <f>IF(INDEX('02 Số liệu năm'!$C$5:$C$701,MATCH(E$4&amp;"|nike_brand_wholesale_revenue",'02 Số liệu năm'!$Z$5:$Z$701,0))="","—",INDEX('02 Số liệu năm'!$C$5:$C$701,MATCH(E$4&amp;"|nike_brand_wholesale_revenue",'02 Số liệu năm'!$Z$5:$Z$701,0)))</f>
        <v>23156.0</v>
      </c>
      <c r="F26" s="24">
        <f>IF(INDEX('02 Số liệu năm'!$C$5:$C$701,MATCH(F$4&amp;"|nike_brand_wholesale_revenue",'02 Số liệu năm'!$Z$5:$Z$701,0))="","—",INDEX('02 Số liệu năm'!$C$5:$C$701,MATCH(F$4&amp;"|nike_brand_wholesale_revenue",'02 Số liệu năm'!$Z$5:$Z$701,0)))</f>
        <v>25898.0</v>
      </c>
      <c r="G26" s="25" t="s">
        <v>2018</v>
      </c>
    </row>
    <row r="27" spans="1:7">
      <c r="A27" s="23" t="s">
        <v>2019</v>
      </c>
      <c r="B27" s="11" t="s">
        <v>2020</v>
      </c>
      <c r="C27" s="11" t="s">
        <v>71</v>
      </c>
      <c r="D27" s="24">
        <f>IF(INDEX('02 Số liệu năm'!$D$5:$D$701,MATCH(D$4&amp;"|nike_brand_wholesale_revenue",'02 Số liệu năm'!$Z$5:$Z$701,0))="","—",INDEX('02 Số liệu năm'!$D$5:$D$701,MATCH(D$4&amp;"|nike_brand_wholesale_revenue",'02 Số liệu năm'!$Z$5:$Z$701,0)))</f>
        <v>23969.0</v>
      </c>
      <c r="E27" s="24">
        <f>IF(INDEX('02 Số liệu năm'!$D$5:$D$701,MATCH(E$4&amp;"|nike_brand_wholesale_revenue",'02 Số liệu năm'!$Z$5:$Z$701,0))="","—",INDEX('02 Số liệu năm'!$D$5:$D$701,MATCH(E$4&amp;"|nike_brand_wholesale_revenue",'02 Số liệu năm'!$Z$5:$Z$701,0)))</f>
        <v>25423.0</v>
      </c>
      <c r="F27" s="24">
        <f>IF(INDEX('02 Số liệu năm'!$D$5:$D$701,MATCH(F$4&amp;"|nike_brand_wholesale_revenue",'02 Số liệu năm'!$Z$5:$Z$701,0))="","—",INDEX('02 Số liệu năm'!$D$5:$D$701,MATCH(F$4&amp;"|nike_brand_wholesale_revenue",'02 Số liệu năm'!$Z$5:$Z$701,0)))</f>
        <v>23156.0</v>
      </c>
      <c r="G27" s="25" t="s">
        <v>2021</v>
      </c>
    </row>
    <row r="28" spans="1:7">
      <c r="A28" s="23" t="s">
        <v>313</v>
      </c>
      <c r="B28" s="11" t="s">
        <v>307</v>
      </c>
      <c r="C28" s="11" t="s">
        <v>71</v>
      </c>
      <c r="D28" s="24">
        <f>IF(INDEX('02 Số liệu năm'!$C$5:$C$701,MATCH(D$4&amp;"|global_brand_divisions_revenue",'02 Số liệu năm'!$Z$5:$Z$701,0))="","—",INDEX('02 Số liệu năm'!$C$5:$C$701,MATCH(D$4&amp;"|global_brand_divisions_revenue",'02 Số liệu năm'!$Z$5:$Z$701,0)))</f>
        <v>42.0</v>
      </c>
      <c r="E28" s="24">
        <f>IF(INDEX('02 Số liệu năm'!$C$5:$C$701,MATCH(E$4&amp;"|global_brand_divisions_revenue",'02 Số liệu năm'!$Z$5:$Z$701,0))="","—",INDEX('02 Số liệu năm'!$C$5:$C$701,MATCH(E$4&amp;"|global_brand_divisions_revenue",'02 Số liệu năm'!$Z$5:$Z$701,0)))</f>
        <v>30.0</v>
      </c>
      <c r="F28" s="24">
        <f>IF(INDEX('02 Số liệu năm'!$C$5:$C$701,MATCH(F$4&amp;"|global_brand_divisions_revenue",'02 Số liệu năm'!$Z$5:$Z$701,0))="","—",INDEX('02 Số liệu năm'!$C$5:$C$701,MATCH(F$4&amp;"|global_brand_divisions_revenue",'02 Số liệu năm'!$Z$5:$Z$701,0)))</f>
        <v>25.0</v>
      </c>
      <c r="G28" s="25" t="s">
        <v>2022</v>
      </c>
    </row>
    <row r="29" spans="1:7">
      <c r="A29" s="23" t="s">
        <v>325</v>
      </c>
      <c r="B29" s="11" t="s">
        <v>319</v>
      </c>
      <c r="C29" s="11" t="s">
        <v>71</v>
      </c>
      <c r="D29" s="24">
        <f>IF(INDEX('02 Số liệu năm'!$C$5:$C$701,MATCH(D$4&amp;"|nike_brand_revenue",'02 Số liệu năm'!$Z$5:$Z$701,0))="","—",INDEX('02 Số liệu năm'!$C$5:$C$701,MATCH(D$4&amp;"|nike_brand_revenue",'02 Số liệu năm'!$Z$5:$Z$701,0)))</f>
        <v>37218.0</v>
      </c>
      <c r="E29" s="24">
        <f>IF(INDEX('02 Số liệu năm'!$C$5:$C$701,MATCH(E$4&amp;"|nike_brand_revenue",'02 Số liệu năm'!$Z$5:$Z$701,0))="","—",INDEX('02 Số liệu năm'!$C$5:$C$701,MATCH(E$4&amp;"|nike_brand_revenue",'02 Số liệu năm'!$Z$5:$Z$701,0)))</f>
        <v>35568.0</v>
      </c>
      <c r="F29" s="24">
        <f>IF(INDEX('02 Số liệu năm'!$C$5:$C$701,MATCH(F$4&amp;"|nike_brand_revenue",'02 Số liệu năm'!$Z$5:$Z$701,0))="","—",INDEX('02 Số liệu năm'!$C$5:$C$701,MATCH(F$4&amp;"|nike_brand_revenue",'02 Số liệu năm'!$Z$5:$Z$701,0)))</f>
        <v>42293.0</v>
      </c>
      <c r="G29" s="25" t="s">
        <v>2023</v>
      </c>
    </row>
    <row r="30" spans="1:7">
      <c r="A30" s="23" t="s">
        <v>2024</v>
      </c>
      <c r="B30" s="11" t="s">
        <v>2025</v>
      </c>
      <c r="C30" s="11" t="s">
        <v>71</v>
      </c>
      <c r="D30" s="24">
        <f>IF(INDEX('02 Số liệu năm'!$D$5:$D$701,MATCH(D$4&amp;"|nike_brand_revenue",'02 Số liệu năm'!$Z$5:$Z$701,0))="","—",INDEX('02 Số liệu năm'!$D$5:$D$701,MATCH(D$4&amp;"|nike_brand_revenue",'02 Số liệu năm'!$Z$5:$Z$701,0)))</f>
        <v>34485.0</v>
      </c>
      <c r="E30" s="24">
        <f>IF(INDEX('02 Số liệu năm'!$D$5:$D$701,MATCH(E$4&amp;"|nike_brand_revenue",'02 Số liệu năm'!$Z$5:$Z$701,0))="","—",INDEX('02 Số liệu năm'!$D$5:$D$701,MATCH(E$4&amp;"|nike_brand_revenue",'02 Số liệu năm'!$Z$5:$Z$701,0)))</f>
        <v>37218.0</v>
      </c>
      <c r="F30" s="24">
        <f>IF(INDEX('02 Số liệu năm'!$D$5:$D$701,MATCH(F$4&amp;"|nike_brand_revenue",'02 Số liệu năm'!$Z$5:$Z$701,0))="","—",INDEX('02 Số liệu năm'!$D$5:$D$701,MATCH(F$4&amp;"|nike_brand_revenue",'02 Số liệu năm'!$Z$5:$Z$701,0)))</f>
        <v>35568.0</v>
      </c>
      <c r="G30" s="25" t="s">
        <v>2026</v>
      </c>
    </row>
    <row r="31" spans="1:7">
      <c r="A31" s="23" t="s">
        <v>337</v>
      </c>
      <c r="B31" s="11" t="s">
        <v>331</v>
      </c>
      <c r="C31" s="11" t="s">
        <v>71</v>
      </c>
      <c r="D31" s="24">
        <f>IF(INDEX('02 Số liệu năm'!$C$5:$C$701,MATCH(D$4&amp;"|converse_revenue",'02 Số liệu năm'!$Z$5:$Z$701,0))="","—",INDEX('02 Số liệu năm'!$C$5:$C$701,MATCH(D$4&amp;"|converse_revenue",'02 Số liệu năm'!$Z$5:$Z$701,0)))</f>
        <v>1906.0</v>
      </c>
      <c r="E31" s="24">
        <f>IF(INDEX('02 Số liệu năm'!$C$5:$C$701,MATCH(E$4&amp;"|converse_revenue",'02 Số liệu năm'!$Z$5:$Z$701,0))="","—",INDEX('02 Số liệu năm'!$C$5:$C$701,MATCH(E$4&amp;"|converse_revenue",'02 Số liệu năm'!$Z$5:$Z$701,0)))</f>
        <v>1846.0</v>
      </c>
      <c r="F31" s="24">
        <f>IF(INDEX('02 Số liệu năm'!$C$5:$C$701,MATCH(F$4&amp;"|converse_revenue",'02 Số liệu năm'!$Z$5:$Z$701,0))="","—",INDEX('02 Số liệu năm'!$C$5:$C$701,MATCH(F$4&amp;"|converse_revenue",'02 Số liệu năm'!$Z$5:$Z$701,0)))</f>
        <v>2205.0</v>
      </c>
      <c r="G31" s="25" t="s">
        <v>2027</v>
      </c>
    </row>
    <row r="32" spans="1:7">
      <c r="A32" s="23" t="s">
        <v>349</v>
      </c>
      <c r="B32" s="11" t="s">
        <v>343</v>
      </c>
      <c r="C32" s="11" t="s">
        <v>71</v>
      </c>
      <c r="D32" s="24">
        <f>IF(INDEX('02 Số liệu năm'!$C$5:$C$701,MATCH(D$4&amp;"|corporate_revenue",'02 Số liệu năm'!$Z$5:$Z$701,0))="","—",INDEX('02 Số liệu năm'!$C$5:$C$701,MATCH(D$4&amp;"|corporate_revenue",'02 Số liệu năm'!$Z$5:$Z$701,0)))</f>
        <v>-7.0</v>
      </c>
      <c r="E32" s="24">
        <f>IF(INDEX('02 Số liệu năm'!$C$5:$C$701,MATCH(E$4&amp;"|corporate_revenue",'02 Số liệu năm'!$Z$5:$Z$701,0))="","—",INDEX('02 Số liệu năm'!$C$5:$C$701,MATCH(E$4&amp;"|corporate_revenue",'02 Số liệu năm'!$Z$5:$Z$701,0)))</f>
        <v>-11.0</v>
      </c>
      <c r="F32" s="24">
        <f>IF(INDEX('02 Số liệu năm'!$C$5:$C$701,MATCH(F$4&amp;"|corporate_revenue",'02 Số liệu năm'!$Z$5:$Z$701,0))="","—",INDEX('02 Số liệu năm'!$C$5:$C$701,MATCH(F$4&amp;"|corporate_revenue",'02 Số liệu năm'!$Z$5:$Z$701,0)))</f>
        <v>40.0</v>
      </c>
      <c r="G32" s="25" t="s">
        <v>2028</v>
      </c>
    </row>
    <row r="33" spans="1:7">
      <c r="A33" s="23" t="s">
        <v>362</v>
      </c>
      <c r="B33" s="11" t="s">
        <v>355</v>
      </c>
      <c r="C33" s="11" t="s">
        <v>356</v>
      </c>
      <c r="D33" s="27">
        <f>IF(INDEX('02 Số liệu năm'!$C$5:$C$701,MATCH(D$4&amp;"|nike_brand_digital_sales",'02 Số liệu năm'!$Z$5:$Z$701,0))="","—",INDEX('02 Số liệu năm'!$C$5:$C$701,MATCH(D$4&amp;"|nike_brand_digital_sales",'02 Số liệu năm'!$Z$5:$Z$701,0)))</f>
        <v>3.8</v>
      </c>
      <c r="E33" s="27">
        <f>IF(INDEX('02 Số liệu năm'!$C$5:$C$701,MATCH(E$4&amp;"|nike_brand_digital_sales",'02 Số liệu năm'!$Z$5:$Z$701,0))="","—",INDEX('02 Số liệu năm'!$C$5:$C$701,MATCH(E$4&amp;"|nike_brand_digital_sales",'02 Số liệu năm'!$Z$5:$Z$701,0)))</f>
        <v>5.5</v>
      </c>
      <c r="F33" s="27">
        <f>IF(INDEX('02 Số liệu năm'!$C$5:$C$701,MATCH(F$4&amp;"|nike_brand_digital_sales",'02 Số liệu năm'!$Z$5:$Z$701,0))="","—",INDEX('02 Số liệu năm'!$C$5:$C$701,MATCH(F$4&amp;"|nike_brand_digital_sales",'02 Số liệu năm'!$Z$5:$Z$701,0)))</f>
        <v>9.1</v>
      </c>
      <c r="G33" s="25" t="s">
        <v>2029</v>
      </c>
    </row>
    <row r="34" spans="1:7">
      <c r="A34" s="23" t="s">
        <v>373</v>
      </c>
      <c r="B34" s="11" t="s">
        <v>368</v>
      </c>
      <c r="C34" s="11" t="s">
        <v>254</v>
      </c>
      <c r="D34" s="26">
        <f>IF(INDEX('02 Số liệu năm'!$C$5:$C$701,MATCH(D$4&amp;"|nike_direct_share_stated",'02 Số liệu năm'!$Z$5:$Z$701,0))="","—",INDEX('02 Số liệu năm'!$C$5:$C$701,MATCH(D$4&amp;"|nike_direct_share_stated",'02 Số liệu năm'!$Z$5:$Z$701,0)))</f>
        <v>0.32</v>
      </c>
      <c r="E34" s="26">
        <f>IF(INDEX('02 Số liệu năm'!$C$5:$C$701,MATCH(E$4&amp;"|nike_direct_share_stated",'02 Số liệu năm'!$Z$5:$Z$701,0))="","—",INDEX('02 Số liệu năm'!$C$5:$C$701,MATCH(E$4&amp;"|nike_direct_share_stated",'02 Số liệu năm'!$Z$5:$Z$701,0)))</f>
        <v>0.35</v>
      </c>
      <c r="F34" s="26">
        <f>IF(INDEX('02 Số liệu năm'!$C$5:$C$701,MATCH(F$4&amp;"|nike_direct_share_stated",'02 Số liệu năm'!$Z$5:$Z$701,0))="","—",INDEX('02 Số liệu năm'!$C$5:$C$701,MATCH(F$4&amp;"|nike_direct_share_stated",'02 Số liệu năm'!$Z$5:$Z$701,0)))</f>
        <v>0.39</v>
      </c>
      <c r="G34" s="25" t="s">
        <v>2030</v>
      </c>
    </row>
    <row r="35" spans="1:7">
      <c r="A35" s="23" t="s">
        <v>385</v>
      </c>
      <c r="B35" s="11" t="s">
        <v>381</v>
      </c>
      <c r="C35" s="11" t="s">
        <v>254</v>
      </c>
      <c r="D35" s="26">
        <f>IF(INDEX('02 Số liệu năm'!$C$5:$C$701,MATCH(D$4&amp;"|nike_direct_pct_change_reported",'02 Số liệu năm'!$Z$5:$Z$701,0))="","—",INDEX('02 Số liệu năm'!$C$5:$C$701,MATCH(D$4&amp;"|nike_direct_pct_change_reported",'02 Số liệu năm'!$Z$5:$Z$701,0)))</f>
        <v>0.13</v>
      </c>
      <c r="E35" s="26">
        <f>IF(INDEX('02 Số liệu năm'!$C$5:$C$701,MATCH(E$4&amp;"|nike_direct_pct_change_reported",'02 Số liệu năm'!$Z$5:$Z$701,0))="","—",INDEX('02 Số liệu năm'!$C$5:$C$701,MATCH(E$4&amp;"|nike_direct_pct_change_reported",'02 Số liệu năm'!$Z$5:$Z$701,0)))</f>
        <v>0.05</v>
      </c>
      <c r="F35" s="26">
        <f>IF(INDEX('02 Số liệu năm'!$C$5:$C$701,MATCH(F$4&amp;"|nike_direct_pct_change_reported",'02 Số liệu năm'!$Z$5:$Z$701,0))="","—",INDEX('02 Số liệu năm'!$C$5:$C$701,MATCH(F$4&amp;"|nike_direct_pct_change_reported",'02 Số liệu năm'!$Z$5:$Z$701,0)))</f>
        <v>0.32</v>
      </c>
      <c r="G35" s="25" t="s">
        <v>2031</v>
      </c>
    </row>
    <row r="36" spans="1:7">
      <c r="A36" s="23" t="s">
        <v>408</v>
      </c>
      <c r="B36" s="11" t="s">
        <v>403</v>
      </c>
      <c r="C36" s="11" t="s">
        <v>254</v>
      </c>
      <c r="D36" s="26">
        <f>IF(INDEX('02 Số liệu năm'!$C$5:$C$701,MATCH(D$4&amp;"|nike_brand_wholesale_pct_change_reported",'02 Số liệu năm'!$Z$5:$Z$701,0))="","—",INDEX('02 Số liệu năm'!$C$5:$C$701,MATCH(D$4&amp;"|nike_brand_wholesale_pct_change_reported",'02 Số liệu năm'!$Z$5:$Z$701,0)))</f>
        <v>0.06</v>
      </c>
      <c r="E36" s="26">
        <f>IF(INDEX('02 Số liệu năm'!$C$5:$C$701,MATCH(E$4&amp;"|nike_brand_wholesale_pct_change_reported",'02 Số liệu năm'!$Z$5:$Z$701,0))="","—",INDEX('02 Số liệu năm'!$C$5:$C$701,MATCH(E$4&amp;"|nike_brand_wholesale_pct_change_reported",'02 Số liệu năm'!$Z$5:$Z$701,0)))</f>
        <v>-0.09</v>
      </c>
      <c r="F36" s="26">
        <f>IF(INDEX('02 Số liệu năm'!$C$5:$C$701,MATCH(F$4&amp;"|nike_brand_wholesale_pct_change_reported",'02 Số liệu năm'!$Z$5:$Z$701,0))="","—",INDEX('02 Số liệu năm'!$C$5:$C$701,MATCH(F$4&amp;"|nike_brand_wholesale_pct_change_reported",'02 Số liệu năm'!$Z$5:$Z$701,0)))</f>
        <v>0.12</v>
      </c>
      <c r="G36" s="25" t="s">
        <v>2032</v>
      </c>
    </row>
    <row r="37" spans="1:7">
      <c r="A37" s="23" t="s">
        <v>428</v>
      </c>
      <c r="B37" s="11" t="s">
        <v>423</v>
      </c>
      <c r="C37" s="11" t="s">
        <v>254</v>
      </c>
      <c r="D37" s="26">
        <f>IF(INDEX('02 Số liệu năm'!$C$5:$C$701,MATCH(D$4&amp;"|nike_brand_pct_change_reported",'02 Số liệu năm'!$Z$5:$Z$701,0))="","—",INDEX('02 Số liệu năm'!$C$5:$C$701,MATCH(D$4&amp;"|nike_brand_pct_change_reported",'02 Số liệu năm'!$Z$5:$Z$701,0)))</f>
        <v>0.08</v>
      </c>
      <c r="E37" s="26">
        <f>IF(INDEX('02 Số liệu năm'!$C$5:$C$701,MATCH(E$4&amp;"|nike_brand_pct_change_reported",'02 Số liệu năm'!$Z$5:$Z$701,0))="","—",INDEX('02 Số liệu năm'!$C$5:$C$701,MATCH(E$4&amp;"|nike_brand_pct_change_reported",'02 Số liệu năm'!$Z$5:$Z$701,0)))</f>
        <v>-0.04</v>
      </c>
      <c r="F37" s="26">
        <f>IF(INDEX('02 Số liệu năm'!$C$5:$C$701,MATCH(F$4&amp;"|nike_brand_pct_change_reported",'02 Số liệu năm'!$Z$5:$Z$701,0))="","—",INDEX('02 Số liệu năm'!$C$5:$C$701,MATCH(F$4&amp;"|nike_brand_pct_change_reported",'02 Số liệu năm'!$Z$5:$Z$701,0)))</f>
        <v>0.19</v>
      </c>
      <c r="G37" s="25" t="s">
        <v>2033</v>
      </c>
    </row>
    <row r="38" spans="1:7">
      <c r="A38" s="23" t="s">
        <v>1423</v>
      </c>
      <c r="B38" s="11" t="s">
        <v>1417</v>
      </c>
      <c r="C38" s="11" t="s">
        <v>71</v>
      </c>
      <c r="D38" s="24">
        <f>IF(INDEX('04 Khu vực'!$C$5:$C$701,MATCH(D$4&amp;"|na_revenue",'04 Khu vực'!$Z$5:$Z$701,0))="","—",INDEX('04 Khu vực'!$C$5:$C$701,MATCH(D$4&amp;"|na_revenue",'04 Khu vực'!$Z$5:$Z$701,0)))</f>
        <v>15902.0</v>
      </c>
      <c r="E38" s="24">
        <f>IF(INDEX('04 Khu vực'!$C$5:$C$701,MATCH(E$4&amp;"|na_revenue",'04 Khu vực'!$Z$5:$Z$701,0))="","—",INDEX('04 Khu vực'!$C$5:$C$701,MATCH(E$4&amp;"|na_revenue",'04 Khu vực'!$Z$5:$Z$701,0)))</f>
        <v>14484.0</v>
      </c>
      <c r="F38" s="24">
        <f>IF(INDEX('04 Khu vực'!$C$5:$C$701,MATCH(F$4&amp;"|na_revenue",'04 Khu vực'!$Z$5:$Z$701,0))="","—",INDEX('04 Khu vực'!$C$5:$C$701,MATCH(F$4&amp;"|na_revenue",'04 Khu vực'!$Z$5:$Z$701,0)))</f>
        <v>17179.0</v>
      </c>
      <c r="G38" s="25" t="s">
        <v>2034</v>
      </c>
    </row>
    <row r="39" spans="1:7">
      <c r="A39" s="23" t="s">
        <v>2035</v>
      </c>
      <c r="B39" s="11" t="s">
        <v>2036</v>
      </c>
      <c r="C39" s="11" t="s">
        <v>71</v>
      </c>
      <c r="D39" s="24">
        <f>IF(INDEX('04 Khu vực'!$D$5:$D$701,MATCH(D$4&amp;"|na_revenue",'04 Khu vực'!$Z$5:$Z$701,0))="","—",INDEX('04 Khu vực'!$D$5:$D$701,MATCH(D$4&amp;"|na_revenue",'04 Khu vực'!$Z$5:$Z$701,0)))</f>
        <v>14855.0</v>
      </c>
      <c r="E39" s="24">
        <f>IF(INDEX('04 Khu vực'!$D$5:$D$701,MATCH(E$4&amp;"|na_revenue",'04 Khu vực'!$Z$5:$Z$701,0))="","—",INDEX('04 Khu vực'!$D$5:$D$701,MATCH(E$4&amp;"|na_revenue",'04 Khu vực'!$Z$5:$Z$701,0)))</f>
        <v>15902.0</v>
      </c>
      <c r="F39" s="24">
        <f>IF(INDEX('04 Khu vực'!$D$5:$D$701,MATCH(F$4&amp;"|na_revenue",'04 Khu vực'!$Z$5:$Z$701,0))="","—",INDEX('04 Khu vực'!$D$5:$D$701,MATCH(F$4&amp;"|na_revenue",'04 Khu vực'!$Z$5:$Z$701,0)))</f>
        <v>14484.0</v>
      </c>
      <c r="G39" s="25" t="s">
        <v>2037</v>
      </c>
    </row>
    <row r="40" spans="1:7">
      <c r="A40" s="23" t="s">
        <v>1474</v>
      </c>
      <c r="B40" s="11" t="s">
        <v>1468</v>
      </c>
      <c r="C40" s="11" t="s">
        <v>71</v>
      </c>
      <c r="D40" s="24">
        <f>IF(INDEX('04 Khu vực'!$C$5:$C$701,MATCH(D$4&amp;"|na_direct_revenue",'04 Khu vực'!$Z$5:$Z$701,0))="","—",INDEX('04 Khu vực'!$C$5:$C$701,MATCH(D$4&amp;"|na_direct_revenue",'04 Khu vực'!$Z$5:$Z$701,0)))</f>
        <v>5027.0</v>
      </c>
      <c r="E40" s="24">
        <f>IF(INDEX('04 Khu vực'!$C$5:$C$701,MATCH(E$4&amp;"|na_direct_revenue",'04 Khu vực'!$Z$5:$Z$701,0))="","—",INDEX('04 Khu vực'!$C$5:$C$701,MATCH(E$4&amp;"|na_direct_revenue",'04 Khu vực'!$Z$5:$Z$701,0)))</f>
        <v>5113.0</v>
      </c>
      <c r="F40" s="24">
        <f>IF(INDEX('04 Khu vực'!$C$5:$C$701,MATCH(F$4&amp;"|na_direct_revenue",'04 Khu vực'!$Z$5:$Z$701,0))="","—",INDEX('04 Khu vực'!$C$5:$C$701,MATCH(F$4&amp;"|na_direct_revenue",'04 Khu vực'!$Z$5:$Z$701,0)))</f>
        <v>6993.0</v>
      </c>
      <c r="G40" s="25" t="s">
        <v>2038</v>
      </c>
    </row>
    <row r="41" spans="1:7">
      <c r="A41" s="23" t="s">
        <v>2039</v>
      </c>
      <c r="B41" s="11" t="s">
        <v>2040</v>
      </c>
      <c r="C41" s="11" t="s">
        <v>71</v>
      </c>
      <c r="D41" s="24">
        <f>IF(INDEX('04 Khu vực'!$D$5:$D$701,MATCH(D$4&amp;"|na_direct_revenue",'04 Khu vực'!$Z$5:$Z$701,0))="","—",INDEX('04 Khu vực'!$D$5:$D$701,MATCH(D$4&amp;"|na_direct_revenue",'04 Khu vực'!$Z$5:$Z$701,0)))</f>
        <v>4696.0</v>
      </c>
      <c r="E41" s="24">
        <f>IF(INDEX('04 Khu vực'!$D$5:$D$701,MATCH(E$4&amp;"|na_direct_revenue",'04 Khu vực'!$Z$5:$Z$701,0))="","—",INDEX('04 Khu vực'!$D$5:$D$701,MATCH(E$4&amp;"|na_direct_revenue",'04 Khu vực'!$Z$5:$Z$701,0)))</f>
        <v>5027.0</v>
      </c>
      <c r="F41" s="24">
        <f>IF(INDEX('04 Khu vực'!$D$5:$D$701,MATCH(F$4&amp;"|na_direct_revenue",'04 Khu vực'!$Z$5:$Z$701,0))="","—",INDEX('04 Khu vực'!$D$5:$D$701,MATCH(F$4&amp;"|na_direct_revenue",'04 Khu vực'!$Z$5:$Z$701,0)))</f>
        <v>5113.0</v>
      </c>
      <c r="G41" s="25" t="s">
        <v>2041</v>
      </c>
    </row>
    <row r="42" spans="1:7">
      <c r="A42" s="23" t="s">
        <v>1515</v>
      </c>
      <c r="B42" s="11" t="s">
        <v>1509</v>
      </c>
      <c r="C42" s="11" t="s">
        <v>71</v>
      </c>
      <c r="D42" s="24">
        <f>IF(INDEX('04 Khu vực'!$C$5:$C$701,MATCH(D$4&amp;"|na_wholesale_revenue",'04 Khu vực'!$Z$5:$Z$701,0))="","—",INDEX('04 Khu vực'!$C$5:$C$701,MATCH(D$4&amp;"|na_wholesale_revenue",'04 Khu vực'!$Z$5:$Z$701,0)))</f>
        <v>10875.0</v>
      </c>
      <c r="E42" s="24">
        <f>IF(INDEX('04 Khu vực'!$C$5:$C$701,MATCH(E$4&amp;"|na_wholesale_revenue",'04 Khu vực'!$Z$5:$Z$701,0))="","—",INDEX('04 Khu vực'!$C$5:$C$701,MATCH(E$4&amp;"|na_wholesale_revenue",'04 Khu vực'!$Z$5:$Z$701,0)))</f>
        <v>9371.0</v>
      </c>
      <c r="F42" s="24">
        <f>IF(INDEX('04 Khu vực'!$C$5:$C$701,MATCH(F$4&amp;"|na_wholesale_revenue",'04 Khu vực'!$Z$5:$Z$701,0))="","—",INDEX('04 Khu vực'!$C$5:$C$701,MATCH(F$4&amp;"|na_wholesale_revenue",'04 Khu vực'!$Z$5:$Z$701,0)))</f>
        <v>10186.0</v>
      </c>
      <c r="G42" s="25" t="s">
        <v>2042</v>
      </c>
    </row>
    <row r="43" spans="1:7">
      <c r="A43" s="23" t="s">
        <v>1557</v>
      </c>
      <c r="B43" s="11" t="s">
        <v>1550</v>
      </c>
      <c r="C43" s="11" t="s">
        <v>71</v>
      </c>
      <c r="D43" s="24">
        <f>IF(INDEX('04 Khu vực'!$C$5:$C$701,MATCH(D$4&amp;"|na_ebit",'04 Khu vực'!$Z$5:$Z$701,0))="","—",INDEX('04 Khu vực'!$C$5:$C$701,MATCH(D$4&amp;"|na_ebit",'04 Khu vực'!$Z$5:$Z$701,0)))</f>
        <v>3925.0</v>
      </c>
      <c r="E43" s="24">
        <f>IF(INDEX('04 Khu vực'!$C$5:$C$701,MATCH(E$4&amp;"|na_ebit",'04 Khu vực'!$Z$5:$Z$701,0))="","—",INDEX('04 Khu vực'!$C$5:$C$701,MATCH(E$4&amp;"|na_ebit",'04 Khu vực'!$Z$5:$Z$701,0)))</f>
        <v>2899.0</v>
      </c>
      <c r="F43" s="24">
        <f>IF(INDEX('04 Khu vực'!$C$5:$C$701,MATCH(F$4&amp;"|na_ebit",'04 Khu vực'!$Z$5:$Z$701,0))="","—",INDEX('04 Khu vực'!$C$5:$C$701,MATCH(F$4&amp;"|na_ebit",'04 Khu vực'!$Z$5:$Z$701,0)))</f>
        <v>5089.0</v>
      </c>
      <c r="G43" s="25" t="s">
        <v>2043</v>
      </c>
    </row>
    <row r="44" spans="1:7">
      <c r="A44" s="23" t="s">
        <v>1571</v>
      </c>
      <c r="B44" s="11" t="s">
        <v>1565</v>
      </c>
      <c r="C44" s="11" t="s">
        <v>71</v>
      </c>
      <c r="D44" s="24">
        <f>IF(INDEX('04 Khu vực'!$C$5:$C$701,MATCH(D$4&amp;"|emea_revenue",'04 Khu vực'!$Z$5:$Z$701,0))="","—",INDEX('04 Khu vực'!$C$5:$C$701,MATCH(D$4&amp;"|emea_revenue",'04 Khu vực'!$Z$5:$Z$701,0)))</f>
        <v>9812.0</v>
      </c>
      <c r="E44" s="24">
        <f>IF(INDEX('04 Khu vực'!$C$5:$C$701,MATCH(E$4&amp;"|emea_revenue",'04 Khu vực'!$Z$5:$Z$701,0))="","—",INDEX('04 Khu vực'!$C$5:$C$701,MATCH(E$4&amp;"|emea_revenue",'04 Khu vực'!$Z$5:$Z$701,0)))</f>
        <v>9347.0</v>
      </c>
      <c r="F44" s="24">
        <f>IF(INDEX('04 Khu vực'!$C$5:$C$701,MATCH(F$4&amp;"|emea_revenue",'04 Khu vực'!$Z$5:$Z$701,0))="","—",INDEX('04 Khu vực'!$C$5:$C$701,MATCH(F$4&amp;"|emea_revenue",'04 Khu vực'!$Z$5:$Z$701,0)))</f>
        <v>11456.0</v>
      </c>
      <c r="G44" s="25" t="s">
        <v>2044</v>
      </c>
    </row>
    <row r="45" spans="1:7">
      <c r="A45" s="23" t="s">
        <v>2045</v>
      </c>
      <c r="B45" s="11" t="s">
        <v>2046</v>
      </c>
      <c r="C45" s="11" t="s">
        <v>71</v>
      </c>
      <c r="D45" s="24">
        <f>IF(INDEX('04 Khu vực'!$D$5:$D$701,MATCH(D$4&amp;"|emea_revenue",'04 Khu vực'!$Z$5:$Z$701,0))="","—",INDEX('04 Khu vực'!$D$5:$D$701,MATCH(D$4&amp;"|emea_revenue",'04 Khu vực'!$Z$5:$Z$701,0)))</f>
        <v>9242.0</v>
      </c>
      <c r="E45" s="24">
        <f>IF(INDEX('04 Khu vực'!$D$5:$D$701,MATCH(E$4&amp;"|emea_revenue",'04 Khu vực'!$Z$5:$Z$701,0))="","—",INDEX('04 Khu vực'!$D$5:$D$701,MATCH(E$4&amp;"|emea_revenue",'04 Khu vực'!$Z$5:$Z$701,0)))</f>
        <v>9812.0</v>
      </c>
      <c r="F45" s="24">
        <f>IF(INDEX('04 Khu vực'!$D$5:$D$701,MATCH(F$4&amp;"|emea_revenue",'04 Khu vực'!$Z$5:$Z$701,0))="","—",INDEX('04 Khu vực'!$D$5:$D$701,MATCH(F$4&amp;"|emea_revenue",'04 Khu vực'!$Z$5:$Z$701,0)))</f>
        <v>9347.0</v>
      </c>
      <c r="G45" s="25" t="s">
        <v>2047</v>
      </c>
    </row>
    <row r="46" spans="1:7">
      <c r="A46" s="23" t="s">
        <v>1620</v>
      </c>
      <c r="B46" s="11" t="s">
        <v>1614</v>
      </c>
      <c r="C46" s="11" t="s">
        <v>71</v>
      </c>
      <c r="D46" s="24">
        <f>IF(INDEX('04 Khu vực'!$C$5:$C$701,MATCH(D$4&amp;"|emea_direct_revenue",'04 Khu vực'!$Z$5:$Z$701,0))="","—",INDEX('04 Khu vực'!$C$5:$C$701,MATCH(D$4&amp;"|emea_direct_revenue",'04 Khu vực'!$Z$5:$Z$701,0)))</f>
        <v>2736.0</v>
      </c>
      <c r="E46" s="24">
        <f>IF(INDEX('04 Khu vực'!$C$5:$C$701,MATCH(E$4&amp;"|emea_direct_revenue",'04 Khu vực'!$Z$5:$Z$701,0))="","—",INDEX('04 Khu vực'!$C$5:$C$701,MATCH(E$4&amp;"|emea_direct_revenue",'04 Khu vực'!$Z$5:$Z$701,0)))</f>
        <v>2773.0</v>
      </c>
      <c r="F46" s="24">
        <f>IF(INDEX('04 Khu vực'!$C$5:$C$701,MATCH(F$4&amp;"|emea_direct_revenue",'04 Khu vực'!$Z$5:$Z$701,0))="","—",INDEX('04 Khu vực'!$C$5:$C$701,MATCH(F$4&amp;"|emea_direct_revenue",'04 Khu vực'!$Z$5:$Z$701,0)))</f>
        <v>3644.0</v>
      </c>
      <c r="G46" s="25" t="s">
        <v>2048</v>
      </c>
    </row>
    <row r="47" spans="1:7">
      <c r="A47" s="23" t="s">
        <v>2049</v>
      </c>
      <c r="B47" s="11" t="s">
        <v>2050</v>
      </c>
      <c r="C47" s="11" t="s">
        <v>71</v>
      </c>
      <c r="D47" s="24">
        <f>IF(INDEX('04 Khu vực'!$D$5:$D$701,MATCH(D$4&amp;"|emea_direct_revenue",'04 Khu vực'!$Z$5:$Z$701,0))="","—",INDEX('04 Khu vực'!$D$5:$D$701,MATCH(D$4&amp;"|emea_direct_revenue",'04 Khu vực'!$Z$5:$Z$701,0)))</f>
        <v>2477.0</v>
      </c>
      <c r="E47" s="24">
        <f>IF(INDEX('04 Khu vực'!$D$5:$D$701,MATCH(E$4&amp;"|emea_direct_revenue",'04 Khu vực'!$Z$5:$Z$701,0))="","—",INDEX('04 Khu vực'!$D$5:$D$701,MATCH(E$4&amp;"|emea_direct_revenue",'04 Khu vực'!$Z$5:$Z$701,0)))</f>
        <v>2736.0</v>
      </c>
      <c r="F47" s="24">
        <f>IF(INDEX('04 Khu vực'!$D$5:$D$701,MATCH(F$4&amp;"|emea_direct_revenue",'04 Khu vực'!$Z$5:$Z$701,0))="","—",INDEX('04 Khu vực'!$D$5:$D$701,MATCH(F$4&amp;"|emea_direct_revenue",'04 Khu vực'!$Z$5:$Z$701,0)))</f>
        <v>2773.0</v>
      </c>
      <c r="G47" s="25" t="s">
        <v>2051</v>
      </c>
    </row>
    <row r="48" spans="1:7">
      <c r="A48" s="23" t="s">
        <v>1660</v>
      </c>
      <c r="B48" s="11" t="s">
        <v>1654</v>
      </c>
      <c r="C48" s="11" t="s">
        <v>71</v>
      </c>
      <c r="D48" s="24">
        <f>IF(INDEX('04 Khu vực'!$C$5:$C$701,MATCH(D$4&amp;"|emea_wholesale_revenue",'04 Khu vực'!$Z$5:$Z$701,0))="","—",INDEX('04 Khu vực'!$C$5:$C$701,MATCH(D$4&amp;"|emea_wholesale_revenue",'04 Khu vực'!$Z$5:$Z$701,0)))</f>
        <v>7076.0</v>
      </c>
      <c r="E48" s="24">
        <f>IF(INDEX('04 Khu vực'!$C$5:$C$701,MATCH(E$4&amp;"|emea_wholesale_revenue",'04 Khu vực'!$Z$5:$Z$701,0))="","—",INDEX('04 Khu vực'!$C$5:$C$701,MATCH(E$4&amp;"|emea_wholesale_revenue",'04 Khu vực'!$Z$5:$Z$701,0)))</f>
        <v>6574.0</v>
      </c>
      <c r="F48" s="24">
        <f>IF(INDEX('04 Khu vực'!$C$5:$C$701,MATCH(F$4&amp;"|emea_wholesale_revenue",'04 Khu vực'!$Z$5:$Z$701,0))="","—",INDEX('04 Khu vực'!$C$5:$C$701,MATCH(F$4&amp;"|emea_wholesale_revenue",'04 Khu vực'!$Z$5:$Z$701,0)))</f>
        <v>7812.0</v>
      </c>
      <c r="G48" s="25" t="s">
        <v>2052</v>
      </c>
    </row>
    <row r="49" spans="1:8">
      <c r="A49" s="23" t="s">
        <v>1701</v>
      </c>
      <c r="B49" s="11" t="s">
        <v>1695</v>
      </c>
      <c r="C49" s="11" t="s">
        <v>71</v>
      </c>
      <c r="D49" s="24">
        <f>IF(INDEX('04 Khu vực'!$C$5:$C$701,MATCH(D$4&amp;"|emea_ebit",'04 Khu vực'!$Z$5:$Z$701,0))="","—",INDEX('04 Khu vực'!$C$5:$C$701,MATCH(D$4&amp;"|emea_ebit",'04 Khu vực'!$Z$5:$Z$701,0)))</f>
        <v>1995.0</v>
      </c>
      <c r="E49" s="24">
        <f>IF(INDEX('04 Khu vực'!$C$5:$C$701,MATCH(E$4&amp;"|emea_ebit",'04 Khu vực'!$Z$5:$Z$701,0))="","—",INDEX('04 Khu vực'!$C$5:$C$701,MATCH(E$4&amp;"|emea_ebit",'04 Khu vực'!$Z$5:$Z$701,0)))</f>
        <v>1541.0</v>
      </c>
      <c r="F49" s="24">
        <f>IF(INDEX('04 Khu vực'!$C$5:$C$701,MATCH(F$4&amp;"|emea_ebit",'04 Khu vực'!$Z$5:$Z$701,0))="","—",INDEX('04 Khu vực'!$C$5:$C$701,MATCH(F$4&amp;"|emea_ebit",'04 Khu vực'!$Z$5:$Z$701,0)))</f>
        <v>2435.0</v>
      </c>
      <c r="G49" s="25" t="s">
        <v>2053</v>
      </c>
    </row>
    <row r="50" spans="1:8">
      <c r="A50" s="23" t="s">
        <v>1714</v>
      </c>
      <c r="B50" s="11" t="s">
        <v>1707</v>
      </c>
      <c r="C50" s="11" t="s">
        <v>71</v>
      </c>
      <c r="D50" s="24">
        <f>IF(INDEX('04 Khu vực'!$C$5:$C$701,MATCH(D$4&amp;"|gc_revenue",'04 Khu vực'!$Z$5:$Z$701,0))="","—",INDEX('04 Khu vực'!$C$5:$C$701,MATCH(D$4&amp;"|gc_revenue",'04 Khu vực'!$Z$5:$Z$701,0)))</f>
        <v>6208.0</v>
      </c>
      <c r="E50" s="24">
        <f>IF(INDEX('04 Khu vực'!$C$5:$C$701,MATCH(E$4&amp;"|gc_revenue",'04 Khu vực'!$Z$5:$Z$701,0))="","—",INDEX('04 Khu vực'!$C$5:$C$701,MATCH(E$4&amp;"|gc_revenue",'04 Khu vực'!$Z$5:$Z$701,0)))</f>
        <v>6679.0</v>
      </c>
      <c r="F50" s="24">
        <f>IF(INDEX('04 Khu vực'!$C$5:$C$701,MATCH(F$4&amp;"|gc_revenue",'04 Khu vực'!$Z$5:$Z$701,0))="","—",INDEX('04 Khu vực'!$C$5:$C$701,MATCH(F$4&amp;"|gc_revenue",'04 Khu vực'!$Z$5:$Z$701,0)))</f>
        <v>8290.0</v>
      </c>
      <c r="G50" s="25" t="s">
        <v>2054</v>
      </c>
    </row>
    <row r="51" spans="1:8">
      <c r="A51" s="23" t="s">
        <v>2055</v>
      </c>
      <c r="B51" s="11" t="s">
        <v>2056</v>
      </c>
      <c r="C51" s="11" t="s">
        <v>71</v>
      </c>
      <c r="D51" s="24">
        <f>IF(INDEX('04 Khu vực'!$D$5:$D$701,MATCH(D$4&amp;"|gc_revenue",'04 Khu vực'!$Z$5:$Z$701,0))="","—",INDEX('04 Khu vực'!$D$5:$D$701,MATCH(D$4&amp;"|gc_revenue",'04 Khu vực'!$Z$5:$Z$701,0)))</f>
        <v>5134.0</v>
      </c>
      <c r="E51" s="24">
        <f>IF(INDEX('04 Khu vực'!$D$5:$D$701,MATCH(E$4&amp;"|gc_revenue",'04 Khu vực'!$Z$5:$Z$701,0))="","—",INDEX('04 Khu vực'!$D$5:$D$701,MATCH(E$4&amp;"|gc_revenue",'04 Khu vực'!$Z$5:$Z$701,0)))</f>
        <v>6208.0</v>
      </c>
      <c r="F51" s="24">
        <f>IF(INDEX('04 Khu vực'!$D$5:$D$701,MATCH(F$4&amp;"|gc_revenue",'04 Khu vực'!$Z$5:$Z$701,0))="","—",INDEX('04 Khu vực'!$D$5:$D$701,MATCH(F$4&amp;"|gc_revenue",'04 Khu vực'!$Z$5:$Z$701,0)))</f>
        <v>6679.0</v>
      </c>
      <c r="G51" s="25" t="s">
        <v>2057</v>
      </c>
    </row>
    <row r="52" spans="1:8">
      <c r="A52" s="23" t="s">
        <v>1760</v>
      </c>
      <c r="B52" s="11" t="s">
        <v>1754</v>
      </c>
      <c r="C52" s="11" t="s">
        <v>71</v>
      </c>
      <c r="D52" s="24">
        <f>IF(INDEX('04 Khu vực'!$C$5:$C$701,MATCH(D$4&amp;"|gc_direct_revenue",'04 Khu vực'!$Z$5:$Z$701,0))="","—",INDEX('04 Khu vực'!$C$5:$C$701,MATCH(D$4&amp;"|gc_direct_revenue",'04 Khu vực'!$Z$5:$Z$701,0)))</f>
        <v>2482.0</v>
      </c>
      <c r="E52" s="24">
        <f>IF(INDEX('04 Khu vực'!$C$5:$C$701,MATCH(E$4&amp;"|gc_direct_revenue",'04 Khu vực'!$Z$5:$Z$701,0))="","—",INDEX('04 Khu vực'!$C$5:$C$701,MATCH(E$4&amp;"|gc_direct_revenue",'04 Khu vực'!$Z$5:$Z$701,0)))</f>
        <v>2876.0</v>
      </c>
      <c r="F52" s="24">
        <f>IF(INDEX('04 Khu vực'!$C$5:$C$701,MATCH(F$4&amp;"|gc_direct_revenue",'04 Khu vực'!$Z$5:$Z$701,0))="","—",INDEX('04 Khu vực'!$C$5:$C$701,MATCH(F$4&amp;"|gc_direct_revenue",'04 Khu vực'!$Z$5:$Z$701,0)))</f>
        <v>3777.0</v>
      </c>
      <c r="G52" s="25" t="s">
        <v>2058</v>
      </c>
    </row>
    <row r="53" spans="1:8">
      <c r="A53" s="23" t="s">
        <v>2059</v>
      </c>
      <c r="B53" s="11" t="s">
        <v>2060</v>
      </c>
      <c r="C53" s="11" t="s">
        <v>71</v>
      </c>
      <c r="D53" s="24">
        <f>IF(INDEX('04 Khu vực'!$D$5:$D$701,MATCH(D$4&amp;"|gc_direct_revenue",'04 Khu vực'!$Z$5:$Z$701,0))="","—",INDEX('04 Khu vực'!$D$5:$D$701,MATCH(D$4&amp;"|gc_direct_revenue",'04 Khu vực'!$Z$5:$Z$701,0)))</f>
        <v>1918.0</v>
      </c>
      <c r="E53" s="24">
        <f>IF(INDEX('04 Khu vực'!$D$5:$D$701,MATCH(E$4&amp;"|gc_direct_revenue",'04 Khu vực'!$Z$5:$Z$701,0))="","—",INDEX('04 Khu vực'!$D$5:$D$701,MATCH(E$4&amp;"|gc_direct_revenue",'04 Khu vực'!$Z$5:$Z$701,0)))</f>
        <v>2482.0</v>
      </c>
      <c r="F53" s="24">
        <f>IF(INDEX('04 Khu vực'!$D$5:$D$701,MATCH(F$4&amp;"|gc_direct_revenue",'04 Khu vực'!$Z$5:$Z$701,0))="","—",INDEX('04 Khu vực'!$D$5:$D$701,MATCH(F$4&amp;"|gc_direct_revenue",'04 Khu vực'!$Z$5:$Z$701,0)))</f>
        <v>2876.0</v>
      </c>
      <c r="G53" s="25" t="s">
        <v>2061</v>
      </c>
    </row>
    <row r="54" spans="1:8">
      <c r="A54" s="23" t="s">
        <v>1801</v>
      </c>
      <c r="B54" s="11" t="s">
        <v>1795</v>
      </c>
      <c r="C54" s="11" t="s">
        <v>71</v>
      </c>
      <c r="D54" s="24">
        <f>IF(INDEX('04 Khu vực'!$C$5:$C$701,MATCH(D$4&amp;"|gc_wholesale_revenue",'04 Khu vực'!$Z$5:$Z$701,0))="","—",INDEX('04 Khu vực'!$C$5:$C$701,MATCH(D$4&amp;"|gc_wholesale_revenue",'04 Khu vực'!$Z$5:$Z$701,0)))</f>
        <v>3726.0</v>
      </c>
      <c r="E54" s="24">
        <f>IF(INDEX('04 Khu vực'!$C$5:$C$701,MATCH(E$4&amp;"|gc_wholesale_revenue",'04 Khu vực'!$Z$5:$Z$701,0))="","—",INDEX('04 Khu vực'!$C$5:$C$701,MATCH(E$4&amp;"|gc_wholesale_revenue",'04 Khu vực'!$Z$5:$Z$701,0)))</f>
        <v>3803.0</v>
      </c>
      <c r="F54" s="24">
        <f>IF(INDEX('04 Khu vực'!$C$5:$C$701,MATCH(F$4&amp;"|gc_wholesale_revenue",'04 Khu vực'!$Z$5:$Z$701,0))="","—",INDEX('04 Khu vực'!$C$5:$C$701,MATCH(F$4&amp;"|gc_wholesale_revenue",'04 Khu vực'!$Z$5:$Z$701,0)))</f>
        <v>4513.0</v>
      </c>
      <c r="G54" s="25" t="s">
        <v>2062</v>
      </c>
    </row>
    <row r="55" spans="1:8">
      <c r="A55" s="23" t="s">
        <v>1840</v>
      </c>
      <c r="B55" s="11" t="s">
        <v>1834</v>
      </c>
      <c r="C55" s="11" t="s">
        <v>71</v>
      </c>
      <c r="D55" s="24">
        <f>IF(INDEX('04 Khu vực'!$C$5:$C$701,MATCH(D$4&amp;"|gc_ebit",'04 Khu vực'!$Z$5:$Z$701,0))="","—",INDEX('04 Khu vực'!$C$5:$C$701,MATCH(D$4&amp;"|gc_ebit",'04 Khu vực'!$Z$5:$Z$701,0)))</f>
        <v>2376.0</v>
      </c>
      <c r="E55" s="24">
        <f>IF(INDEX('04 Khu vực'!$C$5:$C$701,MATCH(E$4&amp;"|gc_ebit",'04 Khu vực'!$Z$5:$Z$701,0))="","—",INDEX('04 Khu vực'!$C$5:$C$701,MATCH(E$4&amp;"|gc_ebit",'04 Khu vực'!$Z$5:$Z$701,0)))</f>
        <v>2490.0</v>
      </c>
      <c r="F55" s="24">
        <f>IF(INDEX('04 Khu vực'!$C$5:$C$701,MATCH(F$4&amp;"|gc_ebit",'04 Khu vực'!$Z$5:$Z$701,0))="","—",INDEX('04 Khu vực'!$C$5:$C$701,MATCH(F$4&amp;"|gc_ebit",'04 Khu vực'!$Z$5:$Z$701,0)))</f>
        <v>3243.0</v>
      </c>
      <c r="G55" s="25" t="s">
        <v>2063</v>
      </c>
    </row>
    <row r="56" spans="1:8">
      <c r="A56" s="23" t="s">
        <v>1853</v>
      </c>
      <c r="B56" s="11" t="s">
        <v>1847</v>
      </c>
      <c r="C56" s="11" t="s">
        <v>71</v>
      </c>
      <c r="D56" s="24">
        <f>IF(INDEX('04 Khu vực'!$C$5:$C$701,MATCH(D$4&amp;"|apla_revenue",'04 Khu vực'!$Z$5:$Z$701,0))="","—",INDEX('04 Khu vực'!$C$5:$C$701,MATCH(D$4&amp;"|apla_revenue",'04 Khu vực'!$Z$5:$Z$701,0)))</f>
        <v>5254.0</v>
      </c>
      <c r="E56" s="24">
        <f>IF(INDEX('04 Khu vực'!$C$5:$C$701,MATCH(E$4&amp;"|apla_revenue",'04 Khu vực'!$Z$5:$Z$701,0))="","—",INDEX('04 Khu vực'!$C$5:$C$701,MATCH(E$4&amp;"|apla_revenue",'04 Khu vực'!$Z$5:$Z$701,0)))</f>
        <v>5028.0</v>
      </c>
      <c r="F56" s="24">
        <f>IF(INDEX('04 Khu vực'!$C$5:$C$701,MATCH(F$4&amp;"|apla_revenue",'04 Khu vực'!$Z$5:$Z$701,0))="","—",INDEX('04 Khu vực'!$C$5:$C$701,MATCH(F$4&amp;"|apla_revenue",'04 Khu vực'!$Z$5:$Z$701,0)))</f>
        <v>5343.0</v>
      </c>
      <c r="G56" s="25" t="s">
        <v>2064</v>
      </c>
    </row>
    <row r="57" spans="1:8">
      <c r="A57" s="23" t="s">
        <v>2065</v>
      </c>
      <c r="B57" s="11" t="s">
        <v>2066</v>
      </c>
      <c r="C57" s="11" t="s">
        <v>71</v>
      </c>
      <c r="D57" s="24">
        <f>IF(INDEX('04 Khu vực'!$D$5:$D$701,MATCH(D$4&amp;"|apla_revenue",'04 Khu vực'!$Z$5:$Z$701,0))="","—",INDEX('04 Khu vực'!$D$5:$D$701,MATCH(D$4&amp;"|apla_revenue",'04 Khu vực'!$Z$5:$Z$701,0)))</f>
        <v>5166.0</v>
      </c>
      <c r="E57" s="24">
        <f>IF(INDEX('04 Khu vực'!$D$5:$D$701,MATCH(E$4&amp;"|apla_revenue",'04 Khu vực'!$Z$5:$Z$701,0))="","—",INDEX('04 Khu vực'!$D$5:$D$701,MATCH(E$4&amp;"|apla_revenue",'04 Khu vực'!$Z$5:$Z$701,0)))</f>
        <v>5254.0</v>
      </c>
      <c r="F57" s="24">
        <f>IF(INDEX('04 Khu vực'!$D$5:$D$701,MATCH(F$4&amp;"|apla_revenue",'04 Khu vực'!$Z$5:$Z$701,0))="","—",INDEX('04 Khu vực'!$D$5:$D$701,MATCH(F$4&amp;"|apla_revenue",'04 Khu vực'!$Z$5:$Z$701,0)))</f>
        <v>5028.0</v>
      </c>
      <c r="G57" s="25" t="s">
        <v>2067</v>
      </c>
    </row>
    <row r="58" spans="1:8">
      <c r="A58" s="23" t="s">
        <v>1900</v>
      </c>
      <c r="B58" s="11" t="s">
        <v>1894</v>
      </c>
      <c r="C58" s="11" t="s">
        <v>71</v>
      </c>
      <c r="D58" s="24">
        <f>IF(INDEX('04 Khu vực'!$C$5:$C$701,MATCH(D$4&amp;"|apla_direct_revenue",'04 Khu vực'!$Z$5:$Z$701,0))="","—",INDEX('04 Khu vực'!$C$5:$C$701,MATCH(D$4&amp;"|apla_direct_revenue",'04 Khu vực'!$Z$5:$Z$701,0)))</f>
        <v>1508.0</v>
      </c>
      <c r="E58" s="24">
        <f>IF(INDEX('04 Khu vực'!$C$5:$C$701,MATCH(E$4&amp;"|apla_direct_revenue",'04 Khu vực'!$Z$5:$Z$701,0))="","—",INDEX('04 Khu vực'!$C$5:$C$701,MATCH(E$4&amp;"|apla_direct_revenue",'04 Khu vực'!$Z$5:$Z$701,0)))</f>
        <v>1620.0</v>
      </c>
      <c r="F58" s="24">
        <f>IF(INDEX('04 Khu vực'!$C$5:$C$701,MATCH(F$4&amp;"|apla_direct_revenue",'04 Khu vực'!$Z$5:$Z$701,0))="","—",INDEX('04 Khu vực'!$C$5:$C$701,MATCH(F$4&amp;"|apla_direct_revenue",'04 Khu vực'!$Z$5:$Z$701,0)))</f>
        <v>1956.0</v>
      </c>
      <c r="G58" s="25" t="s">
        <v>2068</v>
      </c>
    </row>
    <row r="59" spans="1:8">
      <c r="A59" s="23" t="s">
        <v>2069</v>
      </c>
      <c r="B59" s="11" t="s">
        <v>2070</v>
      </c>
      <c r="C59" s="11" t="s">
        <v>71</v>
      </c>
      <c r="D59" s="24">
        <f>IF(INDEX('04 Khu vực'!$D$5:$D$701,MATCH(D$4&amp;"|apla_direct_revenue",'04 Khu vực'!$Z$5:$Z$701,0))="","—",INDEX('04 Khu vực'!$D$5:$D$701,MATCH(D$4&amp;"|apla_direct_revenue",'04 Khu vực'!$Z$5:$Z$701,0)))</f>
        <v>1337.0</v>
      </c>
      <c r="E59" s="24">
        <f>IF(INDEX('04 Khu vực'!$D$5:$D$701,MATCH(E$4&amp;"|apla_direct_revenue",'04 Khu vực'!$Z$5:$Z$701,0))="","—",INDEX('04 Khu vực'!$D$5:$D$701,MATCH(E$4&amp;"|apla_direct_revenue",'04 Khu vực'!$Z$5:$Z$701,0)))</f>
        <v>1508.0</v>
      </c>
      <c r="F59" s="24">
        <f>IF(INDEX('04 Khu vực'!$D$5:$D$701,MATCH(F$4&amp;"|apla_direct_revenue",'04 Khu vực'!$Z$5:$Z$701,0))="","—",INDEX('04 Khu vực'!$D$5:$D$701,MATCH(F$4&amp;"|apla_direct_revenue",'04 Khu vực'!$Z$5:$Z$701,0)))</f>
        <v>1620.0</v>
      </c>
      <c r="G59" s="25" t="s">
        <v>2071</v>
      </c>
    </row>
    <row r="60" spans="1:8">
      <c r="A60" s="23" t="s">
        <v>1940</v>
      </c>
      <c r="B60" s="11" t="s">
        <v>1934</v>
      </c>
      <c r="C60" s="11" t="s">
        <v>71</v>
      </c>
      <c r="D60" s="24">
        <f>IF(INDEX('04 Khu vực'!$C$5:$C$701,MATCH(D$4&amp;"|apla_wholesale_revenue",'04 Khu vực'!$Z$5:$Z$701,0))="","—",INDEX('04 Khu vực'!$C$5:$C$701,MATCH(D$4&amp;"|apla_wholesale_revenue",'04 Khu vực'!$Z$5:$Z$701,0)))</f>
        <v>3746.0</v>
      </c>
      <c r="E60" s="24">
        <f>IF(INDEX('04 Khu vực'!$C$5:$C$701,MATCH(E$4&amp;"|apla_wholesale_revenue",'04 Khu vực'!$Z$5:$Z$701,0))="","—",INDEX('04 Khu vực'!$C$5:$C$701,MATCH(E$4&amp;"|apla_wholesale_revenue",'04 Khu vực'!$Z$5:$Z$701,0)))</f>
        <v>3408.0</v>
      </c>
      <c r="F60" s="24">
        <f>IF(INDEX('04 Khu vực'!$C$5:$C$701,MATCH(F$4&amp;"|apla_wholesale_revenue",'04 Khu vực'!$Z$5:$Z$701,0))="","—",INDEX('04 Khu vực'!$C$5:$C$701,MATCH(F$4&amp;"|apla_wholesale_revenue",'04 Khu vực'!$Z$5:$Z$701,0)))</f>
        <v>3387.0</v>
      </c>
      <c r="G60" s="25" t="s">
        <v>2072</v>
      </c>
    </row>
    <row r="61" spans="1:8">
      <c r="A61" s="23" t="s">
        <v>1978</v>
      </c>
      <c r="B61" s="11" t="s">
        <v>1973</v>
      </c>
      <c r="C61" s="11" t="s">
        <v>71</v>
      </c>
      <c r="D61" s="24">
        <f>IF(INDEX('04 Khu vực'!$C$5:$C$701,MATCH(D$4&amp;"|apla_ebit",'04 Khu vực'!$Z$5:$Z$701,0))="","—",INDEX('04 Khu vực'!$C$5:$C$701,MATCH(D$4&amp;"|apla_ebit",'04 Khu vực'!$Z$5:$Z$701,0)))</f>
        <v>1323.0</v>
      </c>
      <c r="E61" s="24">
        <f>IF(INDEX('04 Khu vực'!$C$5:$C$701,MATCH(E$4&amp;"|apla_ebit",'04 Khu vực'!$Z$5:$Z$701,0))="","—",INDEX('04 Khu vực'!$C$5:$C$701,MATCH(E$4&amp;"|apla_ebit",'04 Khu vực'!$Z$5:$Z$701,0)))</f>
        <v>1184.0</v>
      </c>
      <c r="F61" s="24">
        <f>IF(INDEX('04 Khu vực'!$C$5:$C$701,MATCH(F$4&amp;"|apla_ebit",'04 Khu vực'!$Z$5:$Z$701,0))="","—",INDEX('04 Khu vực'!$C$5:$C$701,MATCH(F$4&amp;"|apla_ebit",'04 Khu vực'!$Z$5:$Z$701,0)))</f>
        <v>1530.0</v>
      </c>
      <c r="G61" s="25" t="s">
        <v>2073</v>
      </c>
    </row>
    <row r="62" spans="1:8">
      <c r="A62" s="23" t="s">
        <v>2074</v>
      </c>
      <c r="B62" s="11" t="s">
        <v>2075</v>
      </c>
      <c r="C62" s="11" t="s">
        <v>2076</v>
      </c>
      <c r="D62" s="28">
        <v>365</v>
      </c>
      <c r="E62" s="28">
        <v>365</v>
      </c>
      <c r="F62" s="28">
        <v>365</v>
      </c>
      <c r="G62" s="25" t="s">
        <v>2077</v>
      </c>
    </row>
    <row r="64" spans="1:8">
      <c r="A64" s="22"/>
      <c r="B64" s="22" t="s">
        <v>2078</v>
      </c>
      <c r="C64" s="22"/>
      <c r="D64" s="22"/>
      <c r="E64" s="22"/>
      <c r="F64" s="22"/>
      <c r="G64" s="22"/>
      <c r="H64" s="22"/>
    </row>
    <row r="65" spans="1:8">
      <c r="A65" s="23" t="s">
        <v>2079</v>
      </c>
      <c r="B65" s="11" t="s">
        <v>2080</v>
      </c>
      <c r="C65" s="11" t="s">
        <v>254</v>
      </c>
      <c r="D65" s="29">
        <f>IF(COUNT(D24,D29)&lt;2,"—",D24/D29)</f>
        <v>0.31578805954108224</v>
      </c>
      <c r="E65" s="29">
        <f>IF(COUNT(E24,E29)&lt;2,"—",E24/E29)</f>
        <v>0.34812190733243364</v>
      </c>
      <c r="F65" s="29">
        <f>IF(COUNT(F24,F29)&lt;2,"—",F24/F29)</f>
        <v>0.3870616886955288</v>
      </c>
      <c r="G65" s="30" t="s">
        <v>2081</v>
      </c>
      <c r="H65" s="30" t="s">
        <v>2082</v>
      </c>
    </row>
    <row r="66" spans="1:8">
      <c r="A66" s="23" t="s">
        <v>2083</v>
      </c>
      <c r="B66" s="11" t="s">
        <v>2084</v>
      </c>
      <c r="C66" s="11" t="s">
        <v>254</v>
      </c>
      <c r="D66" s="29">
        <f>IF(COUNT(D26,D29)&lt;2,"—",D26/D29)</f>
        <v>0.6830834542425708</v>
      </c>
      <c r="E66" s="29">
        <f>IF(COUNT(E26,E29)&lt;2,"—",E26/E29)</f>
        <v>0.6510346378767431</v>
      </c>
      <c r="F66" s="29">
        <f>IF(COUNT(F26,F29)&lt;2,"—",F26/F29)</f>
        <v>0.6123471969356631</v>
      </c>
      <c r="G66" s="30" t="s">
        <v>2085</v>
      </c>
      <c r="H66" s="30" t="s">
        <v>2086</v>
      </c>
    </row>
    <row r="67" spans="1:8">
      <c r="A67" s="23" t="s">
        <v>2087</v>
      </c>
      <c r="B67" s="11" t="s">
        <v>2088</v>
      </c>
      <c r="C67" s="11" t="s">
        <v>254</v>
      </c>
      <c r="D67" s="29">
        <f>IF(COUNT(D28,D29)&lt;2,"—",D28/D29)</f>
        <v>0.0011284862163469288</v>
      </c>
      <c r="E67" s="29">
        <f>IF(COUNT(E28,E29)&lt;2,"—",E28/E29)</f>
        <v>0.0008434547908232119</v>
      </c>
      <c r="F67" s="29">
        <f>IF(COUNT(F28,F29)&lt;2,"—",F28/F29)</f>
        <v>0.000591114368808077</v>
      </c>
      <c r="G67" s="30" t="s">
        <v>2089</v>
      </c>
      <c r="H67" s="30" t="s">
        <v>2090</v>
      </c>
    </row>
    <row r="68" spans="1:8">
      <c r="A68" s="23" t="s">
        <v>2091</v>
      </c>
      <c r="B68" s="11" t="s">
        <v>2092</v>
      </c>
      <c r="C68" s="11" t="s">
        <v>254</v>
      </c>
      <c r="D68" s="29">
        <f>IF(COUNT(D24,D25)&lt;2,"—",D24/D25-1)</f>
        <v>0.12706175680859225</v>
      </c>
      <c r="E68" s="29">
        <f>IF(COUNT(E24,E25)&lt;2,"—",E24/E25-1)</f>
        <v>0.05351825065940611</v>
      </c>
      <c r="F68" s="29">
        <f>IF(COUNT(F24,F25)&lt;2,"—",F24/F25-1)</f>
        <v>0.32208043934743985</v>
      </c>
      <c r="G68" s="30" t="s">
        <v>2093</v>
      </c>
      <c r="H68" s="30" t="s">
        <v>2094</v>
      </c>
    </row>
    <row r="69" spans="1:8">
      <c r="A69" s="23" t="s">
        <v>2095</v>
      </c>
      <c r="B69" s="11" t="s">
        <v>2096</v>
      </c>
      <c r="C69" s="11" t="s">
        <v>254</v>
      </c>
      <c r="D69" s="29">
        <f>IF(COUNT(D26,D27)&lt;2,"—",D26/D27-1)</f>
        <v>0.060661688013684344</v>
      </c>
      <c r="E69" s="29">
        <f>IF(COUNT(E26,E27)&lt;2,"—",E26/E27-1)</f>
        <v>-0.08917122290839004</v>
      </c>
      <c r="F69" s="29">
        <f>IF(COUNT(F26,F27)&lt;2,"—",F26/F27-1)</f>
        <v>0.11841423389186388</v>
      </c>
      <c r="G69" s="30" t="s">
        <v>2097</v>
      </c>
      <c r="H69" s="30" t="s">
        <v>2094</v>
      </c>
    </row>
    <row r="70" spans="1:8">
      <c r="A70" s="23" t="s">
        <v>2098</v>
      </c>
      <c r="B70" s="11" t="s">
        <v>2099</v>
      </c>
      <c r="C70" s="11" t="s">
        <v>254</v>
      </c>
      <c r="D70" s="29">
        <f>IF(COUNT(D29,D30)&lt;2,"—",D29/D30-1)</f>
        <v>0.07925184862983906</v>
      </c>
      <c r="E70" s="29">
        <f>IF(COUNT(E29,E30)&lt;2,"—",E29/E30-1)</f>
        <v>-0.04433338707077221</v>
      </c>
      <c r="F70" s="29">
        <f>IF(COUNT(F29,F30)&lt;2,"—",F29/F30-1)</f>
        <v>0.18907444894286998</v>
      </c>
      <c r="G70" s="30" t="s">
        <v>2100</v>
      </c>
      <c r="H70" s="30" t="s">
        <v>2101</v>
      </c>
    </row>
    <row r="71" spans="1:8">
      <c r="A71" s="23" t="s">
        <v>2102</v>
      </c>
      <c r="B71" s="11" t="s">
        <v>2103</v>
      </c>
      <c r="C71" s="11" t="s">
        <v>2104</v>
      </c>
      <c r="D71" s="31">
        <f>IF(COUNT(D24,D25,D30)&lt;3,"—",((D24-D25)/D30)*100)</f>
        <v>3.8422502537335075</v>
      </c>
      <c r="E71" s="31">
        <f>IF(COUNT(E24,E25,E30)&lt;3,"—",((E24-E25)/E30)*100)</f>
        <v>1.6900424525767102</v>
      </c>
      <c r="F71" s="31">
        <f>IF(COUNT(F24,F25,F30)&lt;3,"—",((F24-F25)/F30)*100)</f>
        <v>11.212325686009898</v>
      </c>
      <c r="G71" s="30" t="s">
        <v>2105</v>
      </c>
      <c r="H71" s="30" t="s">
        <v>2106</v>
      </c>
    </row>
    <row r="72" spans="1:8">
      <c r="A72" s="23" t="s">
        <v>2107</v>
      </c>
      <c r="B72" s="11" t="s">
        <v>2108</v>
      </c>
      <c r="C72" s="11" t="s">
        <v>2104</v>
      </c>
      <c r="D72" s="31">
        <f>IF(COUNT(D26,D27,D30)&lt;3,"—",((D26-D27)/D30)*100)</f>
        <v>4.216325938813977</v>
      </c>
      <c r="E72" s="31">
        <f>IF(COUNT(E26,E27,E30)&lt;3,"—",((E26-E27)/E30)*100)</f>
        <v>-6.0911386963297325</v>
      </c>
      <c r="F72" s="31">
        <f>IF(COUNT(F26,F27,F30)&lt;3,"—",((F26-F27)/F30)*100)</f>
        <v>7.709176788124157</v>
      </c>
      <c r="G72" s="30" t="s">
        <v>2109</v>
      </c>
      <c r="H72" s="30" t="s">
        <v>2110</v>
      </c>
    </row>
    <row r="73" spans="1:8">
      <c r="A73" s="23" t="s">
        <v>2111</v>
      </c>
      <c r="B73" s="11" t="s">
        <v>2112</v>
      </c>
      <c r="C73" s="11" t="s">
        <v>254</v>
      </c>
      <c r="D73" s="32">
        <f>IF(COUNT(D33,D24)&lt;2,"—",D33*1000/D24)</f>
        <v>0.3233217050965711</v>
      </c>
      <c r="E73" s="32">
        <f>IF(COUNT(E33,E24)&lt;2,"—",E33*1000/E24)</f>
        <v>0.4441931836536908</v>
      </c>
      <c r="F73" s="32">
        <f>IF(COUNT(F33,F24)&lt;2,"—",F33*1000/F24)</f>
        <v>0.5558949297495418</v>
      </c>
      <c r="G73" s="30" t="s">
        <v>2113</v>
      </c>
      <c r="H73" s="30" t="s">
        <v>2114</v>
      </c>
    </row>
    <row r="74" spans="1:8">
      <c r="A74" s="23" t="s">
        <v>2115</v>
      </c>
      <c r="B74" s="11" t="s">
        <v>2116</v>
      </c>
      <c r="C74" s="11" t="s">
        <v>71</v>
      </c>
      <c r="D74" s="33">
        <f>IF(COUNT(D24,D33)&lt;2,"—",D24-D33*1000)</f>
        <v>7953.0</v>
      </c>
      <c r="E74" s="33">
        <f>IF(COUNT(E24,E33)&lt;2,"—",E24-E33*1000)</f>
        <v>6882.0</v>
      </c>
      <c r="F74" s="33">
        <f>IF(COUNT(F24,F33)&lt;2,"—",F24-F33*1000)</f>
        <v>7270.0</v>
      </c>
      <c r="G74" s="30" t="s">
        <v>2117</v>
      </c>
      <c r="H74" s="30" t="s">
        <v>2118</v>
      </c>
    </row>
    <row r="76" spans="1:8">
      <c r="A76" s="22"/>
      <c r="B76" s="22" t="s">
        <v>2119</v>
      </c>
      <c r="C76" s="22"/>
      <c r="D76" s="22"/>
      <c r="E76" s="22"/>
      <c r="F76" s="22"/>
      <c r="G76" s="22"/>
      <c r="H76" s="22"/>
    </row>
    <row r="77" spans="1:8">
      <c r="A77" s="23" t="s">
        <v>2120</v>
      </c>
      <c r="B77" s="11" t="s">
        <v>2121</v>
      </c>
      <c r="C77" s="11" t="s">
        <v>254</v>
      </c>
      <c r="D77" s="29">
        <f>IF(COUNT(D7,D8)&lt;2,"—",D7/D8-1)</f>
        <v>0.07473143390938813</v>
      </c>
      <c r="E77" s="29">
        <f>IF(COUNT(E7,E8)&lt;2,"—",E7/E8-1)</f>
        <v>-0.043817266150267146</v>
      </c>
      <c r="F77" s="29">
        <f>IF(COUNT(F7,F8)&lt;2,"—",F7/F8-1)</f>
        <v>0.1907600994572628</v>
      </c>
      <c r="G77" s="30" t="s">
        <v>2122</v>
      </c>
      <c r="H77" s="30" t="s">
        <v>2101</v>
      </c>
    </row>
    <row r="78" spans="1:8">
      <c r="A78" s="23" t="s">
        <v>2123</v>
      </c>
      <c r="B78" s="11" t="s">
        <v>2124</v>
      </c>
      <c r="C78" s="11" t="s">
        <v>254</v>
      </c>
      <c r="D78" s="29">
        <f>IF(COUNT(D10,D7)&lt;2,"—",D10/D7)</f>
        <v>0.4467111486054657</v>
      </c>
      <c r="E78" s="29">
        <f>IF(COUNT(E10,E7)&lt;2,"—",E10/E7)</f>
        <v>0.43421650669732376</v>
      </c>
      <c r="F78" s="29">
        <f>IF(COUNT(F10,F7)&lt;2,"—",F10/F7)</f>
        <v>0.44820153576721</v>
      </c>
      <c r="G78" s="30" t="s">
        <v>2125</v>
      </c>
      <c r="H78" s="30" t="s">
        <v>2126</v>
      </c>
    </row>
    <row r="79" spans="1:8">
      <c r="A79" s="23" t="s">
        <v>2127</v>
      </c>
      <c r="B79" s="11" t="s">
        <v>2128</v>
      </c>
      <c r="C79" s="11" t="s">
        <v>254</v>
      </c>
      <c r="D79" s="29">
        <f>IF(COUNT(D13,D7)&lt;2,"—",D13/D7)</f>
        <v>0.3247181532326099</v>
      </c>
      <c r="E79" s="29">
        <f>IF(COUNT(E13,E7)&lt;2,"—",E13/E7)</f>
        <v>0.3509344170253723</v>
      </c>
      <c r="F79" s="29">
        <f>IF(COUNT(F13,F7)&lt;2,"—",F13/F7)</f>
        <v>0.2924468992770219</v>
      </c>
      <c r="G79" s="30" t="s">
        <v>2129</v>
      </c>
      <c r="H79" s="30" t="s">
        <v>2130</v>
      </c>
    </row>
    <row r="80" spans="1:8">
      <c r="A80" s="23" t="s">
        <v>2131</v>
      </c>
      <c r="B80" s="11" t="s">
        <v>2132</v>
      </c>
      <c r="C80" s="11" t="s">
        <v>254</v>
      </c>
      <c r="D80" s="29">
        <f>IF(COUNT(D11,D7)&lt;2,"—",D11/D7)</f>
        <v>0.09594294040954061</v>
      </c>
      <c r="E80" s="29">
        <f>IF(COUNT(E11,E7)&lt;2,"—",E11/E7)</f>
        <v>0.09603507740020854</v>
      </c>
      <c r="F80" s="29">
        <f>IF(COUNT(F11,F7)&lt;2,"—",F11/F7)</f>
        <v>0.06991782298262159</v>
      </c>
      <c r="G80" s="30" t="s">
        <v>2133</v>
      </c>
      <c r="H80" s="30" t="s">
        <v>2134</v>
      </c>
    </row>
    <row r="81" spans="1:8">
      <c r="A81" s="23" t="s">
        <v>2135</v>
      </c>
      <c r="B81" s="11" t="s">
        <v>2136</v>
      </c>
      <c r="C81" s="11" t="s">
        <v>254</v>
      </c>
      <c r="D81" s="29">
        <f>IF(COUNT(D12,D7)&lt;2,"—",D12/D7)</f>
        <v>0.22877521282306926</v>
      </c>
      <c r="E81" s="29">
        <f>IF(COUNT(E12,E7)&lt;2,"—",E12/E7)</f>
        <v>0.25489933962516376</v>
      </c>
      <c r="F81" s="29">
        <f>IF(COUNT(F12,F7)&lt;2,"—",F12/F7)</f>
        <v>0.22252907629440027</v>
      </c>
      <c r="G81" s="30" t="s">
        <v>2137</v>
      </c>
      <c r="H81" s="30" t="s">
        <v>2138</v>
      </c>
    </row>
    <row r="82" spans="1:8">
      <c r="A82" s="23" t="s">
        <v>2139</v>
      </c>
      <c r="B82" s="11" t="s">
        <v>2140</v>
      </c>
      <c r="C82" s="11" t="s">
        <v>254</v>
      </c>
      <c r="D82" s="29">
        <f>IF(COUNT(D15,D7)&lt;2,"—",D15/D7)</f>
        <v>-0.0019940179461615153</v>
      </c>
      <c r="E82" s="29">
        <f>IF(COUNT(E15,E7)&lt;2,"—",E15/E7)</f>
        <v>0.003716279442825442</v>
      </c>
      <c r="F82" s="29">
        <f>IF(COUNT(F15,F7)&lt;2,"—",F15/F7)</f>
        <v>0.0003143383178409448</v>
      </c>
      <c r="G82" s="30" t="s">
        <v>2141</v>
      </c>
      <c r="H82" s="30" t="s">
        <v>2142</v>
      </c>
    </row>
    <row r="83" spans="1:8">
      <c r="A83" s="23" t="s">
        <v>2143</v>
      </c>
      <c r="B83" s="11" t="s">
        <v>2144</v>
      </c>
      <c r="C83" s="11" t="s">
        <v>71</v>
      </c>
      <c r="D83" s="34">
        <f>IF(COUNT(D18,D17,D14)&lt;3,"—",D18+D17+D14)</f>
        <v>4850.0</v>
      </c>
      <c r="E83" s="34">
        <f>IF(COUNT(E18,E17,E14)&lt;3,"—",E18+E17+E14)</f>
        <v>2976.0</v>
      </c>
      <c r="F83" s="34">
        <f>IF(COUNT(F18,F17,F14)&lt;3,"—",F18+F17+F14)</f>
        <v>6923.0</v>
      </c>
      <c r="G83" s="30" t="s">
        <v>2145</v>
      </c>
      <c r="H83" s="30" t="s">
        <v>2146</v>
      </c>
    </row>
    <row r="84" spans="1:8">
      <c r="A84" s="23" t="s">
        <v>2147</v>
      </c>
      <c r="B84" s="11" t="s">
        <v>2148</v>
      </c>
      <c r="C84" s="11" t="s">
        <v>254</v>
      </c>
      <c r="D84" s="29">
        <f>IF(COUNT(D83,D7)&lt;2,"—",D83/D7)</f>
        <v>0.1239870133190173</v>
      </c>
      <c r="E84" s="29">
        <f>IF(COUNT(E83,E7)&lt;2,"—",E83/E7)</f>
        <v>0.07956581022912601</v>
      </c>
      <c r="F84" s="29">
        <f>IF(COUNT(F83,F7)&lt;2,"—",F83/F7)</f>
        <v>0.1554402981723472</v>
      </c>
      <c r="G84" s="30" t="s">
        <v>2149</v>
      </c>
      <c r="H84" s="30" t="s">
        <v>2150</v>
      </c>
    </row>
    <row r="85" spans="1:8">
      <c r="A85" s="23" t="s">
        <v>2151</v>
      </c>
      <c r="B85" s="11" t="s">
        <v>2152</v>
      </c>
      <c r="C85" s="11" t="s">
        <v>254</v>
      </c>
      <c r="D85" s="29">
        <f>IF(COUNT(D18,D7)&lt;2,"—",D18/D7)</f>
        <v>0.10299869621903521</v>
      </c>
      <c r="E85" s="29">
        <f>IF(COUNT(E18,E7)&lt;2,"—",E18/E7)</f>
        <v>0.06788225543405609</v>
      </c>
      <c r="F85" s="29">
        <f>IF(COUNT(F18,F7)&lt;2,"—",F18/F7)</f>
        <v>0.12858682473393507</v>
      </c>
      <c r="G85" s="30" t="s">
        <v>2153</v>
      </c>
      <c r="H85" s="30" t="s">
        <v>2154</v>
      </c>
    </row>
    <row r="86" spans="1:8">
      <c r="A86" s="23" t="s">
        <v>2155</v>
      </c>
      <c r="B86" s="11" t="s">
        <v>2156</v>
      </c>
      <c r="C86" s="11" t="s">
        <v>254</v>
      </c>
      <c r="D86" s="29">
        <f>IF(COUNT(D19,D20)&lt;2,"—",D19/D20-1)</f>
        <v>0.06861813343470823</v>
      </c>
      <c r="E86" s="29">
        <f>IF(COUNT(E19,E20)&lt;2,"—",E19/E20-1)</f>
        <v>0.3103877623621487</v>
      </c>
      <c r="F86" s="29">
        <f>IF(COUNT(F19,F20)&lt;2,"—",F19/F20-1)</f>
        <v>-0.06963485815121488</v>
      </c>
      <c r="G86" s="30" t="s">
        <v>2157</v>
      </c>
      <c r="H86" s="30" t="s">
        <v>2158</v>
      </c>
    </row>
    <row r="87" spans="1:8">
      <c r="A87" s="23" t="s">
        <v>2159</v>
      </c>
      <c r="B87" s="11" t="s">
        <v>2160</v>
      </c>
      <c r="C87" s="11" t="s">
        <v>71</v>
      </c>
      <c r="D87" s="34">
        <f>IF(COUNT(D19,D21)&lt;2,"—",(D19+D21)/2)</f>
        <v>5441.5</v>
      </c>
      <c r="E87" s="34">
        <f>IF(COUNT(E19,E21)&lt;2,"—",(E19+E21)/2)</f>
        <v>6494.5</v>
      </c>
      <c r="F87" s="34">
        <f>IF(COUNT(F19,F21)&lt;2,"—",(F19+F21)/2)</f>
        <v>7110.5</v>
      </c>
      <c r="G87" s="30" t="s">
        <v>2161</v>
      </c>
      <c r="H87" s="30" t="s">
        <v>2162</v>
      </c>
    </row>
    <row r="88" spans="1:8">
      <c r="A88" s="23" t="s">
        <v>2163</v>
      </c>
      <c r="B88" s="11" t="s">
        <v>2164</v>
      </c>
      <c r="C88" s="11" t="s">
        <v>2076</v>
      </c>
      <c r="D88" s="35">
        <f>IF(COUNT(D62,D87,D9)&lt;3,"—",D62*D87/D9)</f>
        <v>91.76858568590306</v>
      </c>
      <c r="E88" s="35">
        <f>IF(COUNT(E62,E87,E9)&lt;3,"—",E62*E87/E9)</f>
        <v>112.01646819771288</v>
      </c>
      <c r="F88" s="35">
        <f>IF(COUNT(F62,F87,F9)&lt;3,"—",F62*F87/F9)</f>
        <v>105.60434977213542</v>
      </c>
      <c r="G88" s="30" t="s">
        <v>2165</v>
      </c>
      <c r="H88" s="30" t="s">
        <v>2166</v>
      </c>
    </row>
    <row r="90" spans="1:8">
      <c r="A90" s="22"/>
      <c r="B90" s="22" t="s">
        <v>2167</v>
      </c>
      <c r="C90" s="22"/>
      <c r="D90" s="22"/>
      <c r="E90" s="22"/>
      <c r="F90" s="22"/>
      <c r="G90" s="22"/>
      <c r="H90" s="22"/>
    </row>
    <row r="91" spans="1:8">
      <c r="A91" s="23" t="s">
        <v>2168</v>
      </c>
      <c r="B91" s="11" t="s">
        <v>2169</v>
      </c>
      <c r="C91" s="11" t="s">
        <v>254</v>
      </c>
      <c r="D91" s="29">
        <f>IF(COUNT(D40,D38)&lt;2,"—",D40/D38)</f>
        <v>0.3161237580178594</v>
      </c>
      <c r="E91" s="29">
        <f>IF(COUNT(E40,E38)&lt;2,"—",E40/E38)</f>
        <v>0.35301021817177575</v>
      </c>
      <c r="F91" s="29">
        <f>IF(COUNT(F40,F38)&lt;2,"—",F40/F38)</f>
        <v>0.40706676756505034</v>
      </c>
      <c r="G91" s="30" t="s">
        <v>2170</v>
      </c>
      <c r="H91" s="30" t="s">
        <v>2171</v>
      </c>
    </row>
    <row r="92" spans="1:8">
      <c r="A92" s="23" t="s">
        <v>2172</v>
      </c>
      <c r="B92" s="11" t="s">
        <v>2173</v>
      </c>
      <c r="C92" s="11" t="s">
        <v>254</v>
      </c>
      <c r="D92" s="29">
        <f>IF(COUNT(D38,D39)&lt;2,"—",D38/D39-1)</f>
        <v>0.07048131942107035</v>
      </c>
      <c r="E92" s="29">
        <f>IF(COUNT(E38,E39)&lt;2,"—",E38/E39-1)</f>
        <v>-0.08917117343730348</v>
      </c>
      <c r="F92" s="29">
        <f>IF(COUNT(F38,F39)&lt;2,"—",F38/F39-1)</f>
        <v>0.18606738470035902</v>
      </c>
      <c r="G92" s="30" t="s">
        <v>2174</v>
      </c>
      <c r="H92" s="30" t="s">
        <v>2101</v>
      </c>
    </row>
    <row r="93" spans="1:8">
      <c r="A93" s="23" t="s">
        <v>2175</v>
      </c>
      <c r="B93" s="11" t="s">
        <v>2176</v>
      </c>
      <c r="C93" s="11" t="s">
        <v>254</v>
      </c>
      <c r="D93" s="29">
        <f>IF(COUNT(D40,D41)&lt;2,"—",D40/D41-1)</f>
        <v>0.0704855195911414</v>
      </c>
      <c r="E93" s="29">
        <f>IF(COUNT(E40,E41)&lt;2,"—",E40/E41-1)</f>
        <v>0.017107618858165904</v>
      </c>
      <c r="F93" s="29">
        <f>IF(COUNT(F40,F41)&lt;2,"—",F40/F41-1)</f>
        <v>0.3676902014472912</v>
      </c>
      <c r="G93" s="30" t="s">
        <v>2177</v>
      </c>
      <c r="H93" s="30" t="s">
        <v>2178</v>
      </c>
    </row>
    <row r="94" spans="1:8">
      <c r="A94" s="23" t="s">
        <v>2179</v>
      </c>
      <c r="B94" s="11" t="s">
        <v>2180</v>
      </c>
      <c r="C94" s="11" t="s">
        <v>254</v>
      </c>
      <c r="D94" s="29">
        <f>IF(COUNT(D43,D38)&lt;2,"—",D43/D38)</f>
        <v>0.2468242988303358</v>
      </c>
      <c r="E94" s="29">
        <f>IF(COUNT(E43,E38)&lt;2,"—",E43/E38)</f>
        <v>0.20015189174261253</v>
      </c>
      <c r="F94" s="29">
        <f>IF(COUNT(F43,F38)&lt;2,"—",F43/F38)</f>
        <v>0.2962337737935852</v>
      </c>
      <c r="G94" s="30" t="s">
        <v>2181</v>
      </c>
      <c r="H94" s="30" t="s">
        <v>2182</v>
      </c>
    </row>
    <row r="95" spans="1:8">
      <c r="A95" s="23" t="s">
        <v>2183</v>
      </c>
      <c r="B95" s="11" t="s">
        <v>2184</v>
      </c>
      <c r="C95" s="11" t="s">
        <v>254</v>
      </c>
      <c r="D95" s="29">
        <f>IF(COUNT(D46,D44)&lt;2,"—",D46/D44)</f>
        <v>0.2788422339991847</v>
      </c>
      <c r="E95" s="29">
        <f>IF(COUNT(E46,E44)&lt;2,"—",E46/E44)</f>
        <v>0.29667272921793086</v>
      </c>
      <c r="F95" s="29">
        <f>IF(COUNT(F46,F44)&lt;2,"—",F46/F44)</f>
        <v>0.31808659217877094</v>
      </c>
      <c r="G95" s="30" t="s">
        <v>2185</v>
      </c>
      <c r="H95" s="30" t="s">
        <v>2186</v>
      </c>
    </row>
    <row r="96" spans="1:8">
      <c r="A96" s="23" t="s">
        <v>2187</v>
      </c>
      <c r="B96" s="11" t="s">
        <v>2188</v>
      </c>
      <c r="C96" s="11" t="s">
        <v>254</v>
      </c>
      <c r="D96" s="29">
        <f>IF(COUNT(D44,D45)&lt;2,"—",D44/D45-1)</f>
        <v>0.06167496212940922</v>
      </c>
      <c r="E96" s="29">
        <f>IF(COUNT(E44,E45)&lt;2,"—",E44/E45-1)</f>
        <v>-0.04739094985731757</v>
      </c>
      <c r="F96" s="29">
        <f>IF(COUNT(F44,F45)&lt;2,"—",F44/F45-1)</f>
        <v>0.2256338932277736</v>
      </c>
      <c r="G96" s="30" t="s">
        <v>2189</v>
      </c>
      <c r="H96" s="30" t="s">
        <v>2101</v>
      </c>
    </row>
    <row r="97" spans="1:8">
      <c r="A97" s="23" t="s">
        <v>2190</v>
      </c>
      <c r="B97" s="11" t="s">
        <v>2191</v>
      </c>
      <c r="C97" s="11" t="s">
        <v>254</v>
      </c>
      <c r="D97" s="29">
        <f>IF(COUNT(D46,D47)&lt;2,"—",D46/D47-1)</f>
        <v>0.1045619701251514</v>
      </c>
      <c r="E97" s="29">
        <f>IF(COUNT(E46,E47)&lt;2,"—",E46/E47-1)</f>
        <v>0.013523391812865496</v>
      </c>
      <c r="F97" s="29">
        <f>IF(COUNT(F46,F47)&lt;2,"—",F46/F47-1)</f>
        <v>0.3141002524341868</v>
      </c>
      <c r="G97" s="30" t="s">
        <v>2192</v>
      </c>
      <c r="H97" s="30" t="s">
        <v>2178</v>
      </c>
    </row>
    <row r="98" spans="1:8">
      <c r="A98" s="23" t="s">
        <v>2193</v>
      </c>
      <c r="B98" s="11" t="s">
        <v>2194</v>
      </c>
      <c r="C98" s="11" t="s">
        <v>254</v>
      </c>
      <c r="D98" s="29">
        <f>IF(COUNT(D49,D44)&lt;2,"—",D49/D44)</f>
        <v>0.20332246229107215</v>
      </c>
      <c r="E98" s="29">
        <f>IF(COUNT(E49,E44)&lt;2,"—",E49/E44)</f>
        <v>0.16486573232053064</v>
      </c>
      <c r="F98" s="29">
        <f>IF(COUNT(F49,F44)&lt;2,"—",F49/F44)</f>
        <v>0.21255237430167598</v>
      </c>
      <c r="G98" s="30" t="s">
        <v>2195</v>
      </c>
      <c r="H98" s="30" t="s">
        <v>2182</v>
      </c>
    </row>
    <row r="99" spans="1:8">
      <c r="A99" s="23" t="s">
        <v>2196</v>
      </c>
      <c r="B99" s="11" t="s">
        <v>2197</v>
      </c>
      <c r="C99" s="11" t="s">
        <v>254</v>
      </c>
      <c r="D99" s="29">
        <f>IF(COUNT(D52,D50)&lt;2,"—",D52/D50)</f>
        <v>0.39980670103092786</v>
      </c>
      <c r="E99" s="29">
        <f>IF(COUNT(E52,E50)&lt;2,"—",E52/E50)</f>
        <v>0.43060338374008084</v>
      </c>
      <c r="F99" s="29">
        <f>IF(COUNT(F52,F50)&lt;2,"—",F52/F50)</f>
        <v>0.45560916767189386</v>
      </c>
      <c r="G99" s="30" t="s">
        <v>2198</v>
      </c>
      <c r="H99" s="30" t="s">
        <v>2199</v>
      </c>
    </row>
    <row r="100" spans="1:8">
      <c r="A100" s="23" t="s">
        <v>2200</v>
      </c>
      <c r="B100" s="11" t="s">
        <v>2201</v>
      </c>
      <c r="C100" s="11" t="s">
        <v>254</v>
      </c>
      <c r="D100" s="29">
        <f>IF(COUNT(D50,D51)&lt;2,"—",D50/D51-1)</f>
        <v>0.20919361121932217</v>
      </c>
      <c r="E100" s="29">
        <f>IF(COUNT(E50,E51)&lt;2,"—",E50/E51-1)</f>
        <v>0.07586984536082474</v>
      </c>
      <c r="F100" s="29">
        <f>IF(COUNT(F50,F51)&lt;2,"—",F50/F51-1)</f>
        <v>0.24120377301991316</v>
      </c>
      <c r="G100" s="30" t="s">
        <v>2202</v>
      </c>
      <c r="H100" s="30" t="s">
        <v>2101</v>
      </c>
    </row>
    <row r="101" spans="1:8">
      <c r="A101" s="23" t="s">
        <v>2203</v>
      </c>
      <c r="B101" s="11" t="s">
        <v>2204</v>
      </c>
      <c r="C101" s="11" t="s">
        <v>254</v>
      </c>
      <c r="D101" s="29">
        <f>IF(COUNT(D52,D53)&lt;2,"—",D52/D53-1)</f>
        <v>0.2940563086548488</v>
      </c>
      <c r="E101" s="29">
        <f>IF(COUNT(E52,E53)&lt;2,"—",E52/E53-1)</f>
        <v>0.1587429492344883</v>
      </c>
      <c r="F101" s="29">
        <f>IF(COUNT(F52,F53)&lt;2,"—",F52/F53-1)</f>
        <v>0.31328233657858134</v>
      </c>
      <c r="G101" s="30" t="s">
        <v>2205</v>
      </c>
      <c r="H101" s="30" t="s">
        <v>2178</v>
      </c>
    </row>
    <row r="102" spans="1:8">
      <c r="A102" s="23" t="s">
        <v>2206</v>
      </c>
      <c r="B102" s="11" t="s">
        <v>2207</v>
      </c>
      <c r="C102" s="11" t="s">
        <v>254</v>
      </c>
      <c r="D102" s="29">
        <f>IF(COUNT(D55,D50)&lt;2,"—",D55/D50)</f>
        <v>0.38273195876288657</v>
      </c>
      <c r="E102" s="29">
        <f>IF(COUNT(E55,E50)&lt;2,"—",E55/E50)</f>
        <v>0.37281030094325496</v>
      </c>
      <c r="F102" s="29">
        <f>IF(COUNT(F55,F50)&lt;2,"—",F55/F50)</f>
        <v>0.39119420989143544</v>
      </c>
      <c r="G102" s="30" t="s">
        <v>2208</v>
      </c>
      <c r="H102" s="30" t="s">
        <v>2182</v>
      </c>
    </row>
    <row r="103" spans="1:8">
      <c r="A103" s="23" t="s">
        <v>2209</v>
      </c>
      <c r="B103" s="11" t="s">
        <v>2210</v>
      </c>
      <c r="C103" s="11" t="s">
        <v>254</v>
      </c>
      <c r="D103" s="29">
        <f>IF(COUNT(D58,D56)&lt;2,"—",D58/D56)</f>
        <v>0.28701941377997714</v>
      </c>
      <c r="E103" s="29">
        <f>IF(COUNT(E58,E56)&lt;2,"—",E58/E56)</f>
        <v>0.3221957040572792</v>
      </c>
      <c r="F103" s="29">
        <f>IF(COUNT(F58,F56)&lt;2,"—",F58/F56)</f>
        <v>0.3660864682762493</v>
      </c>
      <c r="G103" s="30" t="s">
        <v>2211</v>
      </c>
      <c r="H103" s="30" t="s">
        <v>2212</v>
      </c>
    </row>
    <row r="104" spans="1:8">
      <c r="A104" s="23" t="s">
        <v>2213</v>
      </c>
      <c r="B104" s="11" t="s">
        <v>2214</v>
      </c>
      <c r="C104" s="11" t="s">
        <v>254</v>
      </c>
      <c r="D104" s="29">
        <f>IF(COUNT(D56,D57)&lt;2,"—",D56/D57-1)</f>
        <v>0.017034456058846303</v>
      </c>
      <c r="E104" s="29">
        <f>IF(COUNT(E56,E57)&lt;2,"—",E56/E57-1)</f>
        <v>-0.04301484583174724</v>
      </c>
      <c r="F104" s="29">
        <f>IF(COUNT(F56,F57)&lt;2,"—",F56/F57-1)</f>
        <v>0.06264916467780429</v>
      </c>
      <c r="G104" s="30" t="s">
        <v>2215</v>
      </c>
      <c r="H104" s="30" t="s">
        <v>2101</v>
      </c>
    </row>
    <row r="105" spans="1:8">
      <c r="A105" s="23" t="s">
        <v>2216</v>
      </c>
      <c r="B105" s="11" t="s">
        <v>2217</v>
      </c>
      <c r="C105" s="11" t="s">
        <v>254</v>
      </c>
      <c r="D105" s="29">
        <f>IF(COUNT(D58,D59)&lt;2,"—",D58/D59-1)</f>
        <v>0.12789827973074047</v>
      </c>
      <c r="E105" s="29">
        <f>IF(COUNT(E58,E59)&lt;2,"—",E58/E59-1)</f>
        <v>0.07427055702917772</v>
      </c>
      <c r="F105" s="29">
        <f>IF(COUNT(F58,F59)&lt;2,"—",F58/F59-1)</f>
        <v>0.2074074074074074</v>
      </c>
      <c r="G105" s="30" t="s">
        <v>2218</v>
      </c>
      <c r="H105" s="30" t="s">
        <v>2178</v>
      </c>
    </row>
    <row r="106" spans="1:8">
      <c r="A106" s="23" t="s">
        <v>2219</v>
      </c>
      <c r="B106" s="11" t="s">
        <v>2220</v>
      </c>
      <c r="C106" s="11" t="s">
        <v>254</v>
      </c>
      <c r="D106" s="29">
        <f>IF(COUNT(D61,D56)&lt;2,"—",D61/D56)</f>
        <v>0.2518081461743434</v>
      </c>
      <c r="E106" s="29">
        <f>IF(COUNT(E61,E56)&lt;2,"—",E61/E56)</f>
        <v>0.2354813046937152</v>
      </c>
      <c r="F106" s="29">
        <f>IF(COUNT(F61,F56)&lt;2,"—",F61/F56)</f>
        <v>0.28635597978663674</v>
      </c>
      <c r="G106" s="30" t="s">
        <v>2221</v>
      </c>
      <c r="H106" s="30" t="s">
        <v>2182</v>
      </c>
    </row>
    <row r="108" spans="1:8">
      <c r="A108" s="22"/>
      <c r="B108" s="22" t="s">
        <v>2222</v>
      </c>
      <c r="C108" s="22"/>
      <c r="D108" s="22"/>
      <c r="E108" s="22"/>
      <c r="F108" s="22"/>
      <c r="G108" s="22"/>
      <c r="H108" s="22"/>
    </row>
    <row r="109" spans="1:8">
      <c r="A109" s="23" t="s">
        <v>2223</v>
      </c>
      <c r="B109" s="11" t="s">
        <v>2224</v>
      </c>
      <c r="C109" s="11" t="s">
        <v>71</v>
      </c>
      <c r="D109" s="34">
        <f>IF(COUNT(D7,D9,D10)&lt;3,"—",D7-D9-D10)</f>
        <v>0.0</v>
      </c>
      <c r="E109" s="34">
        <f>IF(COUNT(E7,E9,E10)&lt;3,"—",E7-E9-E10)</f>
        <v>0.0</v>
      </c>
      <c r="F109" s="34">
        <f>IF(COUNT(F7,F9,F10)&lt;3,"—",F7-F9-F10)</f>
        <v>0.0</v>
      </c>
      <c r="G109" s="30" t="s">
        <v>2225</v>
      </c>
      <c r="H109" s="36" t="str">
        <f>IF(AND(MAX(D109:F109)&lt;=1,MIN(D109:F109)&gt;=-1),"Đạt","Kiểm tra lại")</f>
        <v>Đạt</v>
      </c>
    </row>
    <row r="110" spans="1:8">
      <c r="A110" s="23" t="s">
        <v>2226</v>
      </c>
      <c r="B110" s="11" t="s">
        <v>2227</v>
      </c>
      <c r="C110" s="11" t="s">
        <v>71</v>
      </c>
      <c r="D110" s="34">
        <f>IF(COUNT(D11,D12,D13)&lt;3,"—",D11+D12-D13)</f>
        <v>0.0</v>
      </c>
      <c r="E110" s="34">
        <f>IF(COUNT(E11,E12,E13)&lt;3,"—",E11+E12-E13)</f>
        <v>0.0</v>
      </c>
      <c r="F110" s="34">
        <f>IF(COUNT(F11,F12,F13)&lt;3,"—",F11+F12-F13)</f>
        <v>0.0</v>
      </c>
      <c r="G110" s="30" t="s">
        <v>2228</v>
      </c>
      <c r="H110" s="36" t="str">
        <f>IF(AND(MAX(D110:F110)&lt;=1,MIN(D110:F110)&gt;=-1),"Đạt","Kiểm tra lại")</f>
        <v>Đạt</v>
      </c>
    </row>
    <row r="111" spans="1:8">
      <c r="A111" s="23" t="s">
        <v>2229</v>
      </c>
      <c r="B111" s="11" t="s">
        <v>2230</v>
      </c>
      <c r="C111" s="11" t="s">
        <v>71</v>
      </c>
      <c r="D111" s="34">
        <f>IF(COUNT(D10,D13,D14,D15,D16)&lt;5,"—",D10-D13-D14-D15-D16)</f>
        <v>0.0</v>
      </c>
      <c r="E111" s="34">
        <f>IF(COUNT(E10,E13,E14,E15,E16)&lt;5,"—",E10-E13-E14-E15-E16)</f>
        <v>0.0</v>
      </c>
      <c r="F111" s="34">
        <f>IF(COUNT(F10,F13,F14,F15,F16)&lt;5,"—",F10-F13-F14-F15-F16)</f>
        <v>0.0</v>
      </c>
      <c r="G111" s="30" t="s">
        <v>2231</v>
      </c>
      <c r="H111" s="36" t="str">
        <f>IF(AND(MAX(D111:F111)&lt;=2,MIN(D111:F111)&gt;=-2),"Đạt","Kiểm tra lại")</f>
        <v>Đạt</v>
      </c>
    </row>
    <row r="112" spans="1:8">
      <c r="A112" s="23" t="s">
        <v>2232</v>
      </c>
      <c r="B112" s="11" t="s">
        <v>2233</v>
      </c>
      <c r="C112" s="11" t="s">
        <v>71</v>
      </c>
      <c r="D112" s="34">
        <f>IF(COUNT(D16,D17,D18)&lt;3,"—",D16-D17-D18)</f>
        <v>0.0</v>
      </c>
      <c r="E112" s="34">
        <f>IF(COUNT(E16,E17,E18)&lt;3,"—",E16-E17-E18)</f>
        <v>0.0</v>
      </c>
      <c r="F112" s="34">
        <f>IF(COUNT(F16,F17,F18)&lt;3,"—",F16-F17-F18)</f>
        <v>0.0</v>
      </c>
      <c r="G112" s="30" t="s">
        <v>2234</v>
      </c>
      <c r="H112" s="36" t="str">
        <f>IF(AND(MAX(D112:F112)&lt;=1,MIN(D112:F112)&gt;=-1),"Đạt","Kiểm tra lại")</f>
        <v>Đạt</v>
      </c>
    </row>
    <row r="113" spans="1:8">
      <c r="A113" s="23" t="s">
        <v>2235</v>
      </c>
      <c r="B113" s="11" t="s">
        <v>2236</v>
      </c>
      <c r="C113" s="11" t="s">
        <v>71</v>
      </c>
      <c r="D113" s="34">
        <f>IF(COUNT(D24,D26,D28,D29)&lt;4,"—",D24+D26+D28-D29)</f>
        <v>0.0</v>
      </c>
      <c r="E113" s="34">
        <f>IF(COUNT(E24,E26,E28,E29)&lt;4,"—",E24+E26+E28-E29)</f>
        <v>0.0</v>
      </c>
      <c r="F113" s="34">
        <f>IF(COUNT(F24,F26,F28,F29)&lt;4,"—",F24+F26+F28-F29)</f>
        <v>0.0</v>
      </c>
      <c r="G113" s="30" t="s">
        <v>2237</v>
      </c>
      <c r="H113" s="36" t="str">
        <f>IF(AND(MAX(D113:F113)&lt;=1,MIN(D113:F113)&gt;=-1),"Đạt","Kiểm tra lại")</f>
        <v>Đạt</v>
      </c>
    </row>
    <row r="114" spans="1:8">
      <c r="A114" s="23" t="s">
        <v>2238</v>
      </c>
      <c r="B114" s="11" t="s">
        <v>2239</v>
      </c>
      <c r="C114" s="11" t="s">
        <v>71</v>
      </c>
      <c r="D114" s="34">
        <f>IF(COUNT(D29,D31,D32,D7)&lt;4,"—",D29+D31+D32-D7)</f>
        <v>0.0</v>
      </c>
      <c r="E114" s="34">
        <f>IF(COUNT(E29,E31,E32,E7)&lt;4,"—",E29+E31+E32-E7)</f>
        <v>0.0</v>
      </c>
      <c r="F114" s="34">
        <f>IF(COUNT(F29,F31,F32,F7)&lt;4,"—",F29+F31+F32-F7)</f>
        <v>0.0</v>
      </c>
      <c r="G114" s="30" t="s">
        <v>2240</v>
      </c>
      <c r="H114" s="36" t="str">
        <f>IF(AND(MAX(D114:F114)&lt;=1,MIN(D114:F114)&gt;=-1),"Đạt","Kiểm tra lại")</f>
        <v>Đạt</v>
      </c>
    </row>
    <row r="115" spans="1:8">
      <c r="A115" s="23" t="s">
        <v>2241</v>
      </c>
      <c r="B115" s="11" t="s">
        <v>2242</v>
      </c>
      <c r="C115" s="11" t="s">
        <v>71</v>
      </c>
      <c r="D115" s="34">
        <f>IF(COUNT(D83,D22)&lt;2,"—",D83-D22)</f>
        <v>0.0</v>
      </c>
      <c r="E115" s="34">
        <f>IF(COUNT(E83,E22)&lt;2,"—",E83-E22)</f>
        <v>0.0</v>
      </c>
      <c r="F115" s="34">
        <f>IF(COUNT(F83,F22)&lt;2,"—",F83-F22)</f>
        <v>0.0</v>
      </c>
      <c r="G115" s="30" t="s">
        <v>2243</v>
      </c>
      <c r="H115" s="36" t="str">
        <f>IF(AND(MAX(D115:F115)&lt;=1,MIN(D115:F115)&gt;=-1),"Đạt","Kiểm tra lại")</f>
        <v>Đạt</v>
      </c>
    </row>
    <row r="116" spans="1:8">
      <c r="A116" s="23" t="s">
        <v>2244</v>
      </c>
      <c r="B116" s="11" t="s">
        <v>2245</v>
      </c>
      <c r="C116" s="11" t="s">
        <v>71</v>
      </c>
      <c r="D116" s="34">
        <f>IF(COUNT(D38,D44,D50,D56,D28,D29)&lt;6,"—",D38+D44+D50+D56+D28-D29)</f>
        <v>0.0</v>
      </c>
      <c r="E116" s="34">
        <f>IF(COUNT(E38,E44,E50,E56,E28,E29)&lt;6,"—",E38+E44+E50+E56+E28-E29)</f>
        <v>0.0</v>
      </c>
      <c r="F116" s="34">
        <f>IF(COUNT(F38,F44,F50,F56,F28,F29)&lt;6,"—",F38+F44+F50+F56+F28-F29)</f>
        <v>0.0</v>
      </c>
      <c r="G116" s="30" t="s">
        <v>2246</v>
      </c>
      <c r="H116" s="36" t="str">
        <f>IF(AND(MAX(D116:F116)&lt;=2,MIN(D116:F116)&gt;=-2),"Đạt","Kiểm tra lại")</f>
        <v>Đạt</v>
      </c>
    </row>
    <row r="117" spans="1:8">
      <c r="A117" s="23" t="s">
        <v>2247</v>
      </c>
      <c r="B117" s="11" t="s">
        <v>2248</v>
      </c>
      <c r="C117" s="11" t="s">
        <v>71</v>
      </c>
      <c r="D117" s="34">
        <f>IF(COUNT(D40,D46,D52,D58,D24)&lt;5,"—",D40+D46+D52+D58-D24)</f>
        <v>0.0</v>
      </c>
      <c r="E117" s="34">
        <f>IF(COUNT(E40,E46,E52,E58,E24)&lt;5,"—",E40+E46+E52+E58-E24)</f>
        <v>0.0</v>
      </c>
      <c r="F117" s="34">
        <f>IF(COUNT(F40,F46,F52,F58,F24)&lt;5,"—",F40+F46+F52+F58-F24)</f>
        <v>0.0</v>
      </c>
      <c r="G117" s="30" t="s">
        <v>2249</v>
      </c>
      <c r="H117" s="36" t="str">
        <f>IF(AND(MAX(D117:F117)&lt;=2,MIN(D117:F117)&gt;=-2),"Đạt","Kiểm tra lại")</f>
        <v>Đạt</v>
      </c>
    </row>
    <row r="118" spans="1:8">
      <c r="A118" s="23" t="s">
        <v>2250</v>
      </c>
      <c r="B118" s="11" t="s">
        <v>2251</v>
      </c>
      <c r="C118" s="11" t="s">
        <v>71</v>
      </c>
      <c r="D118" s="34">
        <f>IF(COUNT(D42,D48,D54,D60,D26)&lt;5,"—",D42+D48+D54+D60-D26)</f>
        <v>0.0</v>
      </c>
      <c r="E118" s="34">
        <f>IF(COUNT(E42,E48,E54,E60,E26)&lt;5,"—",E42+E48+E54+E60-E26)</f>
        <v>0.0</v>
      </c>
      <c r="F118" s="34">
        <f>IF(COUNT(F42,F48,F54,F60,F26)&lt;5,"—",F42+F48+F54+F60-F26)</f>
        <v>0.0</v>
      </c>
      <c r="G118" s="30" t="s">
        <v>2252</v>
      </c>
      <c r="H118" s="36" t="str">
        <f>IF(AND(MAX(D118:F118)&lt;=2,MIN(D118:F118)&gt;=-2),"Đạt","Kiểm tra lại")</f>
        <v>Đạt</v>
      </c>
    </row>
    <row r="119" spans="1:8">
      <c r="A119" s="23" t="s">
        <v>2253</v>
      </c>
      <c r="B119" s="11" t="s">
        <v>2254</v>
      </c>
      <c r="C119" s="11" t="s">
        <v>71</v>
      </c>
      <c r="D119" s="34">
        <f>IF(COUNT(D40,D42,D38)&lt;3,"—",D40+D42-D38)</f>
        <v>0.0</v>
      </c>
      <c r="E119" s="34">
        <f>IF(COUNT(E40,E42,E38)&lt;3,"—",E40+E42-E38)</f>
        <v>0.0</v>
      </c>
      <c r="F119" s="34">
        <f>IF(COUNT(F40,F42,F38)&lt;3,"—",F40+F42-F38)</f>
        <v>0.0</v>
      </c>
      <c r="G119" s="30" t="s">
        <v>2255</v>
      </c>
      <c r="H119" s="36" t="str">
        <f>IF(AND(MAX(D119:F119)&lt;=1,MIN(D119:F119)&gt;=-1),"Đạt","Kiểm tra lại")</f>
        <v>Đạt</v>
      </c>
    </row>
    <row r="120" spans="1:8">
      <c r="A120" s="23" t="s">
        <v>2256</v>
      </c>
      <c r="B120" s="11" t="s">
        <v>2257</v>
      </c>
      <c r="C120" s="11" t="s">
        <v>71</v>
      </c>
      <c r="D120" s="34">
        <f>IF(COUNT(D46,D48,D44)&lt;3,"—",D46+D48-D44)</f>
        <v>0.0</v>
      </c>
      <c r="E120" s="34">
        <f>IF(COUNT(E46,E48,E44)&lt;3,"—",E46+E48-E44)</f>
        <v>0.0</v>
      </c>
      <c r="F120" s="34">
        <f>IF(COUNT(F46,F48,F44)&lt;3,"—",F46+F48-F44)</f>
        <v>0.0</v>
      </c>
      <c r="G120" s="30" t="s">
        <v>2258</v>
      </c>
      <c r="H120" s="36" t="str">
        <f>IF(AND(MAX(D120:F120)&lt;=1,MIN(D120:F120)&gt;=-1),"Đạt","Kiểm tra lại")</f>
        <v>Đạt</v>
      </c>
    </row>
    <row r="121" spans="1:8">
      <c r="A121" s="23" t="s">
        <v>2259</v>
      </c>
      <c r="B121" s="11" t="s">
        <v>2260</v>
      </c>
      <c r="C121" s="11" t="s">
        <v>71</v>
      </c>
      <c r="D121" s="34">
        <f>IF(COUNT(D52,D54,D50)&lt;3,"—",D52+D54-D50)</f>
        <v>0.0</v>
      </c>
      <c r="E121" s="34">
        <f>IF(COUNT(E52,E54,E50)&lt;3,"—",E52+E54-E50)</f>
        <v>0.0</v>
      </c>
      <c r="F121" s="34">
        <f>IF(COUNT(F52,F54,F50)&lt;3,"—",F52+F54-F50)</f>
        <v>0.0</v>
      </c>
      <c r="G121" s="30" t="s">
        <v>2261</v>
      </c>
      <c r="H121" s="36" t="str">
        <f>IF(AND(MAX(D121:F121)&lt;=1,MIN(D121:F121)&gt;=-1),"Đạt","Kiểm tra lại")</f>
        <v>Đạt</v>
      </c>
    </row>
    <row r="122" spans="1:8">
      <c r="A122" s="23" t="s">
        <v>2262</v>
      </c>
      <c r="B122" s="11" t="s">
        <v>2263</v>
      </c>
      <c r="C122" s="11" t="s">
        <v>71</v>
      </c>
      <c r="D122" s="34">
        <f>IF(COUNT(D58,D60,D56)&lt;3,"—",D58+D60-D56)</f>
        <v>0.0</v>
      </c>
      <c r="E122" s="34">
        <f>IF(COUNT(E58,E60,E56)&lt;3,"—",E58+E60-E56)</f>
        <v>0.0</v>
      </c>
      <c r="F122" s="34">
        <f>IF(COUNT(F58,F60,F56)&lt;3,"—",F58+F60-F56)</f>
        <v>0.0</v>
      </c>
      <c r="G122" s="30" t="s">
        <v>2264</v>
      </c>
      <c r="H122" s="36" t="str">
        <f>IF(AND(MAX(D122:F122)&lt;=1,MIN(D122:F122)&gt;=-1),"Đạt","Kiểm tra lại")</f>
        <v>Đạt</v>
      </c>
    </row>
    <row r="124" spans="1:8">
      <c r="A124" s="22"/>
      <c r="B124" s="22" t="s">
        <v>2265</v>
      </c>
      <c r="C124" s="22"/>
      <c r="D124" s="22"/>
      <c r="E124" s="22"/>
      <c r="F124" s="22"/>
      <c r="G124" s="22"/>
      <c r="H124" s="22"/>
    </row>
    <row r="125" spans="1:8">
      <c r="A125" s="23" t="s">
        <v>2266</v>
      </c>
      <c r="B125" s="11" t="s">
        <v>2267</v>
      </c>
      <c r="C125" s="11" t="s">
        <v>2104</v>
      </c>
      <c r="D125" s="37">
        <f>IF(COUNT(D77,D23)&lt;2,"—",(D77-D23)*100)</f>
        <v>0.47314339093881363</v>
      </c>
      <c r="E125" s="37">
        <f>IF(COUNT(E77,E23)&lt;2,"—",(E77-E23)*100)</f>
        <v>-0.38172661502671473</v>
      </c>
      <c r="F125" s="37">
        <f>IF(COUNT(F77,F23)&lt;2,"—",(F77-F23)*100)</f>
        <v>0.07600994572627864</v>
      </c>
      <c r="G125" s="30" t="s">
        <v>2268</v>
      </c>
      <c r="H125" s="36" t="str">
        <f>IF(AND(MAX(D125:F125)&lt;=1,MIN(D125:F125)&gt;=-1),"Đạt","Kiểm tra lại")</f>
        <v>Đạt</v>
      </c>
    </row>
    <row r="126" spans="1:8">
      <c r="A126" s="23" t="s">
        <v>2269</v>
      </c>
      <c r="B126" s="11" t="s">
        <v>2270</v>
      </c>
      <c r="C126" s="11" t="s">
        <v>2104</v>
      </c>
      <c r="D126" s="37">
        <f>IF(COUNT(D68,D35)&lt;2,"—",(D68-D35)*100)</f>
        <v>-0.29382431914077484</v>
      </c>
      <c r="E126" s="37">
        <f>IF(COUNT(E68,E35)&lt;2,"—",(E68-E35)*100)</f>
        <v>0.3518250659406109</v>
      </c>
      <c r="F126" s="37">
        <f>IF(COUNT(F68,F35)&lt;2,"—",(F68-F35)*100)</f>
        <v>0.2080439347439832</v>
      </c>
      <c r="G126" s="30" t="s">
        <v>2271</v>
      </c>
      <c r="H126" s="36" t="str">
        <f>IF(AND(MAX(D126:F126)&lt;=1,MIN(D126:F126)&gt;=-1),"Đạt","Kiểm tra lại")</f>
        <v>Đạt</v>
      </c>
    </row>
    <row r="127" spans="1:8">
      <c r="A127" s="23" t="s">
        <v>2272</v>
      </c>
      <c r="B127" s="11" t="s">
        <v>2273</v>
      </c>
      <c r="C127" s="11" t="s">
        <v>2104</v>
      </c>
      <c r="D127" s="37">
        <f>IF(COUNT(D69,D36)&lt;2,"—",(D69-D36)*100)</f>
        <v>0.06616880136843423</v>
      </c>
      <c r="E127" s="37">
        <f>IF(COUNT(E69,E36)&lt;2,"—",(E69-E36)*100)</f>
        <v>0.08287770916099595</v>
      </c>
      <c r="F127" s="37">
        <f>IF(COUNT(F69,F36)&lt;2,"—",(F69-F36)*100)</f>
        <v>-0.15857661081361202</v>
      </c>
      <c r="G127" s="30" t="s">
        <v>2274</v>
      </c>
      <c r="H127" s="36" t="str">
        <f>IF(AND(MAX(D127:F127)&lt;=1,MIN(D127:F127)&gt;=-1),"Đạt","Kiểm tra lại")</f>
        <v>Đạt</v>
      </c>
    </row>
    <row r="128" spans="1:8">
      <c r="A128" s="23" t="s">
        <v>2275</v>
      </c>
      <c r="B128" s="11" t="s">
        <v>2276</v>
      </c>
      <c r="C128" s="11" t="s">
        <v>2104</v>
      </c>
      <c r="D128" s="37">
        <f>IF(COUNT(D70,D37)&lt;2,"—",(D70-D37)*100)</f>
        <v>-0.07481513701609395</v>
      </c>
      <c r="E128" s="37">
        <f>IF(COUNT(E70,E37)&lt;2,"—",(E70-E37)*100)</f>
        <v>-0.43333870707722066</v>
      </c>
      <c r="F128" s="37">
        <f>IF(COUNT(F70,F37)&lt;2,"—",(F70-F37)*100)</f>
        <v>-0.09255510571300045</v>
      </c>
      <c r="G128" s="30" t="s">
        <v>2277</v>
      </c>
      <c r="H128" s="36" t="str">
        <f>IF(AND(MAX(D128:F128)&lt;=1,MIN(D128:F128)&gt;=-1),"Đạt","Kiểm tra lại")</f>
        <v>Đạt</v>
      </c>
    </row>
    <row r="129" spans="1:8">
      <c r="A129" s="23" t="s">
        <v>2278</v>
      </c>
      <c r="B129" s="11" t="s">
        <v>2279</v>
      </c>
      <c r="C129" s="11" t="s">
        <v>2104</v>
      </c>
      <c r="D129" s="37">
        <f>IF(COUNT(D65,D34)&lt;2,"—",(D65-D34)*100)</f>
        <v>-0.4211940458917728</v>
      </c>
      <c r="E129" s="37">
        <f>IF(COUNT(E65,E34)&lt;2,"—",(E65-E34)*100)</f>
        <v>-0.18780926675663517</v>
      </c>
      <c r="F129" s="37">
        <f>IF(COUNT(F65,F34)&lt;2,"—",(F65-F34)*100)</f>
        <v>-0.2938311304471189</v>
      </c>
      <c r="G129" s="30" t="s">
        <v>2280</v>
      </c>
      <c r="H129" s="36" t="str">
        <f>IF(AND(MAX(D129:F129)&lt;=1,MIN(D129:F129)&gt;=-1),"Đạt","Kiểm tra lại")</f>
        <v>Đạt</v>
      </c>
    </row>
  </sheetData>
  <conditionalFormatting sqref="H5:H130">
    <cfRule type="cellIs" dxfId="4" priority="1" operator="equal">
      <formula>"Kiểm tra lại"</formula>
    </cfRule>
  </conditionalFormatting>
  <pageMargins left="0.7" right="0.7" top="0.75" bottom="0.75" header="0.3" footer="0.3"/>
  <pageSetup paperSize="9" fitToHeight="0" orientation="landscape"/>
  <headerFooter>
    <oddFooter>&amp;C&amp;8Trang &amp;P/&amp;N</oddFooter>
  </headerFooter>
</worksheet>
</file>

<file path=xl/worksheets/sheet6.xml><?xml version="1.0" encoding="utf-8"?>
<worksheet xmlns="http://schemas.openxmlformats.org/spreadsheetml/2006/main" xmlns:r="http://schemas.openxmlformats.org/officeDocument/2006/relationships">
  <sheetPr>
    <pageSetUpPr fitToPage="1"/>
  </sheetPr>
  <dimension ref="A1:Q121"/>
  <sheetViews>
    <sheetView showGridLines="0" workbookViewId="0">
      <pane xSplit="3" ySplit="4" topLeftCell="D5" activePane="bottomRight" state="frozen"/>
      <selection pane="topRight" activeCell="D1" sqref="D1"/>
      <selection pane="bottomLeft" activeCell="A5" sqref="A5"/>
      <selection pane="bottomRight"/>
    </sheetView>
  </sheetViews>
  <sheetFormatPr defaultRowHeight="15"/>
  <cols>
    <col min="1" max="1" width="40.7109375" customWidth="1"/>
    <col min="2" max="2" width="66.7109375" customWidth="1"/>
    <col min="3" max="3" width="10.7109375" customWidth="1"/>
    <col min="4" max="15" width="11.28515625" customWidth="1"/>
    <col min="16" max="16" width="58.7109375" customWidth="1"/>
    <col min="17" max="17" width="62.7109375" customWidth="1"/>
  </cols>
  <sheetData>
    <row r="1" spans="1:17">
      <c r="B1" s="7" t="s">
        <v>2281</v>
      </c>
    </row>
    <row r="2" spans="1:17">
      <c r="B2" s="2" t="s">
        <v>1986</v>
      </c>
    </row>
    <row r="4" spans="1:17" ht="21.75" customHeight="1">
      <c r="A4" s="9" t="s">
        <v>1987</v>
      </c>
      <c r="B4" s="9" t="s">
        <v>46</v>
      </c>
      <c r="C4" s="9" t="s">
        <v>7</v>
      </c>
      <c r="D4" s="20" t="s">
        <v>445</v>
      </c>
      <c r="E4" s="20" t="s">
        <v>458</v>
      </c>
      <c r="F4" s="20" t="s">
        <v>467</v>
      </c>
      <c r="G4" s="20" t="s">
        <v>476</v>
      </c>
      <c r="H4" s="20" t="s">
        <v>486</v>
      </c>
      <c r="I4" s="20" t="s">
        <v>496</v>
      </c>
      <c r="J4" s="20" t="s">
        <v>505</v>
      </c>
      <c r="K4" s="20" t="s">
        <v>514</v>
      </c>
      <c r="L4" s="20" t="s">
        <v>523</v>
      </c>
      <c r="M4" s="20" t="s">
        <v>532</v>
      </c>
      <c r="N4" s="20" t="s">
        <v>541</v>
      </c>
      <c r="O4" s="20" t="s">
        <v>550</v>
      </c>
      <c r="P4" s="21" t="s">
        <v>1988</v>
      </c>
      <c r="Q4" s="21" t="s">
        <v>1989</v>
      </c>
    </row>
    <row r="6" spans="1:17">
      <c r="A6" s="22"/>
      <c r="B6" s="22" t="s">
        <v>1990</v>
      </c>
      <c r="C6" s="22"/>
      <c r="D6" s="22"/>
      <c r="E6" s="22"/>
      <c r="F6" s="22"/>
      <c r="G6" s="22"/>
      <c r="H6" s="22"/>
      <c r="I6" s="22"/>
      <c r="J6" s="22"/>
      <c r="K6" s="22"/>
      <c r="L6" s="22"/>
      <c r="M6" s="22"/>
      <c r="N6" s="22"/>
      <c r="O6" s="22"/>
      <c r="P6" s="22"/>
      <c r="Q6" s="22"/>
    </row>
    <row r="7" spans="1:17">
      <c r="A7" s="23" t="s">
        <v>88</v>
      </c>
      <c r="B7" s="11" t="s">
        <v>70</v>
      </c>
      <c r="C7" s="11" t="s">
        <v>71</v>
      </c>
      <c r="D7" s="24">
        <f>IF(INDEX('03 Số liệu quý'!$C$5:$C$701,MATCH(D$4&amp;"|revenues",'03 Số liệu quý'!$Z$5:$Z$701,0))="","—",INDEX('03 Số liệu quý'!$C$5:$C$701,MATCH(D$4&amp;"|revenues",'03 Số liệu quý'!$Z$5:$Z$701,0)))</f>
        <v>9948.0</v>
      </c>
      <c r="E7" s="24">
        <f>IF(INDEX('03 Số liệu quý'!$C$5:$C$701,MATCH(E$4&amp;"|revenues",'03 Số liệu quý'!$Z$5:$Z$701,0))="","—",INDEX('03 Số liệu quý'!$C$5:$C$701,MATCH(E$4&amp;"|revenues",'03 Số liệu quý'!$Z$5:$Z$701,0)))</f>
        <v>9374.0</v>
      </c>
      <c r="F7" s="24">
        <f>IF(INDEX('03 Số liệu quý'!$C$5:$C$701,MATCH(F$4&amp;"|revenues",'03 Số liệu quý'!$Z$5:$Z$701,0))="","—",INDEX('03 Số liệu quý'!$C$5:$C$701,MATCH(F$4&amp;"|revenues",'03 Số liệu quý'!$Z$5:$Z$701,0)))</f>
        <v>9611.0</v>
      </c>
      <c r="G7" s="24">
        <f>IF(INDEX('03 Số liệu quý'!$C$5:$C$701,MATCH(G$4&amp;"|revenues",'03 Số liệu quý'!$Z$5:$Z$701,0))="","—",INDEX('03 Số liệu quý'!$C$5:$C$701,MATCH(G$4&amp;"|revenues",'03 Số liệu quý'!$Z$5:$Z$701,0)))</f>
        <v>10184.0</v>
      </c>
      <c r="H7" s="24">
        <f>IF(INDEX('03 Số liệu quý'!$C$5:$C$701,MATCH(H$4&amp;"|revenues",'03 Số liệu quý'!$Z$5:$Z$701,0))="","—",INDEX('03 Số liệu quý'!$C$5:$C$701,MATCH(H$4&amp;"|revenues",'03 Số liệu quý'!$Z$5:$Z$701,0)))</f>
        <v>10660.0</v>
      </c>
      <c r="I7" s="24">
        <f>IF(INDEX('03 Số liệu quý'!$C$5:$C$701,MATCH(I$4&amp;"|revenues",'03 Số liệu quý'!$Z$5:$Z$701,0))="","—",INDEX('03 Số liệu quý'!$C$5:$C$701,MATCH(I$4&amp;"|revenues",'03 Số liệu quý'!$Z$5:$Z$701,0)))</f>
        <v>10326.0</v>
      </c>
      <c r="J7" s="24">
        <f>IF(INDEX('03 Số liệu quý'!$C$5:$C$701,MATCH(J$4&amp;"|revenues",'03 Số liệu quý'!$Z$5:$Z$701,0))="","—",INDEX('03 Số liệu quý'!$C$5:$C$701,MATCH(J$4&amp;"|revenues",'03 Số liệu quý'!$Z$5:$Z$701,0)))</f>
        <v>10104.0</v>
      </c>
      <c r="K7" s="24">
        <f>IF(INDEX('03 Số liệu quý'!$C$5:$C$701,MATCH(K$4&amp;"|revenues",'03 Số liệu quý'!$Z$5:$Z$701,0))="","—",INDEX('03 Số liệu quý'!$C$5:$C$701,MATCH(K$4&amp;"|revenues",'03 Số liệu quý'!$Z$5:$Z$701,0)))</f>
        <v>6313.0</v>
      </c>
      <c r="L7" s="24">
        <f>IF(INDEX('03 Số liệu quý'!$C$5:$C$701,MATCH(L$4&amp;"|revenues",'03 Số liệu quý'!$Z$5:$Z$701,0))="","—",INDEX('03 Số liệu quý'!$C$5:$C$701,MATCH(L$4&amp;"|revenues",'03 Số liệu quý'!$Z$5:$Z$701,0)))</f>
        <v>10594.0</v>
      </c>
      <c r="M7" s="24">
        <f>IF(INDEX('03 Số liệu quý'!$C$5:$C$701,MATCH(M$4&amp;"|revenues",'03 Số liệu quý'!$Z$5:$Z$701,0))="","—",INDEX('03 Số liệu quý'!$C$5:$C$701,MATCH(M$4&amp;"|revenues",'03 Số liệu quý'!$Z$5:$Z$701,0)))</f>
        <v>11243.0</v>
      </c>
      <c r="N7" s="24">
        <f>IF(INDEX('03 Số liệu quý'!$C$5:$C$701,MATCH(N$4&amp;"|revenues",'03 Số liệu quý'!$Z$5:$Z$701,0))="","—",INDEX('03 Số liệu quý'!$C$5:$C$701,MATCH(N$4&amp;"|revenues",'03 Số liệu quý'!$Z$5:$Z$701,0)))</f>
        <v>10357.0</v>
      </c>
      <c r="O7" s="24">
        <f>IF(INDEX('03 Số liệu quý'!$C$5:$C$701,MATCH(O$4&amp;"|revenues",'03 Số liệu quý'!$Z$5:$Z$701,0))="","—",INDEX('03 Số liệu quý'!$C$5:$C$701,MATCH(O$4&amp;"|revenues",'03 Số liệu quý'!$Z$5:$Z$701,0)))</f>
        <v>12344.0</v>
      </c>
      <c r="P7" s="25" t="s">
        <v>2282</v>
      </c>
    </row>
    <row r="8" spans="1:17">
      <c r="A8" s="23" t="s">
        <v>1992</v>
      </c>
      <c r="B8" s="11" t="s">
        <v>1993</v>
      </c>
      <c r="C8" s="11" t="s">
        <v>71</v>
      </c>
      <c r="D8" s="24">
        <f>IF(INDEX('03 Số liệu quý'!$D$5:$D$701,MATCH(D$4&amp;"|revenues",'03 Số liệu quý'!$Z$5:$Z$701,0))="","—",INDEX('03 Số liệu quý'!$D$5:$D$701,MATCH(D$4&amp;"|revenues",'03 Số liệu quý'!$Z$5:$Z$701,0)))</f>
        <v>9070.0</v>
      </c>
      <c r="E8" s="24">
        <f>IF(INDEX('03 Số liệu quý'!$D$5:$D$701,MATCH(E$4&amp;"|revenues",'03 Số liệu quý'!$Z$5:$Z$701,0))="","—",INDEX('03 Số liệu quý'!$D$5:$D$701,MATCH(E$4&amp;"|revenues",'03 Số liệu quý'!$Z$5:$Z$701,0)))</f>
        <v>8554.0</v>
      </c>
      <c r="F8" s="24">
        <f>IF(INDEX('03 Số liệu quý'!$D$5:$D$701,MATCH(F$4&amp;"|revenues",'03 Số liệu quý'!$Z$5:$Z$701,0))="","—",INDEX('03 Số liệu quý'!$D$5:$D$701,MATCH(F$4&amp;"|revenues",'03 Số liệu quý'!$Z$5:$Z$701,0)))</f>
        <v>8984.0</v>
      </c>
      <c r="G8" s="24">
        <f>IF(INDEX('03 Số liệu quý'!$D$5:$D$701,MATCH(G$4&amp;"|revenues",'03 Số liệu quý'!$Z$5:$Z$701,0))="","—",INDEX('03 Số liệu quý'!$D$5:$D$701,MATCH(G$4&amp;"|revenues",'03 Số liệu quý'!$Z$5:$Z$701,0)))</f>
        <v>9789.0</v>
      </c>
      <c r="H8" s="24">
        <f>IF(INDEX('03 Số liệu quý'!$D$5:$D$701,MATCH(H$4&amp;"|revenues",'03 Số liệu quý'!$Z$5:$Z$701,0))="","—",INDEX('03 Số liệu quý'!$D$5:$D$701,MATCH(H$4&amp;"|revenues",'03 Số liệu quý'!$Z$5:$Z$701,0)))</f>
        <v>9948.0</v>
      </c>
      <c r="I8" s="24">
        <f>IF(INDEX('03 Số liệu quý'!$D$5:$D$701,MATCH(I$4&amp;"|revenues",'03 Số liệu quý'!$Z$5:$Z$701,0))="","—",INDEX('03 Số liệu quý'!$D$5:$D$701,MATCH(I$4&amp;"|revenues",'03 Số liệu quý'!$Z$5:$Z$701,0)))</f>
        <v>9374.0</v>
      </c>
      <c r="J8" s="24">
        <f>IF(INDEX('03 Số liệu quý'!$D$5:$D$701,MATCH(J$4&amp;"|revenues",'03 Số liệu quý'!$Z$5:$Z$701,0))="","—",INDEX('03 Số liệu quý'!$D$5:$D$701,MATCH(J$4&amp;"|revenues",'03 Số liệu quý'!$Z$5:$Z$701,0)))</f>
        <v>9611.0</v>
      </c>
      <c r="K8" s="24">
        <f>IF(INDEX('03 Số liệu quý'!$D$5:$D$701,MATCH(K$4&amp;"|revenues",'03 Số liệu quý'!$Z$5:$Z$701,0))="","—",INDEX('03 Số liệu quý'!$D$5:$D$701,MATCH(K$4&amp;"|revenues",'03 Số liệu quý'!$Z$5:$Z$701,0)))</f>
        <v>10184.0</v>
      </c>
      <c r="L8" s="24">
        <f>IF(INDEX('03 Số liệu quý'!$D$5:$D$701,MATCH(L$4&amp;"|revenues",'03 Số liệu quý'!$Z$5:$Z$701,0))="","—",INDEX('03 Số liệu quý'!$D$5:$D$701,MATCH(L$4&amp;"|revenues",'03 Số liệu quý'!$Z$5:$Z$701,0)))</f>
        <v>10660.0</v>
      </c>
      <c r="M8" s="24">
        <f>IF(INDEX('03 Số liệu quý'!$D$5:$D$701,MATCH(M$4&amp;"|revenues",'03 Số liệu quý'!$Z$5:$Z$701,0))="","—",INDEX('03 Số liệu quý'!$D$5:$D$701,MATCH(M$4&amp;"|revenues",'03 Số liệu quý'!$Z$5:$Z$701,0)))</f>
        <v>10326.0</v>
      </c>
      <c r="N8" s="24">
        <f>IF(INDEX('03 Số liệu quý'!$D$5:$D$701,MATCH(N$4&amp;"|revenues",'03 Số liệu quý'!$Z$5:$Z$701,0))="","—",INDEX('03 Số liệu quý'!$D$5:$D$701,MATCH(N$4&amp;"|revenues",'03 Số liệu quý'!$Z$5:$Z$701,0)))</f>
        <v>10104.0</v>
      </c>
      <c r="O8" s="24">
        <f>IF(INDEX('03 Số liệu quý'!$D$5:$D$701,MATCH(O$4&amp;"|revenues",'03 Số liệu quý'!$Z$5:$Z$701,0))="","—",INDEX('03 Số liệu quý'!$D$5:$D$701,MATCH(O$4&amp;"|revenues",'03 Số liệu quý'!$Z$5:$Z$701,0)))</f>
        <v>6313.0</v>
      </c>
      <c r="P8" s="25" t="s">
        <v>2283</v>
      </c>
    </row>
    <row r="9" spans="1:17">
      <c r="A9" s="23" t="s">
        <v>114</v>
      </c>
      <c r="B9" s="11" t="s">
        <v>108</v>
      </c>
      <c r="C9" s="11" t="s">
        <v>71</v>
      </c>
      <c r="D9" s="24">
        <f>IF(INDEX('03 Số liệu quý'!$C$5:$C$701,MATCH(D$4&amp;"|cost_of_sales",'03 Số liệu quý'!$Z$5:$Z$701,0))="","—",INDEX('03 Số liệu quý'!$C$5:$C$701,MATCH(D$4&amp;"|cost_of_sales",'03 Số liệu quý'!$Z$5:$Z$701,0)))</f>
        <v>5551.0</v>
      </c>
      <c r="E9" s="24">
        <f>IF(INDEX('03 Số liệu quý'!$C$5:$C$701,MATCH(E$4&amp;"|cost_of_sales",'03 Số liệu quý'!$Z$5:$Z$701,0))="","—",INDEX('03 Số liệu quý'!$C$5:$C$701,MATCH(E$4&amp;"|cost_of_sales",'03 Số liệu quý'!$Z$5:$Z$701,0)))</f>
        <v>5269.0</v>
      </c>
      <c r="F9" s="24">
        <f>IF(INDEX('03 Số liệu quý'!$C$5:$C$701,MATCH(F$4&amp;"|cost_of_sales",'03 Số liệu quý'!$Z$5:$Z$701,0))="","—",INDEX('03 Số liệu quý'!$C$5:$C$701,MATCH(F$4&amp;"|cost_of_sales",'03 Số liệu quý'!$Z$5:$Z$701,0)))</f>
        <v>5272.0</v>
      </c>
      <c r="G9" s="24">
        <f>IF(INDEX('03 Số liệu quý'!$C$5:$C$701,MATCH(G$4&amp;"|cost_of_sales",'03 Số liệu quý'!$Z$5:$Z$701,0))="","—",INDEX('03 Số liệu quý'!$C$5:$C$701,MATCH(G$4&amp;"|cost_of_sales",'03 Số liệu quý'!$Z$5:$Z$701,0)))</f>
        <v>5551.0</v>
      </c>
      <c r="H9" s="24">
        <f>IF(INDEX('03 Số liệu quý'!$C$5:$C$701,MATCH(H$4&amp;"|cost_of_sales",'03 Số liệu quý'!$Z$5:$Z$701,0))="","—",INDEX('03 Số liệu quý'!$C$5:$C$701,MATCH(H$4&amp;"|cost_of_sales",'03 Số liệu quý'!$Z$5:$Z$701,0)))</f>
        <v>5789.0</v>
      </c>
      <c r="I9" s="24">
        <f>IF(INDEX('03 Số liệu quý'!$C$5:$C$701,MATCH(I$4&amp;"|cost_of_sales",'03 Số liệu quý'!$Z$5:$Z$701,0))="","—",INDEX('03 Số liệu quý'!$C$5:$C$701,MATCH(I$4&amp;"|cost_of_sales",'03 Số liệu quý'!$Z$5:$Z$701,0)))</f>
        <v>5782.0</v>
      </c>
      <c r="J9" s="24">
        <f>IF(INDEX('03 Số liệu quý'!$C$5:$C$701,MATCH(J$4&amp;"|cost_of_sales",'03 Số liệu quý'!$Z$5:$Z$701,0))="","—",INDEX('03 Số liệu quý'!$C$5:$C$701,MATCH(J$4&amp;"|cost_of_sales",'03 Số liệu quý'!$Z$5:$Z$701,0)))</f>
        <v>5631.0</v>
      </c>
      <c r="K9" s="24">
        <f>IF(INDEX('03 Số liệu quý'!$C$5:$C$701,MATCH(K$4&amp;"|cost_of_sales",'03 Số liệu quý'!$Z$5:$Z$701,0))="","—",INDEX('03 Số liệu quý'!$C$5:$C$701,MATCH(K$4&amp;"|cost_of_sales",'03 Số liệu quý'!$Z$5:$Z$701,0)))</f>
        <v>3960.0</v>
      </c>
      <c r="L9" s="24">
        <f>IF(INDEX('03 Số liệu quý'!$C$5:$C$701,MATCH(L$4&amp;"|cost_of_sales",'03 Số liệu quý'!$Z$5:$Z$701,0))="","—",INDEX('03 Số liệu quý'!$C$5:$C$701,MATCH(L$4&amp;"|cost_of_sales",'03 Số liệu quý'!$Z$5:$Z$701,0)))</f>
        <v>5853.0</v>
      </c>
      <c r="M9" s="24">
        <f>IF(INDEX('03 Số liệu quý'!$C$5:$C$701,MATCH(M$4&amp;"|cost_of_sales",'03 Số liệu quý'!$Z$5:$Z$701,0))="","—",INDEX('03 Số liệu quý'!$C$5:$C$701,MATCH(M$4&amp;"|cost_of_sales",'03 Số liệu quý'!$Z$5:$Z$701,0)))</f>
        <v>6396.0</v>
      </c>
      <c r="N9" s="24">
        <f>IF(INDEX('03 Số liệu quý'!$C$5:$C$701,MATCH(N$4&amp;"|cost_of_sales",'03 Số liệu quý'!$Z$5:$Z$701,0))="","—",INDEX('03 Số liệu quý'!$C$5:$C$701,MATCH(N$4&amp;"|cost_of_sales",'03 Số liệu quý'!$Z$5:$Z$701,0)))</f>
        <v>5638.0</v>
      </c>
      <c r="O9" s="24">
        <f>IF(INDEX('03 Số liệu quý'!$C$5:$C$701,MATCH(O$4&amp;"|cost_of_sales",'03 Số liệu quý'!$Z$5:$Z$701,0))="","—",INDEX('03 Số liệu quý'!$C$5:$C$701,MATCH(O$4&amp;"|cost_of_sales",'03 Số liệu quý'!$Z$5:$Z$701,0)))</f>
        <v>6689.0</v>
      </c>
      <c r="P9" s="25" t="s">
        <v>2284</v>
      </c>
    </row>
    <row r="10" spans="1:17">
      <c r="A10" s="23" t="s">
        <v>125</v>
      </c>
      <c r="B10" s="11" t="s">
        <v>120</v>
      </c>
      <c r="C10" s="11" t="s">
        <v>71</v>
      </c>
      <c r="D10" s="24">
        <f>IF(INDEX('03 Số liệu quý'!$C$5:$C$701,MATCH(D$4&amp;"|gross_profit",'03 Số liệu quý'!$Z$5:$Z$701,0))="","—",INDEX('03 Số liệu quý'!$C$5:$C$701,MATCH(D$4&amp;"|gross_profit",'03 Số liệu quý'!$Z$5:$Z$701,0)))</f>
        <v>4397.0</v>
      </c>
      <c r="E10" s="24">
        <f>IF(INDEX('03 Số liệu quý'!$C$5:$C$701,MATCH(E$4&amp;"|gross_profit",'03 Số liệu quý'!$Z$5:$Z$701,0))="","—",INDEX('03 Số liệu quý'!$C$5:$C$701,MATCH(E$4&amp;"|gross_profit",'03 Số liệu quý'!$Z$5:$Z$701,0)))</f>
        <v>4105.0</v>
      </c>
      <c r="F10" s="24">
        <f>IF(INDEX('03 Số liệu quý'!$C$5:$C$701,MATCH(F$4&amp;"|gross_profit",'03 Số liệu quý'!$Z$5:$Z$701,0))="","—",INDEX('03 Số liệu quý'!$C$5:$C$701,MATCH(F$4&amp;"|gross_profit",'03 Số liệu quý'!$Z$5:$Z$701,0)))</f>
        <v>4339.0</v>
      </c>
      <c r="G10" s="24">
        <f>IF(INDEX('03 Số liệu quý'!$C$5:$C$701,MATCH(G$4&amp;"|gross_profit",'03 Số liệu quý'!$Z$5:$Z$701,0))="","—",INDEX('03 Số liệu quý'!$C$5:$C$701,MATCH(G$4&amp;"|gross_profit",'03 Số liệu quý'!$Z$5:$Z$701,0)))</f>
        <v>4633.0</v>
      </c>
      <c r="H10" s="24">
        <f>IF(INDEX('03 Số liệu quý'!$C$5:$C$701,MATCH(H$4&amp;"|gross_profit",'03 Số liệu quý'!$Z$5:$Z$701,0))="","—",INDEX('03 Số liệu quý'!$C$5:$C$701,MATCH(H$4&amp;"|gross_profit",'03 Số liệu quý'!$Z$5:$Z$701,0)))</f>
        <v>4871.0</v>
      </c>
      <c r="I10" s="24">
        <f>IF(INDEX('03 Số liệu quý'!$C$5:$C$701,MATCH(I$4&amp;"|gross_profit",'03 Số liệu quý'!$Z$5:$Z$701,0))="","—",INDEX('03 Số liệu quý'!$C$5:$C$701,MATCH(I$4&amp;"|gross_profit",'03 Số liệu quý'!$Z$5:$Z$701,0)))</f>
        <v>4544.0</v>
      </c>
      <c r="J10" s="24">
        <f>IF(INDEX('03 Số liệu quý'!$C$5:$C$701,MATCH(J$4&amp;"|gross_profit",'03 Số liệu quý'!$Z$5:$Z$701,0))="","—",INDEX('03 Số liệu quý'!$C$5:$C$701,MATCH(J$4&amp;"|gross_profit",'03 Số liệu quý'!$Z$5:$Z$701,0)))</f>
        <v>4473.0</v>
      </c>
      <c r="K10" s="24">
        <f>IF(INDEX('03 Số liệu quý'!$C$5:$C$701,MATCH(K$4&amp;"|gross_profit",'03 Số liệu quý'!$Z$5:$Z$701,0))="","—",INDEX('03 Số liệu quý'!$C$5:$C$701,MATCH(K$4&amp;"|gross_profit",'03 Số liệu quý'!$Z$5:$Z$701,0)))</f>
        <v>2353.0</v>
      </c>
      <c r="L10" s="24">
        <f>IF(INDEX('03 Số liệu quý'!$C$5:$C$701,MATCH(L$4&amp;"|gross_profit",'03 Số liệu quý'!$Z$5:$Z$701,0))="","—",INDEX('03 Số liệu quý'!$C$5:$C$701,MATCH(L$4&amp;"|gross_profit",'03 Số liệu quý'!$Z$5:$Z$701,0)))</f>
        <v>4741.0</v>
      </c>
      <c r="M10" s="24">
        <f>IF(INDEX('03 Số liệu quý'!$C$5:$C$701,MATCH(M$4&amp;"|gross_profit",'03 Số liệu quý'!$Z$5:$Z$701,0))="","—",INDEX('03 Số liệu quý'!$C$5:$C$701,MATCH(M$4&amp;"|gross_profit",'03 Số liệu quý'!$Z$5:$Z$701,0)))</f>
        <v>4847.0</v>
      </c>
      <c r="N10" s="24">
        <f>IF(INDEX('03 Số liệu quý'!$C$5:$C$701,MATCH(N$4&amp;"|gross_profit",'03 Số liệu quý'!$Z$5:$Z$701,0))="","—",INDEX('03 Số liệu quý'!$C$5:$C$701,MATCH(N$4&amp;"|gross_profit",'03 Số liệu quý'!$Z$5:$Z$701,0)))</f>
        <v>4719.0</v>
      </c>
      <c r="O10" s="24">
        <f>IF(INDEX('03 Số liệu quý'!$C$5:$C$701,MATCH(O$4&amp;"|gross_profit",'03 Số liệu quý'!$Z$5:$Z$701,0))="","—",INDEX('03 Số liệu quý'!$C$5:$C$701,MATCH(O$4&amp;"|gross_profit",'03 Số liệu quý'!$Z$5:$Z$701,0)))</f>
        <v>5655.0</v>
      </c>
      <c r="P10" s="25" t="s">
        <v>2285</v>
      </c>
    </row>
    <row r="11" spans="1:17">
      <c r="A11" s="23" t="s">
        <v>136</v>
      </c>
      <c r="B11" s="11" t="s">
        <v>131</v>
      </c>
      <c r="C11" s="11" t="s">
        <v>71</v>
      </c>
      <c r="D11" s="24">
        <f>IF(INDEX('03 Số liệu quý'!$C$5:$C$701,MATCH(D$4&amp;"|demand_creation_expense",'03 Số liệu quý'!$Z$5:$Z$701,0))="","—",INDEX('03 Số liệu quý'!$C$5:$C$701,MATCH(D$4&amp;"|demand_creation_expense",'03 Số liệu quý'!$Z$5:$Z$701,0)))</f>
        <v>964.0</v>
      </c>
      <c r="E11" s="24">
        <f>IF(INDEX('03 Số liệu quý'!$C$5:$C$701,MATCH(E$4&amp;"|demand_creation_expense",'03 Số liệu quý'!$Z$5:$Z$701,0))="","—",INDEX('03 Số liệu quý'!$C$5:$C$701,MATCH(E$4&amp;"|demand_creation_expense",'03 Số liệu quý'!$Z$5:$Z$701,0)))</f>
        <v>910.0</v>
      </c>
      <c r="F11" s="24">
        <f>IF(INDEX('03 Số liệu quý'!$C$5:$C$701,MATCH(F$4&amp;"|demand_creation_expense",'03 Số liệu quý'!$Z$5:$Z$701,0))="","—",INDEX('03 Số liệu quý'!$C$5:$C$701,MATCH(F$4&amp;"|demand_creation_expense",'03 Số liệu quý'!$Z$5:$Z$701,0)))</f>
        <v>865.0</v>
      </c>
      <c r="G11" s="24">
        <f>IF(INDEX('03 Số liệu quý'!$C$5:$C$701,MATCH(G$4&amp;"|demand_creation_expense",'03 Số liệu quý'!$Z$5:$Z$701,0))="","—",INDEX('03 Số liệu quý'!$C$5:$C$701,MATCH(G$4&amp;"|demand_creation_expense",'03 Số liệu quý'!$Z$5:$Z$701,0)))</f>
        <v>1014.0</v>
      </c>
      <c r="H11" s="24">
        <f>IF(INDEX('03 Số liệu quý'!$C$5:$C$701,MATCH(H$4&amp;"|demand_creation_expense",'03 Số liệu quý'!$Z$5:$Z$701,0))="","—",INDEX('03 Số liệu quý'!$C$5:$C$701,MATCH(H$4&amp;"|demand_creation_expense",'03 Số liệu quý'!$Z$5:$Z$701,0)))</f>
        <v>1018.0</v>
      </c>
      <c r="I11" s="24">
        <f>IF(INDEX('03 Số liệu quý'!$C$5:$C$701,MATCH(I$4&amp;"|demand_creation_expense",'03 Số liệu quý'!$Z$5:$Z$701,0))="","—",INDEX('03 Số liệu quý'!$C$5:$C$701,MATCH(I$4&amp;"|demand_creation_expense",'03 Số liệu quý'!$Z$5:$Z$701,0)))</f>
        <v>881.0</v>
      </c>
      <c r="J11" s="24">
        <f>IF(INDEX('03 Số liệu quý'!$C$5:$C$701,MATCH(J$4&amp;"|demand_creation_expense",'03 Số liệu quý'!$Z$5:$Z$701,0))="","—",INDEX('03 Số liệu quý'!$C$5:$C$701,MATCH(J$4&amp;"|demand_creation_expense",'03 Số liệu quý'!$Z$5:$Z$701,0)))</f>
        <v>870.0</v>
      </c>
      <c r="K11" s="24">
        <f>IF(INDEX('03 Số liệu quý'!$C$5:$C$701,MATCH(K$4&amp;"|demand_creation_expense",'03 Số liệu quý'!$Z$5:$Z$701,0))="","—",INDEX('03 Số liệu quý'!$C$5:$C$701,MATCH(K$4&amp;"|demand_creation_expense",'03 Số liệu quý'!$Z$5:$Z$701,0)))</f>
        <v>823.0</v>
      </c>
      <c r="L11" s="24">
        <f>IF(INDEX('03 Số liệu quý'!$C$5:$C$701,MATCH(L$4&amp;"|demand_creation_expense",'03 Số liệu quý'!$Z$5:$Z$701,0))="","—",INDEX('03 Số liệu quý'!$C$5:$C$701,MATCH(L$4&amp;"|demand_creation_expense",'03 Số liệu quý'!$Z$5:$Z$701,0)))</f>
        <v>677.0</v>
      </c>
      <c r="M11" s="24">
        <f>IF(INDEX('03 Số liệu quý'!$C$5:$C$701,MATCH(M$4&amp;"|demand_creation_expense",'03 Số liệu quý'!$Z$5:$Z$701,0))="","—",INDEX('03 Số liệu quý'!$C$5:$C$701,MATCH(M$4&amp;"|demand_creation_expense",'03 Số liệu quý'!$Z$5:$Z$701,0)))</f>
        <v>729.0</v>
      </c>
      <c r="N11" s="24">
        <f>IF(INDEX('03 Số liệu quý'!$C$5:$C$701,MATCH(N$4&amp;"|demand_creation_expense",'03 Số liệu quý'!$Z$5:$Z$701,0))="","—",INDEX('03 Số liệu quý'!$C$5:$C$701,MATCH(N$4&amp;"|demand_creation_expense",'03 Số liệu quý'!$Z$5:$Z$701,0)))</f>
        <v>711.0</v>
      </c>
      <c r="O11" s="24">
        <f>IF(INDEX('03 Số liệu quý'!$C$5:$C$701,MATCH(O$4&amp;"|demand_creation_expense",'03 Số liệu quý'!$Z$5:$Z$701,0))="","—",INDEX('03 Số liệu quý'!$C$5:$C$701,MATCH(O$4&amp;"|demand_creation_expense",'03 Số liệu quý'!$Z$5:$Z$701,0)))</f>
        <v>997.0</v>
      </c>
      <c r="P11" s="25" t="s">
        <v>2286</v>
      </c>
    </row>
    <row r="12" spans="1:17">
      <c r="A12" s="23" t="s">
        <v>147</v>
      </c>
      <c r="B12" s="11" t="s">
        <v>142</v>
      </c>
      <c r="C12" s="11" t="s">
        <v>71</v>
      </c>
      <c r="D12" s="24">
        <f>IF(INDEX('03 Số liệu quý'!$C$5:$C$701,MATCH(D$4&amp;"|operating_overhead_expense",'03 Số liệu quý'!$Z$5:$Z$701,0))="","—",INDEX('03 Số liệu quý'!$C$5:$C$701,MATCH(D$4&amp;"|operating_overhead_expense",'03 Số liệu quý'!$Z$5:$Z$701,0)))</f>
        <v>2099.0</v>
      </c>
      <c r="E12" s="24">
        <f>IF(INDEX('03 Số liệu quý'!$C$5:$C$701,MATCH(E$4&amp;"|operating_overhead_expense",'03 Số liệu quý'!$Z$5:$Z$701,0))="","—",INDEX('03 Số liệu quý'!$C$5:$C$701,MATCH(E$4&amp;"|operating_overhead_expense",'03 Số liệu quý'!$Z$5:$Z$701,0)))</f>
        <v>2232.0</v>
      </c>
      <c r="F12" s="24">
        <f>IF(INDEX('03 Số liệu quý'!$C$5:$C$701,MATCH(F$4&amp;"|operating_overhead_expense",'03 Số liệu quý'!$Z$5:$Z$701,0))="","—",INDEX('03 Số liệu quý'!$C$5:$C$701,MATCH(F$4&amp;"|operating_overhead_expense",'03 Số liệu quý'!$Z$5:$Z$701,0)))</f>
        <v>2226.0</v>
      </c>
      <c r="G12" s="24">
        <f>IF(INDEX('03 Số liệu quý'!$C$5:$C$701,MATCH(G$4&amp;"|operating_overhead_expense",'03 Số liệu quý'!$Z$5:$Z$701,0))="","—",INDEX('03 Số liệu quý'!$C$5:$C$701,MATCH(G$4&amp;"|operating_overhead_expense",'03 Số liệu quý'!$Z$5:$Z$701,0)))</f>
        <v>2392.0</v>
      </c>
      <c r="H12" s="24">
        <f>IF(INDEX('03 Số liệu quý'!$C$5:$C$701,MATCH(H$4&amp;"|operating_overhead_expense",'03 Số liệu quý'!$Z$5:$Z$701,0))="","—",INDEX('03 Số liệu quý'!$C$5:$C$701,MATCH(H$4&amp;"|operating_overhead_expense",'03 Số liệu quý'!$Z$5:$Z$701,0)))</f>
        <v>2310.0</v>
      </c>
      <c r="I12" s="24">
        <f>IF(INDEX('03 Số liệu quý'!$C$5:$C$701,MATCH(I$4&amp;"|operating_overhead_expense",'03 Số liệu quý'!$Z$5:$Z$701,0))="","—",INDEX('03 Số liệu quý'!$C$5:$C$701,MATCH(I$4&amp;"|operating_overhead_expense",'03 Số liệu quý'!$Z$5:$Z$701,0)))</f>
        <v>2443.0</v>
      </c>
      <c r="J12" s="24">
        <f>IF(INDEX('03 Số liệu quý'!$C$5:$C$701,MATCH(J$4&amp;"|operating_overhead_expense",'03 Số liệu quý'!$Z$5:$Z$701,0))="","—",INDEX('03 Số liệu quý'!$C$5:$C$701,MATCH(J$4&amp;"|operating_overhead_expense",'03 Số liệu quý'!$Z$5:$Z$701,0)))</f>
        <v>2413.0</v>
      </c>
      <c r="K12" s="24">
        <f>IF(INDEX('03 Số liệu quý'!$C$5:$C$701,MATCH(K$4&amp;"|operating_overhead_expense",'03 Số liệu quý'!$Z$5:$Z$701,0))="","—",INDEX('03 Số liệu quý'!$C$5:$C$701,MATCH(K$4&amp;"|operating_overhead_expense",'03 Số liệu quý'!$Z$5:$Z$701,0)))</f>
        <v>2368.0</v>
      </c>
      <c r="L12" s="24">
        <f>IF(INDEX('03 Số liệu quý'!$C$5:$C$701,MATCH(L$4&amp;"|operating_overhead_expense",'03 Số liệu quý'!$Z$5:$Z$701,0))="","—",INDEX('03 Số liệu quý'!$C$5:$C$701,MATCH(L$4&amp;"|operating_overhead_expense",'03 Số liệu quý'!$Z$5:$Z$701,0)))</f>
        <v>2298.0</v>
      </c>
      <c r="M12" s="24">
        <f>IF(INDEX('03 Số liệu quý'!$C$5:$C$701,MATCH(M$4&amp;"|operating_overhead_expense",'03 Số liệu quý'!$Z$5:$Z$701,0))="","—",INDEX('03 Số liệu quý'!$C$5:$C$701,MATCH(M$4&amp;"|operating_overhead_expense",'03 Số liệu quý'!$Z$5:$Z$701,0)))</f>
        <v>2538.0</v>
      </c>
      <c r="N12" s="24">
        <f>IF(INDEX('03 Số liệu quý'!$C$5:$C$701,MATCH(N$4&amp;"|operating_overhead_expense",'03 Số liệu quý'!$Z$5:$Z$701,0))="","—",INDEX('03 Số liệu quý'!$C$5:$C$701,MATCH(N$4&amp;"|operating_overhead_expense",'03 Số liệu quý'!$Z$5:$Z$701,0)))</f>
        <v>2330.0</v>
      </c>
      <c r="O12" s="24">
        <f>IF(INDEX('03 Số liệu quý'!$C$5:$C$701,MATCH(O$4&amp;"|operating_overhead_expense",'03 Số liệu quý'!$Z$5:$Z$701,0))="","—",INDEX('03 Số liệu quý'!$C$5:$C$701,MATCH(O$4&amp;"|operating_overhead_expense",'03 Số liệu quý'!$Z$5:$Z$701,0)))</f>
        <v>2745.0</v>
      </c>
      <c r="P12" s="25" t="s">
        <v>2287</v>
      </c>
    </row>
    <row r="13" spans="1:17">
      <c r="A13" s="23" t="s">
        <v>158</v>
      </c>
      <c r="B13" s="11" t="s">
        <v>153</v>
      </c>
      <c r="C13" s="11" t="s">
        <v>71</v>
      </c>
      <c r="D13" s="24">
        <f>IF(INDEX('03 Số liệu quý'!$C$5:$C$701,MATCH(D$4&amp;"|total_selling_admin_expense",'03 Số liệu quý'!$Z$5:$Z$701,0))="","—",INDEX('03 Số liệu quý'!$C$5:$C$701,MATCH(D$4&amp;"|total_selling_admin_expense",'03 Số liệu quý'!$Z$5:$Z$701,0)))</f>
        <v>3063.0</v>
      </c>
      <c r="E13" s="24">
        <f>IF(INDEX('03 Số liệu quý'!$C$5:$C$701,MATCH(E$4&amp;"|total_selling_admin_expense",'03 Số liệu quý'!$Z$5:$Z$701,0))="","—",INDEX('03 Số liệu quý'!$C$5:$C$701,MATCH(E$4&amp;"|total_selling_admin_expense",'03 Số liệu quý'!$Z$5:$Z$701,0)))</f>
        <v>3142.0</v>
      </c>
      <c r="F13" s="24">
        <f>IF(INDEX('03 Số liệu quý'!$C$5:$C$701,MATCH(F$4&amp;"|total_selling_admin_expense",'03 Số liệu quý'!$Z$5:$Z$701,0))="","—",INDEX('03 Số liệu quý'!$C$5:$C$701,MATCH(F$4&amp;"|total_selling_admin_expense",'03 Số liệu quý'!$Z$5:$Z$701,0)))</f>
        <v>3091.0</v>
      </c>
      <c r="G13" s="24">
        <f>IF(INDEX('03 Số liệu quý'!$C$5:$C$701,MATCH(G$4&amp;"|total_selling_admin_expense",'03 Số liệu quý'!$Z$5:$Z$701,0))="","—",INDEX('03 Số liệu quý'!$C$5:$C$701,MATCH(G$4&amp;"|total_selling_admin_expense",'03 Số liệu quý'!$Z$5:$Z$701,0)))</f>
        <v>3406.0</v>
      </c>
      <c r="H13" s="24">
        <f>IF(INDEX('03 Số liệu quý'!$C$5:$C$701,MATCH(H$4&amp;"|total_selling_admin_expense",'03 Số liệu quý'!$Z$5:$Z$701,0))="","—",INDEX('03 Số liệu quý'!$C$5:$C$701,MATCH(H$4&amp;"|total_selling_admin_expense",'03 Số liệu quý'!$Z$5:$Z$701,0)))</f>
        <v>3328.0</v>
      </c>
      <c r="I13" s="24">
        <f>IF(INDEX('03 Số liệu quý'!$C$5:$C$701,MATCH(I$4&amp;"|total_selling_admin_expense",'03 Số liệu quý'!$Z$5:$Z$701,0))="","—",INDEX('03 Số liệu quý'!$C$5:$C$701,MATCH(I$4&amp;"|total_selling_admin_expense",'03 Số liệu quý'!$Z$5:$Z$701,0)))</f>
        <v>3324.0</v>
      </c>
      <c r="J13" s="24">
        <f>IF(INDEX('03 Số liệu quý'!$C$5:$C$701,MATCH(J$4&amp;"|total_selling_admin_expense",'03 Số liệu quý'!$Z$5:$Z$701,0))="","—",INDEX('03 Số liệu quý'!$C$5:$C$701,MATCH(J$4&amp;"|total_selling_admin_expense",'03 Số liệu quý'!$Z$5:$Z$701,0)))</f>
        <v>3283.0</v>
      </c>
      <c r="K13" s="24">
        <f>IF(INDEX('03 Số liệu quý'!$C$5:$C$701,MATCH(K$4&amp;"|total_selling_admin_expense",'03 Số liệu quý'!$Z$5:$Z$701,0))="","—",INDEX('03 Số liệu quý'!$C$5:$C$701,MATCH(K$4&amp;"|total_selling_admin_expense",'03 Số liệu quý'!$Z$5:$Z$701,0)))</f>
        <v>3191.0</v>
      </c>
      <c r="L13" s="24">
        <f>IF(INDEX('03 Số liệu quý'!$C$5:$C$701,MATCH(L$4&amp;"|total_selling_admin_expense",'03 Số liệu quý'!$Z$5:$Z$701,0))="","—",INDEX('03 Số liệu quý'!$C$5:$C$701,MATCH(L$4&amp;"|total_selling_admin_expense",'03 Số liệu quý'!$Z$5:$Z$701,0)))</f>
        <v>2975.0</v>
      </c>
      <c r="M13" s="24">
        <f>IF(INDEX('03 Số liệu quý'!$C$5:$C$701,MATCH(M$4&amp;"|total_selling_admin_expense",'03 Số liệu quý'!$Z$5:$Z$701,0))="","—",INDEX('03 Số liệu quý'!$C$5:$C$701,MATCH(M$4&amp;"|total_selling_admin_expense",'03 Số liệu quý'!$Z$5:$Z$701,0)))</f>
        <v>3267.0</v>
      </c>
      <c r="N13" s="24">
        <f>IF(INDEX('03 Số liệu quý'!$C$5:$C$701,MATCH(N$4&amp;"|total_selling_admin_expense",'03 Số liệu quý'!$Z$5:$Z$701,0))="","—",INDEX('03 Số liệu quý'!$C$5:$C$701,MATCH(N$4&amp;"|total_selling_admin_expense",'03 Số liệu quý'!$Z$5:$Z$701,0)))</f>
        <v>3041.0</v>
      </c>
      <c r="O13" s="24">
        <f>IF(INDEX('03 Số liệu quý'!$C$5:$C$701,MATCH(O$4&amp;"|total_selling_admin_expense",'03 Số liệu quý'!$Z$5:$Z$701,0))="","—",INDEX('03 Số liệu quý'!$C$5:$C$701,MATCH(O$4&amp;"|total_selling_admin_expense",'03 Số liệu quý'!$Z$5:$Z$701,0)))</f>
        <v>3742.0</v>
      </c>
      <c r="P13" s="25" t="s">
        <v>2288</v>
      </c>
    </row>
    <row r="14" spans="1:17">
      <c r="A14" s="23" t="s">
        <v>169</v>
      </c>
      <c r="B14" s="11" t="s">
        <v>164</v>
      </c>
      <c r="C14" s="11" t="s">
        <v>71</v>
      </c>
      <c r="D14" s="24">
        <f>IF(INDEX('03 Số liệu quý'!$C$5:$C$701,MATCH(D$4&amp;"|interest_expense_net",'03 Số liệu quý'!$Z$5:$Z$701,0))="","—",INDEX('03 Số liệu quý'!$C$5:$C$701,MATCH(D$4&amp;"|interest_expense_net",'03 Số liệu quý'!$Z$5:$Z$701,0)))</f>
        <v>11.0</v>
      </c>
      <c r="E14" s="24">
        <f>IF(INDEX('03 Số liệu quý'!$C$5:$C$701,MATCH(E$4&amp;"|interest_expense_net",'03 Số liệu quý'!$Z$5:$Z$701,0))="","—",INDEX('03 Số liệu quý'!$C$5:$C$701,MATCH(E$4&amp;"|interest_expense_net",'03 Số liệu quý'!$Z$5:$Z$701,0)))</f>
        <v>14.0</v>
      </c>
      <c r="F14" s="24">
        <f>IF(INDEX('03 Số liệu quý'!$C$5:$C$701,MATCH(F$4&amp;"|interest_expense_net",'03 Số liệu quý'!$Z$5:$Z$701,0))="","—",INDEX('03 Số liệu quý'!$C$5:$C$701,MATCH(F$4&amp;"|interest_expense_net",'03 Số liệu quý'!$Z$5:$Z$701,0)))</f>
        <v>12.0</v>
      </c>
      <c r="G14" s="24">
        <f>IF(INDEX('03 Số liệu quý'!$C$5:$C$701,MATCH(G$4&amp;"|interest_expense_net",'03 Số liệu quý'!$Z$5:$Z$701,0))="","—",INDEX('03 Số liệu quý'!$C$5:$C$701,MATCH(G$4&amp;"|interest_expense_net",'03 Số liệu quý'!$Z$5:$Z$701,0)))</f>
        <v>12.0</v>
      </c>
      <c r="H14" s="24">
        <f>IF(INDEX('03 Số liệu quý'!$C$5:$C$701,MATCH(H$4&amp;"|interest_expense_net",'03 Số liệu quý'!$Z$5:$Z$701,0))="","—",INDEX('03 Số liệu quý'!$C$5:$C$701,MATCH(H$4&amp;"|interest_expense_net",'03 Số liệu quý'!$Z$5:$Z$701,0)))</f>
        <v>15.0</v>
      </c>
      <c r="I14" s="24">
        <f>IF(INDEX('03 Số liệu quý'!$C$5:$C$701,MATCH(I$4&amp;"|interest_expense_net",'03 Số liệu quý'!$Z$5:$Z$701,0))="","—",INDEX('03 Số liệu quý'!$C$5:$C$701,MATCH(I$4&amp;"|interest_expense_net",'03 Số liệu quý'!$Z$5:$Z$701,0)))</f>
        <v>12.0</v>
      </c>
      <c r="J14" s="24">
        <f>IF(INDEX('03 Số liệu quý'!$C$5:$C$701,MATCH(J$4&amp;"|interest_expense_net",'03 Số liệu quý'!$Z$5:$Z$701,0))="","—",INDEX('03 Số liệu quý'!$C$5:$C$701,MATCH(J$4&amp;"|interest_expense_net",'03 Số liệu quý'!$Z$5:$Z$701,0)))</f>
        <v>12.0</v>
      </c>
      <c r="K14" s="24">
        <f>IF(INDEX('03 Số liệu quý'!$C$5:$C$701,MATCH(K$4&amp;"|interest_expense_net",'03 Số liệu quý'!$Z$5:$Z$701,0))="","—",INDEX('03 Số liệu quý'!$C$5:$C$701,MATCH(K$4&amp;"|interest_expense_net",'03 Số liệu quý'!$Z$5:$Z$701,0)))</f>
        <v>50.0</v>
      </c>
      <c r="L14" s="24">
        <f>IF(INDEX('03 Số liệu quý'!$C$5:$C$701,MATCH(L$4&amp;"|interest_expense_net",'03 Số liệu quý'!$Z$5:$Z$701,0))="","—",INDEX('03 Số liệu quý'!$C$5:$C$701,MATCH(L$4&amp;"|interest_expense_net",'03 Số liệu quý'!$Z$5:$Z$701,0)))</f>
        <v>65.0</v>
      </c>
      <c r="M14" s="24">
        <f>IF(INDEX('03 Số liệu quý'!$C$5:$C$701,MATCH(M$4&amp;"|interest_expense_net",'03 Số liệu quý'!$Z$5:$Z$701,0))="","—",INDEX('03 Số liệu quý'!$C$5:$C$701,MATCH(M$4&amp;"|interest_expense_net",'03 Số liệu quý'!$Z$5:$Z$701,0)))</f>
        <v>70.0</v>
      </c>
      <c r="N14" s="24">
        <f>IF(INDEX('03 Số liệu quý'!$C$5:$C$701,MATCH(N$4&amp;"|interest_expense_net",'03 Số liệu quý'!$Z$5:$Z$701,0))="","—",INDEX('03 Số liệu quý'!$C$5:$C$701,MATCH(N$4&amp;"|interest_expense_net",'03 Số liệu quý'!$Z$5:$Z$701,0)))</f>
        <v>64.0</v>
      </c>
      <c r="O14" s="24">
        <f>IF(INDEX('03 Số liệu quý'!$C$5:$C$701,MATCH(O$4&amp;"|interest_expense_net",'03 Số liệu quý'!$Z$5:$Z$701,0))="","—",INDEX('03 Số liệu quý'!$C$5:$C$701,MATCH(O$4&amp;"|interest_expense_net",'03 Số liệu quý'!$Z$5:$Z$701,0)))</f>
        <v>63.0</v>
      </c>
      <c r="P14" s="25" t="s">
        <v>2289</v>
      </c>
    </row>
    <row r="15" spans="1:17">
      <c r="A15" s="23" t="s">
        <v>180</v>
      </c>
      <c r="B15" s="11" t="s">
        <v>175</v>
      </c>
      <c r="C15" s="11" t="s">
        <v>71</v>
      </c>
      <c r="D15" s="24">
        <f>IF(INDEX('03 Số liệu quý'!$C$5:$C$701,MATCH(D$4&amp;"|other_expense_net",'03 Số liệu quý'!$Z$5:$Z$701,0))="","—",INDEX('03 Số liệu quý'!$C$5:$C$701,MATCH(D$4&amp;"|other_expense_net",'03 Số liệu quý'!$Z$5:$Z$701,0)))</f>
        <v>53.0</v>
      </c>
      <c r="E15" s="24">
        <f>IF(INDEX('03 Số liệu quý'!$C$5:$C$701,MATCH(E$4&amp;"|other_expense_net",'03 Số liệu quý'!$Z$5:$Z$701,0))="","—",INDEX('03 Số liệu quý'!$C$5:$C$701,MATCH(E$4&amp;"|other_expense_net",'03 Số liệu quý'!$Z$5:$Z$701,0)))</f>
        <v>-48.0</v>
      </c>
      <c r="F15" s="24">
        <f>IF(INDEX('03 Số liệu quý'!$C$5:$C$701,MATCH(F$4&amp;"|other_expense_net",'03 Số liệu quý'!$Z$5:$Z$701,0))="","—",INDEX('03 Số liệu quý'!$C$5:$C$701,MATCH(F$4&amp;"|other_expense_net",'03 Số liệu quý'!$Z$5:$Z$701,0)))</f>
        <v>-55.0</v>
      </c>
      <c r="G15" s="24">
        <f>IF(INDEX('03 Số liệu quý'!$C$5:$C$701,MATCH(G$4&amp;"|other_expense_net",'03 Số liệu quý'!$Z$5:$Z$701,0))="","—",INDEX('03 Số liệu quý'!$C$5:$C$701,MATCH(G$4&amp;"|other_expense_net",'03 Số liệu quý'!$Z$5:$Z$701,0)))</f>
        <v>-28.0</v>
      </c>
      <c r="H15" s="24">
        <f>IF(INDEX('03 Số liệu quý'!$C$5:$C$701,MATCH(H$4&amp;"|other_expense_net",'03 Số liệu quý'!$Z$5:$Z$701,0))="","—",INDEX('03 Số liệu quý'!$C$5:$C$701,MATCH(H$4&amp;"|other_expense_net",'03 Số liệu quý'!$Z$5:$Z$701,0)))</f>
        <v>-33.0</v>
      </c>
      <c r="I15" s="24">
        <f>IF(INDEX('03 Số liệu quý'!$C$5:$C$701,MATCH(I$4&amp;"|other_expense_net",'03 Số liệu quý'!$Z$5:$Z$701,0))="","—",INDEX('03 Số liệu quý'!$C$5:$C$701,MATCH(I$4&amp;"|other_expense_net",'03 Số liệu quý'!$Z$5:$Z$701,0)))</f>
        <v>-41.0</v>
      </c>
      <c r="J15" s="24">
        <f>IF(INDEX('03 Số liệu quý'!$C$5:$C$701,MATCH(J$4&amp;"|other_expense_net",'03 Số liệu quý'!$Z$5:$Z$701,0))="","—",INDEX('03 Số liệu quý'!$C$5:$C$701,MATCH(J$4&amp;"|other_expense_net",'03 Số liệu quý'!$Z$5:$Z$701,0)))</f>
        <v>297.0</v>
      </c>
      <c r="K15" s="24">
        <f>IF(INDEX('03 Số liệu quý'!$C$5:$C$701,MATCH(K$4&amp;"|other_expense_net",'03 Số liệu quý'!$Z$5:$Z$701,0))="","—",INDEX('03 Số liệu quý'!$C$5:$C$701,MATCH(K$4&amp;"|other_expense_net",'03 Số liệu quý'!$Z$5:$Z$701,0)))</f>
        <v>-84.0</v>
      </c>
      <c r="L15" s="24">
        <f>IF(INDEX('03 Số liệu quý'!$C$5:$C$701,MATCH(L$4&amp;"|other_expense_net",'03 Số liệu quý'!$Z$5:$Z$701,0))="","—",INDEX('03 Số liệu quý'!$C$5:$C$701,MATCH(L$4&amp;"|other_expense_net",'03 Số liệu quý'!$Z$5:$Z$701,0)))</f>
        <v>-14.0</v>
      </c>
      <c r="M15" s="24">
        <f>IF(INDEX('03 Số liệu quý'!$C$5:$C$701,MATCH(M$4&amp;"|other_expense_net",'03 Số liệu quý'!$Z$5:$Z$701,0))="","—",INDEX('03 Số liệu quý'!$C$5:$C$701,MATCH(M$4&amp;"|other_expense_net",'03 Số liệu quý'!$Z$5:$Z$701,0)))</f>
        <v>54.0</v>
      </c>
      <c r="N15" s="24">
        <f>IF(INDEX('03 Số liệu quý'!$C$5:$C$701,MATCH(N$4&amp;"|other_expense_net",'03 Số liệu quý'!$Z$5:$Z$701,0))="","—",INDEX('03 Số liệu quý'!$C$5:$C$701,MATCH(N$4&amp;"|other_expense_net",'03 Số liệu quý'!$Z$5:$Z$701,0)))</f>
        <v>-22.0</v>
      </c>
      <c r="O15" s="24">
        <f>IF(INDEX('03 Số liệu quý'!$C$5:$C$701,MATCH(O$4&amp;"|other_expense_net",'03 Số liệu quý'!$Z$5:$Z$701,0))="","—",INDEX('03 Số liệu quý'!$C$5:$C$701,MATCH(O$4&amp;"|other_expense_net",'03 Số liệu quý'!$Z$5:$Z$701,0)))</f>
        <v>-4.0</v>
      </c>
      <c r="P15" s="25" t="s">
        <v>2290</v>
      </c>
    </row>
    <row r="16" spans="1:17">
      <c r="A16" s="23" t="s">
        <v>191</v>
      </c>
      <c r="B16" s="11" t="s">
        <v>186</v>
      </c>
      <c r="C16" s="11" t="s">
        <v>71</v>
      </c>
      <c r="D16" s="24">
        <f>IF(INDEX('03 Số liệu quý'!$C$5:$C$701,MATCH(D$4&amp;"|income_before_taxes",'03 Số liệu quý'!$Z$5:$Z$701,0))="","—",INDEX('03 Số liệu quý'!$C$5:$C$701,MATCH(D$4&amp;"|income_before_taxes",'03 Số liệu quý'!$Z$5:$Z$701,0)))</f>
        <v>1270.0</v>
      </c>
      <c r="E16" s="24">
        <f>IF(INDEX('03 Số liệu quý'!$C$5:$C$701,MATCH(E$4&amp;"|income_before_taxes",'03 Số liệu quý'!$Z$5:$Z$701,0))="","—",INDEX('03 Số liệu quý'!$C$5:$C$701,MATCH(E$4&amp;"|income_before_taxes",'03 Số liệu quý'!$Z$5:$Z$701,0)))</f>
        <v>997.0</v>
      </c>
      <c r="F16" s="24">
        <f>IF(INDEX('03 Số liệu quý'!$C$5:$C$701,MATCH(F$4&amp;"|income_before_taxes",'03 Số liệu quý'!$Z$5:$Z$701,0))="","—",INDEX('03 Số liệu quý'!$C$5:$C$701,MATCH(F$4&amp;"|income_before_taxes",'03 Số liệu quý'!$Z$5:$Z$701,0)))</f>
        <v>1291.0</v>
      </c>
      <c r="G16" s="24">
        <f>IF(INDEX('03 Số liệu quý'!$C$5:$C$701,MATCH(G$4&amp;"|income_before_taxes",'03 Số liệu quý'!$Z$5:$Z$701,0))="","—",INDEX('03 Số liệu quý'!$C$5:$C$701,MATCH(G$4&amp;"|income_before_taxes",'03 Số liệu quý'!$Z$5:$Z$701,0)))</f>
        <v>1243.0</v>
      </c>
      <c r="H16" s="24">
        <f>IF(INDEX('03 Số liệu quý'!$C$5:$C$701,MATCH(H$4&amp;"|income_before_taxes",'03 Số liệu quý'!$Z$5:$Z$701,0))="","—",INDEX('03 Số liệu quý'!$C$5:$C$701,MATCH(H$4&amp;"|income_before_taxes",'03 Số liệu quý'!$Z$5:$Z$701,0)))</f>
        <v>1561.0</v>
      </c>
      <c r="I16" s="24">
        <f>IF(INDEX('03 Số liệu quý'!$C$5:$C$701,MATCH(I$4&amp;"|income_before_taxes",'03 Số liệu quý'!$Z$5:$Z$701,0))="","—",INDEX('03 Số liệu quý'!$C$5:$C$701,MATCH(I$4&amp;"|income_before_taxes",'03 Số liệu quý'!$Z$5:$Z$701,0)))</f>
        <v>1249.0</v>
      </c>
      <c r="J16" s="24">
        <f>IF(INDEX('03 Số liệu quý'!$C$5:$C$701,MATCH(J$4&amp;"|income_before_taxes",'03 Số liệu quý'!$Z$5:$Z$701,0))="","—",INDEX('03 Số liệu quý'!$C$5:$C$701,MATCH(J$4&amp;"|income_before_taxes",'03 Số liệu quý'!$Z$5:$Z$701,0)))</f>
        <v>881.0</v>
      </c>
      <c r="K16" s="24">
        <f>IF(INDEX('03 Số liệu quý'!$C$5:$C$701,MATCH(K$4&amp;"|income_before_taxes",'03 Số liệu quý'!$Z$5:$Z$701,0))="","—",INDEX('03 Số liệu quý'!$C$5:$C$701,MATCH(K$4&amp;"|income_before_taxes",'03 Số liệu quý'!$Z$5:$Z$701,0)))</f>
        <v>-804.0</v>
      </c>
      <c r="L16" s="24">
        <f>IF(INDEX('03 Số liệu quý'!$C$5:$C$701,MATCH(L$4&amp;"|income_before_taxes",'03 Số liệu quý'!$Z$5:$Z$701,0))="","—",INDEX('03 Số liệu quý'!$C$5:$C$701,MATCH(L$4&amp;"|income_before_taxes",'03 Số liệu quý'!$Z$5:$Z$701,0)))</f>
        <v>1715.0</v>
      </c>
      <c r="M16" s="24">
        <f>IF(INDEX('03 Số liệu quý'!$C$5:$C$701,MATCH(M$4&amp;"|income_before_taxes",'03 Số liệu quý'!$Z$5:$Z$701,0))="","—",INDEX('03 Số liệu quý'!$C$5:$C$701,MATCH(M$4&amp;"|income_before_taxes",'03 Số liệu quý'!$Z$5:$Z$701,0)))</f>
        <v>1456.0</v>
      </c>
      <c r="N16" s="24">
        <f>IF(INDEX('03 Số liệu quý'!$C$5:$C$701,MATCH(N$4&amp;"|income_before_taxes",'03 Số liệu quý'!$Z$5:$Z$701,0))="","—",INDEX('03 Số liệu quý'!$C$5:$C$701,MATCH(N$4&amp;"|income_before_taxes",'03 Số liệu quý'!$Z$5:$Z$701,0)))</f>
        <v>1636.0</v>
      </c>
      <c r="O16" s="24">
        <f>IF(INDEX('03 Số liệu quý'!$C$5:$C$701,MATCH(O$4&amp;"|income_before_taxes",'03 Số liệu quý'!$Z$5:$Z$701,0))="","—",INDEX('03 Số liệu quý'!$C$5:$C$701,MATCH(O$4&amp;"|income_before_taxes",'03 Số liệu quý'!$Z$5:$Z$701,0)))</f>
        <v>1854.0</v>
      </c>
      <c r="P16" s="25" t="s">
        <v>2291</v>
      </c>
    </row>
    <row r="17" spans="1:16">
      <c r="A17" s="23" t="s">
        <v>202</v>
      </c>
      <c r="B17" s="11" t="s">
        <v>197</v>
      </c>
      <c r="C17" s="11" t="s">
        <v>71</v>
      </c>
      <c r="D17" s="24">
        <f>IF(INDEX('03 Số liệu quý'!$C$5:$C$701,MATCH(D$4&amp;"|income_tax_expense",'03 Số liệu quý'!$Z$5:$Z$701,0))="","—",INDEX('03 Số liệu quý'!$C$5:$C$701,MATCH(D$4&amp;"|income_tax_expense",'03 Số liệu quý'!$Z$5:$Z$701,0)))</f>
        <v>178.0</v>
      </c>
      <c r="E17" s="24">
        <f>IF(INDEX('03 Số liệu quý'!$C$5:$C$701,MATCH(E$4&amp;"|income_tax_expense",'03 Số liệu quý'!$Z$5:$Z$701,0))="","—",INDEX('03 Số liệu quý'!$C$5:$C$701,MATCH(E$4&amp;"|income_tax_expense",'03 Số liệu quý'!$Z$5:$Z$701,0)))</f>
        <v>150.0</v>
      </c>
      <c r="F17" s="24">
        <f>IF(INDEX('03 Số liệu quý'!$C$5:$C$701,MATCH(F$4&amp;"|income_tax_expense",'03 Số liệu quý'!$Z$5:$Z$701,0))="","—",INDEX('03 Số liệu quý'!$C$5:$C$701,MATCH(F$4&amp;"|income_tax_expense",'03 Số liệu quý'!$Z$5:$Z$701,0)))</f>
        <v>190.0</v>
      </c>
      <c r="G17" s="24">
        <f>IF(INDEX('03 Số liệu quý'!$C$5:$C$701,MATCH(G$4&amp;"|income_tax_expense",'03 Số liệu quý'!$Z$5:$Z$701,0))="","—",INDEX('03 Số liệu quý'!$C$5:$C$701,MATCH(G$4&amp;"|income_tax_expense",'03 Số liệu quý'!$Z$5:$Z$701,0)))</f>
        <v>254.0</v>
      </c>
      <c r="H17" s="24">
        <f>IF(INDEX('03 Số liệu quý'!$C$5:$C$701,MATCH(H$4&amp;"|income_tax_expense",'03 Số liệu quý'!$Z$5:$Z$701,0))="","—",INDEX('03 Số liệu quý'!$C$5:$C$701,MATCH(H$4&amp;"|income_tax_expense",'03 Số liệu quý'!$Z$5:$Z$701,0)))</f>
        <v>194.0</v>
      </c>
      <c r="I17" s="24">
        <f>IF(INDEX('03 Số liệu quý'!$C$5:$C$701,MATCH(I$4&amp;"|income_tax_expense",'03 Số liệu quý'!$Z$5:$Z$701,0))="","—",INDEX('03 Số liệu quý'!$C$5:$C$701,MATCH(I$4&amp;"|income_tax_expense",'03 Số liệu quý'!$Z$5:$Z$701,0)))</f>
        <v>134.0</v>
      </c>
      <c r="J17" s="24">
        <f>IF(INDEX('03 Số liệu quý'!$C$5:$C$701,MATCH(J$4&amp;"|income_tax_expense",'03 Số liệu quý'!$Z$5:$Z$701,0))="","—",INDEX('03 Số liệu quý'!$C$5:$C$701,MATCH(J$4&amp;"|income_tax_expense",'03 Số liệu quý'!$Z$5:$Z$701,0)))</f>
        <v>34.0</v>
      </c>
      <c r="K17" s="24">
        <f>IF(INDEX('03 Số liệu quý'!$C$5:$C$701,MATCH(K$4&amp;"|income_tax_expense",'03 Số liệu quý'!$Z$5:$Z$701,0))="","—",INDEX('03 Số liệu quý'!$C$5:$C$701,MATCH(K$4&amp;"|income_tax_expense",'03 Số liệu quý'!$Z$5:$Z$701,0)))</f>
        <v>-14.0</v>
      </c>
      <c r="L17" s="24">
        <f>IF(INDEX('03 Số liệu quý'!$C$5:$C$701,MATCH(L$4&amp;"|income_tax_expense",'03 Số liệu quý'!$Z$5:$Z$701,0))="","—",INDEX('03 Số liệu quý'!$C$5:$C$701,MATCH(L$4&amp;"|income_tax_expense",'03 Số liệu quý'!$Z$5:$Z$701,0)))</f>
        <v>197.0</v>
      </c>
      <c r="M17" s="24">
        <f>IF(INDEX('03 Số liệu quý'!$C$5:$C$701,MATCH(M$4&amp;"|income_tax_expense",'03 Số liệu quý'!$Z$5:$Z$701,0))="","—",INDEX('03 Số liệu quý'!$C$5:$C$701,MATCH(M$4&amp;"|income_tax_expense",'03 Số liệu quý'!$Z$5:$Z$701,0)))</f>
        <v>205.0</v>
      </c>
      <c r="N17" s="24">
        <f>IF(INDEX('03 Số liệu quý'!$C$5:$C$701,MATCH(N$4&amp;"|income_tax_expense",'03 Số liệu quý'!$Z$5:$Z$701,0))="","—",INDEX('03 Số liệu quý'!$C$5:$C$701,MATCH(N$4&amp;"|income_tax_expense",'03 Số liệu quý'!$Z$5:$Z$701,0)))</f>
        <v>187.0</v>
      </c>
      <c r="O17" s="24">
        <f>IF(INDEX('03 Số liệu quý'!$C$5:$C$701,MATCH(O$4&amp;"|income_tax_expense",'03 Số liệu quý'!$Z$5:$Z$701,0))="","—",INDEX('03 Số liệu quý'!$C$5:$C$701,MATCH(O$4&amp;"|income_tax_expense",'03 Số liệu quý'!$Z$5:$Z$701,0)))</f>
        <v>345.0</v>
      </c>
      <c r="P17" s="25" t="s">
        <v>2292</v>
      </c>
    </row>
    <row r="18" spans="1:16">
      <c r="A18" s="23" t="s">
        <v>213</v>
      </c>
      <c r="B18" s="11" t="s">
        <v>208</v>
      </c>
      <c r="C18" s="11" t="s">
        <v>71</v>
      </c>
      <c r="D18" s="24">
        <f>IF(INDEX('03 Số liệu quý'!$C$5:$C$701,MATCH(D$4&amp;"|net_income",'03 Số liệu quý'!$Z$5:$Z$701,0))="","—",INDEX('03 Số liệu quý'!$C$5:$C$701,MATCH(D$4&amp;"|net_income",'03 Số liệu quý'!$Z$5:$Z$701,0)))</f>
        <v>1092.0</v>
      </c>
      <c r="E18" s="24">
        <f>IF(INDEX('03 Số liệu quý'!$C$5:$C$701,MATCH(E$4&amp;"|net_income",'03 Số liệu quý'!$Z$5:$Z$701,0))="","—",INDEX('03 Số liệu quý'!$C$5:$C$701,MATCH(E$4&amp;"|net_income",'03 Số liệu quý'!$Z$5:$Z$701,0)))</f>
        <v>847.0</v>
      </c>
      <c r="F18" s="24">
        <f>IF(INDEX('03 Số liệu quý'!$C$5:$C$701,MATCH(F$4&amp;"|net_income",'03 Số liệu quý'!$Z$5:$Z$701,0))="","—",INDEX('03 Số liệu quý'!$C$5:$C$701,MATCH(F$4&amp;"|net_income",'03 Số liệu quý'!$Z$5:$Z$701,0)))</f>
        <v>1101.0</v>
      </c>
      <c r="G18" s="24">
        <f>IF(INDEX('03 Số liệu quý'!$C$5:$C$701,MATCH(G$4&amp;"|net_income",'03 Số liệu quý'!$Z$5:$Z$701,0))="","—",INDEX('03 Số liệu quý'!$C$5:$C$701,MATCH(G$4&amp;"|net_income",'03 Số liệu quý'!$Z$5:$Z$701,0)))</f>
        <v>989.0</v>
      </c>
      <c r="H18" s="24">
        <f>IF(INDEX('03 Số liệu quý'!$C$5:$C$701,MATCH(H$4&amp;"|net_income",'03 Số liệu quý'!$Z$5:$Z$701,0))="","—",INDEX('03 Số liệu quý'!$C$5:$C$701,MATCH(H$4&amp;"|net_income",'03 Số liệu quý'!$Z$5:$Z$701,0)))</f>
        <v>1367.0</v>
      </c>
      <c r="I18" s="24">
        <f>IF(INDEX('03 Số liệu quý'!$C$5:$C$701,MATCH(I$4&amp;"|net_income",'03 Số liệu quý'!$Z$5:$Z$701,0))="","—",INDEX('03 Số liệu quý'!$C$5:$C$701,MATCH(I$4&amp;"|net_income",'03 Số liệu quý'!$Z$5:$Z$701,0)))</f>
        <v>1115.0</v>
      </c>
      <c r="J18" s="24">
        <f>IF(INDEX('03 Số liệu quý'!$C$5:$C$701,MATCH(J$4&amp;"|net_income",'03 Số liệu quý'!$Z$5:$Z$701,0))="","—",INDEX('03 Số liệu quý'!$C$5:$C$701,MATCH(J$4&amp;"|net_income",'03 Số liệu quý'!$Z$5:$Z$701,0)))</f>
        <v>847.0</v>
      </c>
      <c r="K18" s="24">
        <f>IF(INDEX('03 Số liệu quý'!$C$5:$C$701,MATCH(K$4&amp;"|net_income",'03 Số liệu quý'!$Z$5:$Z$701,0))="","—",INDEX('03 Số liệu quý'!$C$5:$C$701,MATCH(K$4&amp;"|net_income",'03 Số liệu quý'!$Z$5:$Z$701,0)))</f>
        <v>-790.0</v>
      </c>
      <c r="L18" s="24">
        <f>IF(INDEX('03 Số liệu quý'!$C$5:$C$701,MATCH(L$4&amp;"|net_income",'03 Số liệu quý'!$Z$5:$Z$701,0))="","—",INDEX('03 Số liệu quý'!$C$5:$C$701,MATCH(L$4&amp;"|net_income",'03 Số liệu quý'!$Z$5:$Z$701,0)))</f>
        <v>1518.0</v>
      </c>
      <c r="M18" s="24">
        <f>IF(INDEX('03 Số liệu quý'!$C$5:$C$701,MATCH(M$4&amp;"|net_income",'03 Số liệu quý'!$Z$5:$Z$701,0))="","—",INDEX('03 Số liệu quý'!$C$5:$C$701,MATCH(M$4&amp;"|net_income",'03 Số liệu quý'!$Z$5:$Z$701,0)))</f>
        <v>1251.0</v>
      </c>
      <c r="N18" s="24">
        <f>IF(INDEX('03 Số liệu quý'!$C$5:$C$701,MATCH(N$4&amp;"|net_income",'03 Số liệu quý'!$Z$5:$Z$701,0))="","—",INDEX('03 Số liệu quý'!$C$5:$C$701,MATCH(N$4&amp;"|net_income",'03 Số liệu quý'!$Z$5:$Z$701,0)))</f>
        <v>1449.0</v>
      </c>
      <c r="O18" s="24">
        <f>IF(INDEX('03 Số liệu quý'!$C$5:$C$701,MATCH(O$4&amp;"|net_income",'03 Số liệu quý'!$Z$5:$Z$701,0))="","—",INDEX('03 Số liệu quý'!$C$5:$C$701,MATCH(O$4&amp;"|net_income",'03 Số liệu quý'!$Z$5:$Z$701,0)))</f>
        <v>1509.0</v>
      </c>
      <c r="P18" s="25" t="s">
        <v>2293</v>
      </c>
    </row>
    <row r="19" spans="1:16">
      <c r="A19" s="23" t="s">
        <v>228</v>
      </c>
      <c r="B19" s="11" t="s">
        <v>219</v>
      </c>
      <c r="C19" s="11" t="s">
        <v>71</v>
      </c>
      <c r="D19" s="24">
        <f>IF(INDEX('03 Số liệu quý'!$C$5:$C$701,MATCH(D$4&amp;"|inventories",'03 Số liệu quý'!$Z$5:$Z$701,0))="","—",INDEX('03 Số liệu quý'!$C$5:$C$701,MATCH(D$4&amp;"|inventories",'03 Số liệu quý'!$Z$5:$Z$701,0)))</f>
        <v>5227.0</v>
      </c>
      <c r="E19" s="24">
        <f>IF(INDEX('03 Số liệu quý'!$C$5:$C$701,MATCH(E$4&amp;"|inventories",'03 Số liệu quý'!$Z$5:$Z$701,0))="","—",INDEX('03 Số liệu quý'!$C$5:$C$701,MATCH(E$4&amp;"|inventories",'03 Số liệu quý'!$Z$5:$Z$701,0)))</f>
        <v>5388.0</v>
      </c>
      <c r="F19" s="24">
        <f>IF(INDEX('03 Số liệu quý'!$C$5:$C$701,MATCH(F$4&amp;"|inventories",'03 Số liệu quý'!$Z$5:$Z$701,0))="","—",INDEX('03 Số liệu quý'!$C$5:$C$701,MATCH(F$4&amp;"|inventories",'03 Số liệu quý'!$Z$5:$Z$701,0)))</f>
        <v>5415.0</v>
      </c>
      <c r="G19" s="24">
        <f>IF(INDEX('03 Số liệu quý'!$C$5:$C$701,MATCH(G$4&amp;"|inventories",'03 Số liệu quý'!$Z$5:$Z$701,0))="","—",INDEX('03 Số liệu quý'!$C$5:$C$701,MATCH(G$4&amp;"|inventories",'03 Số liệu quý'!$Z$5:$Z$701,0)))</f>
        <v>5622.0</v>
      </c>
      <c r="H19" s="24">
        <f>IF(INDEX('03 Số liệu quý'!$C$5:$C$701,MATCH(H$4&amp;"|inventories",'03 Số liệu quý'!$Z$5:$Z$701,0))="","—",INDEX('03 Số liệu quý'!$C$5:$C$701,MATCH(H$4&amp;"|inventories",'03 Số liệu quý'!$Z$5:$Z$701,0)))</f>
        <v>5835.0</v>
      </c>
      <c r="I19" s="24">
        <f>IF(INDEX('03 Số liệu quý'!$C$5:$C$701,MATCH(I$4&amp;"|inventories",'03 Số liệu quý'!$Z$5:$Z$701,0))="","—",INDEX('03 Số liệu quý'!$C$5:$C$701,MATCH(I$4&amp;"|inventories",'03 Số liệu quý'!$Z$5:$Z$701,0)))</f>
        <v>6199.0</v>
      </c>
      <c r="J19" s="24">
        <f>IF(INDEX('03 Số liệu quý'!$C$5:$C$701,MATCH(J$4&amp;"|inventories",'03 Số liệu quý'!$Z$5:$Z$701,0))="","—",INDEX('03 Số liệu quý'!$C$5:$C$701,MATCH(J$4&amp;"|inventories",'03 Số liệu quý'!$Z$5:$Z$701,0)))</f>
        <v>5807.0</v>
      </c>
      <c r="K19" s="24">
        <f>IF(INDEX('03 Số liệu quý'!$C$5:$C$701,MATCH(K$4&amp;"|inventories",'03 Số liệu quý'!$Z$5:$Z$701,0))="","—",INDEX('03 Số liệu quý'!$C$5:$C$701,MATCH(K$4&amp;"|inventories",'03 Số liệu quý'!$Z$5:$Z$701,0)))</f>
        <v>7367.0</v>
      </c>
      <c r="L19" s="24">
        <f>IF(INDEX('03 Số liệu quý'!$C$5:$C$701,MATCH(L$4&amp;"|inventories",'03 Số liệu quý'!$Z$5:$Z$701,0))="","—",INDEX('03 Số liệu quý'!$C$5:$C$701,MATCH(L$4&amp;"|inventories",'03 Số liệu quý'!$Z$5:$Z$701,0)))</f>
        <v>6705.0</v>
      </c>
      <c r="M19" s="24">
        <f>IF(INDEX('03 Số liệu quý'!$C$5:$C$701,MATCH(M$4&amp;"|inventories",'03 Số liệu quý'!$Z$5:$Z$701,0))="","—",INDEX('03 Số liệu quý'!$C$5:$C$701,MATCH(M$4&amp;"|inventories",'03 Số liệu quý'!$Z$5:$Z$701,0)))</f>
        <v>6090.0</v>
      </c>
      <c r="N19" s="24">
        <f>IF(INDEX('03 Số liệu quý'!$C$5:$C$701,MATCH(N$4&amp;"|inventories",'03 Số liệu quý'!$Z$5:$Z$701,0))="","—",INDEX('03 Số liệu quý'!$C$5:$C$701,MATCH(N$4&amp;"|inventories",'03 Số liệu quý'!$Z$5:$Z$701,0)))</f>
        <v>6693.0</v>
      </c>
      <c r="O19" s="24">
        <f>IF(INDEX('03 Số liệu quý'!$C$5:$C$701,MATCH(O$4&amp;"|inventories",'03 Số liệu quý'!$Z$5:$Z$701,0))="","—",INDEX('03 Số liệu quý'!$C$5:$C$701,MATCH(O$4&amp;"|inventories",'03 Số liệu quý'!$Z$5:$Z$701,0)))</f>
        <v>6854.0</v>
      </c>
      <c r="P19" s="25" t="s">
        <v>2294</v>
      </c>
    </row>
    <row r="20" spans="1:16">
      <c r="A20" s="23" t="s">
        <v>2006</v>
      </c>
      <c r="B20" s="11" t="s">
        <v>2007</v>
      </c>
      <c r="C20" s="11" t="s">
        <v>71</v>
      </c>
      <c r="D20" s="24" t="str">
        <f>IF(INDEX('03 Số liệu quý'!$D$5:$D$701,MATCH(D$4&amp;"|inventories",'03 Số liệu quý'!$Z$5:$Z$701,0))="","—",INDEX('03 Số liệu quý'!$D$5:$D$701,MATCH(D$4&amp;"|inventories",'03 Số liệu quý'!$Z$5:$Z$701,0)))</f>
        <v>—</v>
      </c>
      <c r="E20" s="24" t="str">
        <f>IF(INDEX('03 Số liệu quý'!$D$5:$D$701,MATCH(E$4&amp;"|inventories",'03 Số liệu quý'!$Z$5:$Z$701,0))="","—",INDEX('03 Số liệu quý'!$D$5:$D$701,MATCH(E$4&amp;"|inventories",'03 Số liệu quý'!$Z$5:$Z$701,0)))</f>
        <v>—</v>
      </c>
      <c r="F20" s="24" t="str">
        <f>IF(INDEX('03 Số liệu quý'!$D$5:$D$701,MATCH(F$4&amp;"|inventories",'03 Số liệu quý'!$Z$5:$Z$701,0))="","—",INDEX('03 Số liệu quý'!$D$5:$D$701,MATCH(F$4&amp;"|inventories",'03 Số liệu quý'!$Z$5:$Z$701,0)))</f>
        <v>—</v>
      </c>
      <c r="G20" s="24">
        <f>IF(INDEX('03 Số liệu quý'!$D$5:$D$701,MATCH(G$4&amp;"|inventories",'03 Số liệu quý'!$Z$5:$Z$701,0))="","—",INDEX('03 Số liệu quý'!$D$5:$D$701,MATCH(G$4&amp;"|inventories",'03 Số liệu quý'!$Z$5:$Z$701,0)))</f>
        <v>5261.0</v>
      </c>
      <c r="H20" s="24">
        <f>IF(INDEX('03 Số liệu quý'!$D$5:$D$701,MATCH(H$4&amp;"|inventories",'03 Số liệu quý'!$Z$5:$Z$701,0))="","—",INDEX('03 Số liệu quý'!$D$5:$D$701,MATCH(H$4&amp;"|inventories",'03 Số liệu quý'!$Z$5:$Z$701,0)))</f>
        <v>5227.0</v>
      </c>
      <c r="I20" s="24">
        <f>IF(INDEX('03 Số liệu quý'!$D$5:$D$701,MATCH(I$4&amp;"|inventories",'03 Số liệu quý'!$Z$5:$Z$701,0))="","—",INDEX('03 Số liệu quý'!$D$5:$D$701,MATCH(I$4&amp;"|inventories",'03 Số liệu quý'!$Z$5:$Z$701,0)))</f>
        <v>5388.0</v>
      </c>
      <c r="J20" s="24">
        <f>IF(INDEX('03 Số liệu quý'!$D$5:$D$701,MATCH(J$4&amp;"|inventories",'03 Số liệu quý'!$Z$5:$Z$701,0))="","—",INDEX('03 Số liệu quý'!$D$5:$D$701,MATCH(J$4&amp;"|inventories",'03 Số liệu quý'!$Z$5:$Z$701,0)))</f>
        <v>5415.0</v>
      </c>
      <c r="K20" s="24">
        <f>IF(INDEX('03 Số liệu quý'!$D$5:$D$701,MATCH(K$4&amp;"|inventories",'03 Số liệu quý'!$Z$5:$Z$701,0))="","—",INDEX('03 Số liệu quý'!$D$5:$D$701,MATCH(K$4&amp;"|inventories",'03 Số liệu quý'!$Z$5:$Z$701,0)))</f>
        <v>5622.0</v>
      </c>
      <c r="L20" s="24">
        <f>IF(INDEX('03 Số liệu quý'!$D$5:$D$701,MATCH(L$4&amp;"|inventories",'03 Số liệu quý'!$Z$5:$Z$701,0))="","—",INDEX('03 Số liệu quý'!$D$5:$D$701,MATCH(L$4&amp;"|inventories",'03 Số liệu quý'!$Z$5:$Z$701,0)))</f>
        <v>5835.0</v>
      </c>
      <c r="M20" s="24">
        <f>IF(INDEX('03 Số liệu quý'!$D$5:$D$701,MATCH(M$4&amp;"|inventories",'03 Số liệu quý'!$Z$5:$Z$701,0))="","—",INDEX('03 Số liệu quý'!$D$5:$D$701,MATCH(M$4&amp;"|inventories",'03 Số liệu quý'!$Z$5:$Z$701,0)))</f>
        <v>6199.0</v>
      </c>
      <c r="N20" s="24">
        <f>IF(INDEX('03 Số liệu quý'!$D$5:$D$701,MATCH(N$4&amp;"|inventories",'03 Số liệu quý'!$Z$5:$Z$701,0))="","—",INDEX('03 Số liệu quý'!$D$5:$D$701,MATCH(N$4&amp;"|inventories",'03 Số liệu quý'!$Z$5:$Z$701,0)))</f>
        <v>5807.0</v>
      </c>
      <c r="O20" s="24">
        <f>IF(INDEX('03 Số liệu quý'!$D$5:$D$701,MATCH(O$4&amp;"|inventories",'03 Số liệu quý'!$Z$5:$Z$701,0))="","—",INDEX('03 Số liệu quý'!$D$5:$D$701,MATCH(O$4&amp;"|inventories",'03 Số liệu quý'!$Z$5:$Z$701,0)))</f>
        <v>7367.0</v>
      </c>
      <c r="P20" s="25" t="s">
        <v>2295</v>
      </c>
    </row>
    <row r="21" spans="1:16">
      <c r="A21" s="23" t="s">
        <v>2009</v>
      </c>
      <c r="B21" s="11" t="s">
        <v>2010</v>
      </c>
      <c r="C21" s="11" t="s">
        <v>71</v>
      </c>
      <c r="D21" s="24">
        <f>IF(INDEX('02 Số liệu năm'!$D$5:$D$701,MATCH("FY2019|inventories",'02 Số liệu năm'!$Z$5:$Z$701,0))="","—",INDEX('02 Số liệu năm'!$D$5:$D$701,MATCH("FY2019|inventories",'02 Số liệu năm'!$Z$5:$Z$701,0)))</f>
        <v>5261.0</v>
      </c>
      <c r="E21" s="24">
        <f>D19</f>
        <v>5227.0</v>
      </c>
      <c r="F21" s="24">
        <f>E19</f>
        <v>5388.0</v>
      </c>
      <c r="G21" s="24">
        <f>F19</f>
        <v>5415.0</v>
      </c>
      <c r="H21" s="24">
        <f>IF(INDEX('02 Số liệu năm'!$C$5:$C$701,MATCH("FY2019|inventories",'02 Số liệu năm'!$Z$5:$Z$701,0))="","—",INDEX('02 Số liệu năm'!$C$5:$C$701,MATCH("FY2019|inventories",'02 Số liệu năm'!$Z$5:$Z$701,0)))</f>
        <v>5622.0</v>
      </c>
      <c r="I21" s="24">
        <f>H19</f>
        <v>5835.0</v>
      </c>
      <c r="J21" s="24">
        <f>I19</f>
        <v>6199.0</v>
      </c>
      <c r="K21" s="24">
        <f>J19</f>
        <v>5807.0</v>
      </c>
      <c r="L21" s="24">
        <f>IF(INDEX('02 Số liệu năm'!$C$5:$C$701,MATCH("FY2020|inventories",'02 Số liệu năm'!$Z$5:$Z$701,0))="","—",INDEX('02 Số liệu năm'!$C$5:$C$701,MATCH("FY2020|inventories",'02 Số liệu năm'!$Z$5:$Z$701,0)))</f>
        <v>7367.0</v>
      </c>
      <c r="M21" s="24">
        <f>L19</f>
        <v>6705.0</v>
      </c>
      <c r="N21" s="24">
        <f>M19</f>
        <v>6090.0</v>
      </c>
      <c r="O21" s="24">
        <f>N19</f>
        <v>6693.0</v>
      </c>
      <c r="P21" s="25" t="s">
        <v>2011</v>
      </c>
    </row>
    <row r="22" spans="1:16">
      <c r="A22" s="23" t="s">
        <v>247</v>
      </c>
      <c r="B22" s="11" t="s">
        <v>239</v>
      </c>
      <c r="C22" s="11" t="s">
        <v>71</v>
      </c>
      <c r="D22" s="24">
        <f>IF(INDEX('03 Số liệu quý'!$C$5:$C$701,MATCH(D$4&amp;"|ebit_reported",'03 Số liệu quý'!$Z$5:$Z$701,0))="","—",INDEX('03 Số liệu quý'!$C$5:$C$701,MATCH(D$4&amp;"|ebit_reported",'03 Số liệu quý'!$Z$5:$Z$701,0)))</f>
        <v>1281.0</v>
      </c>
      <c r="E22" s="24">
        <f>IF(INDEX('03 Số liệu quý'!$C$5:$C$701,MATCH(E$4&amp;"|ebit_reported",'03 Số liệu quý'!$Z$5:$Z$701,0))="","—",INDEX('03 Số liệu quý'!$C$5:$C$701,MATCH(E$4&amp;"|ebit_reported",'03 Số liệu quý'!$Z$5:$Z$701,0)))</f>
        <v>1011.0</v>
      </c>
      <c r="F22" s="24">
        <f>IF(INDEX('03 Số liệu quý'!$C$5:$C$701,MATCH(F$4&amp;"|ebit_reported",'03 Số liệu quý'!$Z$5:$Z$701,0))="","—",INDEX('03 Số liệu quý'!$C$5:$C$701,MATCH(F$4&amp;"|ebit_reported",'03 Số liệu quý'!$Z$5:$Z$701,0)))</f>
        <v>1303.0</v>
      </c>
      <c r="G22" s="24">
        <f>IF(INDEX('03 Số liệu quý'!$C$5:$C$701,MATCH(G$4&amp;"|ebit_reported",'03 Số liệu quý'!$Z$5:$Z$701,0))="","—",INDEX('03 Số liệu quý'!$C$5:$C$701,MATCH(G$4&amp;"|ebit_reported",'03 Số liệu quý'!$Z$5:$Z$701,0)))</f>
        <v>1255.0</v>
      </c>
      <c r="H22" s="24">
        <f>IF(INDEX('03 Số liệu quý'!$C$5:$C$701,MATCH(H$4&amp;"|ebit_reported",'03 Số liệu quý'!$Z$5:$Z$701,0))="","—",INDEX('03 Số liệu quý'!$C$5:$C$701,MATCH(H$4&amp;"|ebit_reported",'03 Số liệu quý'!$Z$5:$Z$701,0)))</f>
        <v>1576.0</v>
      </c>
      <c r="I22" s="24">
        <f>IF(INDEX('03 Số liệu quý'!$C$5:$C$701,MATCH(I$4&amp;"|ebit_reported",'03 Số liệu quý'!$Z$5:$Z$701,0))="","—",INDEX('03 Số liệu quý'!$C$5:$C$701,MATCH(I$4&amp;"|ebit_reported",'03 Số liệu quý'!$Z$5:$Z$701,0)))</f>
        <v>1261.0</v>
      </c>
      <c r="J22" s="24">
        <f>IF(INDEX('03 Số liệu quý'!$C$5:$C$701,MATCH(J$4&amp;"|ebit_reported",'03 Số liệu quý'!$Z$5:$Z$701,0))="","—",INDEX('03 Số liệu quý'!$C$5:$C$701,MATCH(J$4&amp;"|ebit_reported",'03 Số liệu quý'!$Z$5:$Z$701,0)))</f>
        <v>893.0</v>
      </c>
      <c r="K22" s="24">
        <f>IF(INDEX('03 Số liệu quý'!$C$5:$C$701,MATCH(K$4&amp;"|ebit_reported",'03 Số liệu quý'!$Z$5:$Z$701,0))="","—",INDEX('03 Số liệu quý'!$C$5:$C$701,MATCH(K$4&amp;"|ebit_reported",'03 Số liệu quý'!$Z$5:$Z$701,0)))</f>
        <v>-754.0</v>
      </c>
      <c r="L22" s="24">
        <f>IF(INDEX('03 Số liệu quý'!$C$5:$C$701,MATCH(L$4&amp;"|ebit_reported",'03 Số liệu quý'!$Z$5:$Z$701,0))="","—",INDEX('03 Số liệu quý'!$C$5:$C$701,MATCH(L$4&amp;"|ebit_reported",'03 Số liệu quý'!$Z$5:$Z$701,0)))</f>
        <v>1780.0</v>
      </c>
      <c r="M22" s="24">
        <f>IF(INDEX('03 Số liệu quý'!$C$5:$C$701,MATCH(M$4&amp;"|ebit_reported",'03 Số liệu quý'!$Z$5:$Z$701,0))="","—",INDEX('03 Số liệu quý'!$C$5:$C$701,MATCH(M$4&amp;"|ebit_reported",'03 Số liệu quý'!$Z$5:$Z$701,0)))</f>
        <v>1526.0</v>
      </c>
      <c r="N22" s="24">
        <f>IF(INDEX('03 Số liệu quý'!$C$5:$C$701,MATCH(N$4&amp;"|ebit_reported",'03 Số liệu quý'!$Z$5:$Z$701,0))="","—",INDEX('03 Số liệu quý'!$C$5:$C$701,MATCH(N$4&amp;"|ebit_reported",'03 Số liệu quý'!$Z$5:$Z$701,0)))</f>
        <v>1700.0</v>
      </c>
      <c r="O22" s="24">
        <f>IF(INDEX('03 Số liệu quý'!$C$5:$C$701,MATCH(O$4&amp;"|ebit_reported",'03 Số liệu quý'!$Z$5:$Z$701,0))="","—",INDEX('03 Số liệu quý'!$C$5:$C$701,MATCH(O$4&amp;"|ebit_reported",'03 Số liệu quý'!$Z$5:$Z$701,0)))</f>
        <v>1917.0</v>
      </c>
      <c r="P22" s="25" t="s">
        <v>2296</v>
      </c>
    </row>
    <row r="23" spans="1:16">
      <c r="A23" s="23" t="s">
        <v>261</v>
      </c>
      <c r="B23" s="11" t="s">
        <v>253</v>
      </c>
      <c r="C23" s="11" t="s">
        <v>254</v>
      </c>
      <c r="D23" s="26">
        <f>IF(INDEX('03 Số liệu quý'!$C$5:$C$701,MATCH(D$4&amp;"|revenues_pct_change_reported",'03 Số liệu quý'!$Z$5:$Z$701,0))="","—",INDEX('03 Số liệu quý'!$C$5:$C$701,MATCH(D$4&amp;"|revenues_pct_change_reported",'03 Số liệu quý'!$Z$5:$Z$701,0)))</f>
        <v>0.1</v>
      </c>
      <c r="E23" s="26">
        <f>IF(INDEX('03 Số liệu quý'!$C$5:$C$701,MATCH(E$4&amp;"|revenues_pct_change_reported",'03 Số liệu quý'!$Z$5:$Z$701,0))="","—",INDEX('03 Số liệu quý'!$C$5:$C$701,MATCH(E$4&amp;"|revenues_pct_change_reported",'03 Số liệu quý'!$Z$5:$Z$701,0)))</f>
        <v>0.1</v>
      </c>
      <c r="F23" s="26">
        <f>IF(INDEX('03 Số liệu quý'!$C$5:$C$701,MATCH(F$4&amp;"|revenues_pct_change_reported",'03 Số liệu quý'!$Z$5:$Z$701,0))="","—",INDEX('03 Số liệu quý'!$C$5:$C$701,MATCH(F$4&amp;"|revenues_pct_change_reported",'03 Số liệu quý'!$Z$5:$Z$701,0)))</f>
        <v>0.07</v>
      </c>
      <c r="G23" s="26">
        <f>IF(INDEX('03 Số liệu quý'!$C$5:$C$701,MATCH(G$4&amp;"|revenues_pct_change_reported",'03 Số liệu quý'!$Z$5:$Z$701,0))="","—",INDEX('03 Số liệu quý'!$C$5:$C$701,MATCH(G$4&amp;"|revenues_pct_change_reported",'03 Số liệu quý'!$Z$5:$Z$701,0)))</f>
        <v>0.04</v>
      </c>
      <c r="H23" s="26">
        <f>IF(INDEX('03 Số liệu quý'!$C$5:$C$701,MATCH(H$4&amp;"|revenues_pct_change_reported",'03 Số liệu quý'!$Z$5:$Z$701,0))="","—",INDEX('03 Số liệu quý'!$C$5:$C$701,MATCH(H$4&amp;"|revenues_pct_change_reported",'03 Số liệu quý'!$Z$5:$Z$701,0)))</f>
        <v>0.07</v>
      </c>
      <c r="I23" s="26">
        <f>IF(INDEX('03 Số liệu quý'!$C$5:$C$701,MATCH(I$4&amp;"|revenues_pct_change_reported",'03 Số liệu quý'!$Z$5:$Z$701,0))="","—",INDEX('03 Số liệu quý'!$C$5:$C$701,MATCH(I$4&amp;"|revenues_pct_change_reported",'03 Số liệu quý'!$Z$5:$Z$701,0)))</f>
        <v>0.1</v>
      </c>
      <c r="J23" s="26">
        <f>IF(INDEX('03 Số liệu quý'!$C$5:$C$701,MATCH(J$4&amp;"|revenues_pct_change_reported",'03 Số liệu quý'!$Z$5:$Z$701,0))="","—",INDEX('03 Số liệu quý'!$C$5:$C$701,MATCH(J$4&amp;"|revenues_pct_change_reported",'03 Số liệu quý'!$Z$5:$Z$701,0)))</f>
        <v>0.05</v>
      </c>
      <c r="K23" s="26">
        <f>IF(INDEX('03 Số liệu quý'!$C$5:$C$701,MATCH(K$4&amp;"|revenues_pct_change_reported",'03 Số liệu quý'!$Z$5:$Z$701,0))="","—",INDEX('03 Số liệu quý'!$C$5:$C$701,MATCH(K$4&amp;"|revenues_pct_change_reported",'03 Số liệu quý'!$Z$5:$Z$701,0)))</f>
        <v>-0.38</v>
      </c>
      <c r="L23" s="26">
        <f>IF(INDEX('03 Số liệu quý'!$C$5:$C$701,MATCH(L$4&amp;"|revenues_pct_change_reported",'03 Số liệu quý'!$Z$5:$Z$701,0))="","—",INDEX('03 Số liệu quý'!$C$5:$C$701,MATCH(L$4&amp;"|revenues_pct_change_reported",'03 Số liệu quý'!$Z$5:$Z$701,0)))</f>
        <v>-0.01</v>
      </c>
      <c r="M23" s="26">
        <f>IF(INDEX('03 Số liệu quý'!$C$5:$C$701,MATCH(M$4&amp;"|revenues_pct_change_reported",'03 Số liệu quý'!$Z$5:$Z$701,0))="","—",INDEX('03 Số liệu quý'!$C$5:$C$701,MATCH(M$4&amp;"|revenues_pct_change_reported",'03 Số liệu quý'!$Z$5:$Z$701,0)))</f>
        <v>0.09</v>
      </c>
      <c r="N23" s="26">
        <f>IF(INDEX('03 Số liệu quý'!$C$5:$C$701,MATCH(N$4&amp;"|revenues_pct_change_reported",'03 Số liệu quý'!$Z$5:$Z$701,0))="","—",INDEX('03 Số liệu quý'!$C$5:$C$701,MATCH(N$4&amp;"|revenues_pct_change_reported",'03 Số liệu quý'!$Z$5:$Z$701,0)))</f>
        <v>0.03</v>
      </c>
      <c r="O23" s="26">
        <f>IF(INDEX('03 Số liệu quý'!$C$5:$C$701,MATCH(O$4&amp;"|revenues_pct_change_reported",'03 Số liệu quý'!$Z$5:$Z$701,0))="","—",INDEX('03 Số liệu quý'!$C$5:$C$701,MATCH(O$4&amp;"|revenues_pct_change_reported",'03 Số liệu quý'!$Z$5:$Z$701,0)))</f>
        <v>0.96</v>
      </c>
      <c r="P23" s="25" t="s">
        <v>2297</v>
      </c>
    </row>
    <row r="24" spans="1:16">
      <c r="A24" s="23" t="s">
        <v>289</v>
      </c>
      <c r="B24" s="11" t="s">
        <v>281</v>
      </c>
      <c r="C24" s="11" t="s">
        <v>71</v>
      </c>
      <c r="D24" s="24">
        <f>IF(INDEX('03 Số liệu quý'!$C$5:$C$701,MATCH(D$4&amp;"|nike_direct_revenue",'03 Số liệu quý'!$Z$5:$Z$701,0))="","—",INDEX('03 Số liệu quý'!$C$5:$C$701,MATCH(D$4&amp;"|nike_direct_revenue",'03 Số liệu quý'!$Z$5:$Z$701,0)))</f>
        <v>2851.0</v>
      </c>
      <c r="E24" s="24">
        <f>IF(INDEX('03 Số liệu quý'!$C$5:$C$701,MATCH(E$4&amp;"|nike_direct_revenue",'03 Số liệu quý'!$Z$5:$Z$701,0))="","—",INDEX('03 Số liệu quý'!$C$5:$C$701,MATCH(E$4&amp;"|nike_direct_revenue",'03 Số liệu quý'!$Z$5:$Z$701,0)))</f>
        <v>2831.0</v>
      </c>
      <c r="F24" s="24">
        <f>IF(INDEX('03 Số liệu quý'!$C$5:$C$701,MATCH(F$4&amp;"|nike_direct_revenue",'03 Số liệu quý'!$Z$5:$Z$701,0))="","—",INDEX('03 Số liệu quý'!$C$5:$C$701,MATCH(F$4&amp;"|nike_direct_revenue",'03 Số liệu quý'!$Z$5:$Z$701,0)))</f>
        <v>2966.0</v>
      </c>
      <c r="G24" s="24">
        <f>IF(INDEX('03 Số liệu quý'!$C$5:$C$701,MATCH(G$4&amp;"|nike_direct_revenue",'03 Số liệu quý'!$Z$5:$Z$701,0))="","—",INDEX('03 Số liệu quý'!$C$5:$C$701,MATCH(G$4&amp;"|nike_direct_revenue",'03 Số liệu quý'!$Z$5:$Z$701,0)))</f>
        <v>3105.0</v>
      </c>
      <c r="H24" s="24">
        <f>IF(INDEX('03 Số liệu quý'!$C$5:$C$701,MATCH(H$4&amp;"|nike_direct_revenue",'03 Số liệu quý'!$Z$5:$Z$701,0))="","—",INDEX('03 Số liệu quý'!$C$5:$C$701,MATCH(H$4&amp;"|nike_direct_revenue",'03 Số liệu quý'!$Z$5:$Z$701,0)))</f>
        <v>3248.0</v>
      </c>
      <c r="I24" s="24">
        <f>IF(INDEX('03 Số liệu quý'!$C$5:$C$701,MATCH(I$4&amp;"|nike_direct_revenue",'03 Số liệu quý'!$Z$5:$Z$701,0))="","—",INDEX('03 Số liệu quý'!$C$5:$C$701,MATCH(I$4&amp;"|nike_direct_revenue",'03 Số liệu quý'!$Z$5:$Z$701,0)))</f>
        <v>3256.0</v>
      </c>
      <c r="J24" s="24">
        <f>IF(INDEX('03 Số liệu quý'!$C$5:$C$701,MATCH(J$4&amp;"|nike_direct_revenue",'03 Số liệu quý'!$Z$5:$Z$701,0))="","—",INDEX('03 Số liệu quý'!$C$5:$C$701,MATCH(J$4&amp;"|nike_direct_revenue",'03 Số liệu quý'!$Z$5:$Z$701,0)))</f>
        <v>3297.0</v>
      </c>
      <c r="K24" s="24">
        <f>IF(INDEX('03 Số liệu quý'!$C$5:$C$701,MATCH(K$4&amp;"|nike_direct_revenue",'03 Số liệu quý'!$Z$5:$Z$701,0))="","—",INDEX('03 Số liệu quý'!$C$5:$C$701,MATCH(K$4&amp;"|nike_direct_revenue",'03 Số liệu quý'!$Z$5:$Z$701,0)))</f>
        <v>2581.0</v>
      </c>
      <c r="L24" s="24">
        <f>IF(INDEX('03 Số liệu quý'!$C$5:$C$701,MATCH(L$4&amp;"|nike_direct_revenue",'03 Số liệu quý'!$Z$5:$Z$701,0))="","—",INDEX('03 Số liệu quý'!$C$5:$C$701,MATCH(L$4&amp;"|nike_direct_revenue",'03 Số liệu quý'!$Z$5:$Z$701,0)))</f>
        <v>3650.0</v>
      </c>
      <c r="M24" s="24">
        <f>IF(INDEX('03 Số liệu quý'!$C$5:$C$701,MATCH(M$4&amp;"|nike_direct_revenue",'03 Số liệu quý'!$Z$5:$Z$701,0))="","—",INDEX('03 Số liệu quý'!$C$5:$C$701,MATCH(M$4&amp;"|nike_direct_revenue",'03 Số liệu quý'!$Z$5:$Z$701,0)))</f>
        <v>4310.0</v>
      </c>
      <c r="N24" s="24">
        <f>IF(INDEX('03 Số liệu quý'!$C$5:$C$701,MATCH(N$4&amp;"|nike_direct_revenue",'03 Số liệu quý'!$Z$5:$Z$701,0))="","—",INDEX('03 Số liệu quý'!$C$5:$C$701,MATCH(N$4&amp;"|nike_direct_revenue",'03 Số liệu quý'!$Z$5:$Z$701,0)))</f>
        <v>3953.0</v>
      </c>
      <c r="O24" s="24">
        <f>IF(INDEX('03 Số liệu quý'!$C$5:$C$701,MATCH(O$4&amp;"|nike_direct_revenue",'03 Số liệu quý'!$Z$5:$Z$701,0))="","—",INDEX('03 Số liệu quý'!$C$5:$C$701,MATCH(O$4&amp;"|nike_direct_revenue",'03 Số liệu quý'!$Z$5:$Z$701,0)))</f>
        <v>4457.0</v>
      </c>
      <c r="P24" s="25" t="s">
        <v>2298</v>
      </c>
    </row>
    <row r="25" spans="1:16">
      <c r="A25" s="23" t="s">
        <v>2015</v>
      </c>
      <c r="B25" s="11" t="s">
        <v>2016</v>
      </c>
      <c r="C25" s="11" t="s">
        <v>71</v>
      </c>
      <c r="D25" s="24">
        <f>IF(INDEX('03 Số liệu quý'!$D$5:$D$701,MATCH(D$4&amp;"|nike_direct_revenue",'03 Số liệu quý'!$Z$5:$Z$701,0))="","—",INDEX('03 Số liệu quý'!$D$5:$D$701,MATCH(D$4&amp;"|nike_direct_revenue",'03 Số liệu quý'!$Z$5:$Z$701,0)))</f>
        <v>2535.0</v>
      </c>
      <c r="E25" s="24">
        <f>IF(INDEX('03 Số liệu quý'!$D$5:$D$701,MATCH(E$4&amp;"|nike_direct_revenue",'03 Số liệu quý'!$Z$5:$Z$701,0))="","—",INDEX('03 Số liệu quý'!$D$5:$D$701,MATCH(E$4&amp;"|nike_direct_revenue",'03 Số liệu quý'!$Z$5:$Z$701,0)))</f>
        <v>2484.0</v>
      </c>
      <c r="F25" s="24">
        <f>IF(INDEX('03 Số liệu quý'!$D$5:$D$701,MATCH(F$4&amp;"|nike_direct_revenue",'03 Số liệu quý'!$Z$5:$Z$701,0))="","—",INDEX('03 Số liệu quý'!$D$5:$D$701,MATCH(F$4&amp;"|nike_direct_revenue",'03 Số liệu quý'!$Z$5:$Z$701,0)))</f>
        <v>2611.0</v>
      </c>
      <c r="G25" s="24">
        <f>IF(INDEX('03 Số liệu quý'!$D$5:$D$701,MATCH(G$4&amp;"|nike_direct_revenue",'03 Số liệu quý'!$Z$5:$Z$701,0))="","—",INDEX('03 Số liệu quý'!$D$5:$D$701,MATCH(G$4&amp;"|nike_direct_revenue",'03 Số liệu quý'!$Z$5:$Z$701,0)))</f>
        <v>2798.0</v>
      </c>
      <c r="H25" s="24">
        <f>IF(INDEX('03 Số liệu quý'!$D$5:$D$701,MATCH(H$4&amp;"|nike_direct_revenue",'03 Số liệu quý'!$Z$5:$Z$701,0))="","—",INDEX('03 Số liệu quý'!$D$5:$D$701,MATCH(H$4&amp;"|nike_direct_revenue",'03 Số liệu quý'!$Z$5:$Z$701,0)))</f>
        <v>2851.0</v>
      </c>
      <c r="I25" s="24">
        <f>IF(INDEX('03 Số liệu quý'!$D$5:$D$701,MATCH(I$4&amp;"|nike_direct_revenue",'03 Số liệu quý'!$Z$5:$Z$701,0))="","—",INDEX('03 Số liệu quý'!$D$5:$D$701,MATCH(I$4&amp;"|nike_direct_revenue",'03 Số liệu quý'!$Z$5:$Z$701,0)))</f>
        <v>2831.0</v>
      </c>
      <c r="J25" s="24">
        <f>IF(INDEX('03 Số liệu quý'!$D$5:$D$701,MATCH(J$4&amp;"|nike_direct_revenue",'03 Số liệu quý'!$Z$5:$Z$701,0))="","—",INDEX('03 Số liệu quý'!$D$5:$D$701,MATCH(J$4&amp;"|nike_direct_revenue",'03 Số liệu quý'!$Z$5:$Z$701,0)))</f>
        <v>2966.0</v>
      </c>
      <c r="K25" s="24">
        <f>IF(INDEX('03 Số liệu quý'!$D$5:$D$701,MATCH(K$4&amp;"|nike_direct_revenue",'03 Số liệu quý'!$Z$5:$Z$701,0))="","—",INDEX('03 Số liệu quý'!$D$5:$D$701,MATCH(K$4&amp;"|nike_direct_revenue",'03 Số liệu quý'!$Z$5:$Z$701,0)))</f>
        <v>3105.0</v>
      </c>
      <c r="L25" s="24">
        <f>IF(INDEX('03 Số liệu quý'!$D$5:$D$701,MATCH(L$4&amp;"|nike_direct_revenue",'03 Số liệu quý'!$Z$5:$Z$701,0))="","—",INDEX('03 Số liệu quý'!$D$5:$D$701,MATCH(L$4&amp;"|nike_direct_revenue",'03 Số liệu quý'!$Z$5:$Z$701,0)))</f>
        <v>3248.0</v>
      </c>
      <c r="M25" s="24">
        <f>IF(INDEX('03 Số liệu quý'!$D$5:$D$701,MATCH(M$4&amp;"|nike_direct_revenue",'03 Số liệu quý'!$Z$5:$Z$701,0))="","—",INDEX('03 Số liệu quý'!$D$5:$D$701,MATCH(M$4&amp;"|nike_direct_revenue",'03 Số liệu quý'!$Z$5:$Z$701,0)))</f>
        <v>3256.0</v>
      </c>
      <c r="N25" s="24">
        <f>IF(INDEX('03 Số liệu quý'!$D$5:$D$701,MATCH(N$4&amp;"|nike_direct_revenue",'03 Số liệu quý'!$Z$5:$Z$701,0))="","—",INDEX('03 Số liệu quý'!$D$5:$D$701,MATCH(N$4&amp;"|nike_direct_revenue",'03 Số liệu quý'!$Z$5:$Z$701,0)))</f>
        <v>3297.0</v>
      </c>
      <c r="O25" s="24">
        <f>IF(INDEX('03 Số liệu quý'!$D$5:$D$701,MATCH(O$4&amp;"|nike_direct_revenue",'03 Số liệu quý'!$Z$5:$Z$701,0))="","—",INDEX('03 Số liệu quý'!$D$5:$D$701,MATCH(O$4&amp;"|nike_direct_revenue",'03 Số liệu quý'!$Z$5:$Z$701,0)))</f>
        <v>2581.0</v>
      </c>
      <c r="P25" s="25" t="s">
        <v>2299</v>
      </c>
    </row>
    <row r="26" spans="1:16">
      <c r="A26" s="23" t="s">
        <v>301</v>
      </c>
      <c r="B26" s="11" t="s">
        <v>295</v>
      </c>
      <c r="C26" s="11" t="s">
        <v>71</v>
      </c>
      <c r="D26" s="24">
        <f>IF(INDEX('03 Số liệu quý'!$C$5:$C$701,MATCH(D$4&amp;"|nike_brand_wholesale_revenue",'03 Số liệu quý'!$Z$5:$Z$701,0))="","—",INDEX('03 Số liệu quý'!$C$5:$C$701,MATCH(D$4&amp;"|nike_brand_wholesale_revenue",'03 Số liệu quý'!$Z$5:$Z$701,0)))</f>
        <v>6550.0</v>
      </c>
      <c r="E26" s="24">
        <f>IF(INDEX('03 Số liệu quý'!$C$5:$C$701,MATCH(E$4&amp;"|nike_brand_wholesale_revenue",'03 Số liệu quý'!$Z$5:$Z$701,0))="","—",INDEX('03 Số liệu quý'!$C$5:$C$701,MATCH(E$4&amp;"|nike_brand_wholesale_revenue",'03 Số liệu quý'!$Z$5:$Z$701,0)))</f>
        <v>6106.0</v>
      </c>
      <c r="F26" s="24">
        <f>IF(INDEX('03 Số liệu quý'!$C$5:$C$701,MATCH(F$4&amp;"|nike_brand_wholesale_revenue",'03 Số liệu quý'!$Z$5:$Z$701,0))="","—",INDEX('03 Số liệu quý'!$C$5:$C$701,MATCH(F$4&amp;"|nike_brand_wholesale_revenue",'03 Số liệu quý'!$Z$5:$Z$701,0)))</f>
        <v>6174.0</v>
      </c>
      <c r="G26" s="24">
        <f>IF(INDEX('03 Số liệu quý'!$C$5:$C$701,MATCH(G$4&amp;"|nike_brand_wholesale_revenue",'03 Số liệu quý'!$Z$5:$Z$701,0))="","—",INDEX('03 Số liệu quý'!$C$5:$C$701,MATCH(G$4&amp;"|nike_brand_wholesale_revenue",'03 Số liệu quý'!$Z$5:$Z$701,0)))</f>
        <v>6593.0</v>
      </c>
      <c r="H26" s="24">
        <f>IF(INDEX('03 Số liệu quý'!$C$5:$C$701,MATCH(H$4&amp;"|nike_brand_wholesale_revenue",'03 Số liệu quý'!$Z$5:$Z$701,0))="","—",INDEX('03 Số liệu quý'!$C$5:$C$701,MATCH(H$4&amp;"|nike_brand_wholesale_revenue",'03 Số liệu quý'!$Z$5:$Z$701,0)))</f>
        <v>6842.0</v>
      </c>
      <c r="I26" s="24">
        <f>IF(INDEX('03 Số liệu quý'!$C$5:$C$701,MATCH(I$4&amp;"|nike_brand_wholesale_revenue",'03 Số liệu quý'!$Z$5:$Z$701,0))="","—",INDEX('03 Số liệu quý'!$C$5:$C$701,MATCH(I$4&amp;"|nike_brand_wholesale_revenue",'03 Số liệu quý'!$Z$5:$Z$701,0)))</f>
        <v>6578.0</v>
      </c>
      <c r="J26" s="24">
        <f>IF(INDEX('03 Số liệu quý'!$C$5:$C$701,MATCH(J$4&amp;"|nike_brand_wholesale_revenue",'03 Số liệu quý'!$Z$5:$Z$701,0))="","—",INDEX('03 Số liệu quý'!$C$5:$C$701,MATCH(J$4&amp;"|nike_brand_wholesale_revenue",'03 Số liệu quý'!$Z$5:$Z$701,0)))</f>
        <v>6311.0</v>
      </c>
      <c r="K26" s="24">
        <f>IF(INDEX('03 Số liệu quý'!$C$5:$C$701,MATCH(K$4&amp;"|nike_brand_wholesale_revenue",'03 Số liệu quý'!$Z$5:$Z$701,0))="","—",INDEX('03 Số liệu quý'!$C$5:$C$701,MATCH(K$4&amp;"|nike_brand_wholesale_revenue",'03 Số liệu quý'!$Z$5:$Z$701,0)))</f>
        <v>3425.0</v>
      </c>
      <c r="L26" s="24">
        <f>IF(INDEX('03 Số liệu quý'!$C$5:$C$701,MATCH(L$4&amp;"|nike_brand_wholesale_revenue",'03 Số liệu quý'!$Z$5:$Z$701,0))="","—",INDEX('03 Số liệu quý'!$C$5:$C$701,MATCH(L$4&amp;"|nike_brand_wholesale_revenue",'03 Số liệu quý'!$Z$5:$Z$701,0)))</f>
        <v>6364.0</v>
      </c>
      <c r="M26" s="24">
        <f>IF(INDEX('03 Số liệu quý'!$C$5:$C$701,MATCH(M$4&amp;"|nike_brand_wholesale_revenue",'03 Số liệu quý'!$Z$5:$Z$701,0))="","—",INDEX('03 Số liệu quý'!$C$5:$C$701,MATCH(M$4&amp;"|nike_brand_wholesale_revenue",'03 Số liệu quý'!$Z$5:$Z$701,0)))</f>
        <v>6423.0</v>
      </c>
      <c r="N26" s="24">
        <f>IF(INDEX('03 Số liệu quý'!$C$5:$C$701,MATCH(N$4&amp;"|nike_brand_wholesale_revenue",'03 Số liệu quý'!$Z$5:$Z$701,0))="","—",INDEX('03 Số liệu quý'!$C$5:$C$701,MATCH(N$4&amp;"|nike_brand_wholesale_revenue",'03 Số liệu quý'!$Z$5:$Z$701,0)))</f>
        <v>5814.0</v>
      </c>
      <c r="O26" s="24">
        <f>IF(INDEX('03 Số liệu quý'!$C$5:$C$701,MATCH(O$4&amp;"|nike_brand_wholesale_revenue",'03 Số liệu quý'!$Z$5:$Z$701,0))="","—",INDEX('03 Số liệu quý'!$C$5:$C$701,MATCH(O$4&amp;"|nike_brand_wholesale_revenue",'03 Số liệu quý'!$Z$5:$Z$701,0)))</f>
        <v>7297.0</v>
      </c>
      <c r="P26" s="25" t="s">
        <v>2300</v>
      </c>
    </row>
    <row r="27" spans="1:16">
      <c r="A27" s="23" t="s">
        <v>2019</v>
      </c>
      <c r="B27" s="11" t="s">
        <v>2020</v>
      </c>
      <c r="C27" s="11" t="s">
        <v>71</v>
      </c>
      <c r="D27" s="24">
        <f>IF(INDEX('03 Số liệu quý'!$D$5:$D$701,MATCH(D$4&amp;"|nike_brand_wholesale_revenue",'03 Số liệu quý'!$Z$5:$Z$701,0))="","—",INDEX('03 Số liệu quý'!$D$5:$D$701,MATCH(D$4&amp;"|nike_brand_wholesale_revenue",'03 Số liệu quý'!$Z$5:$Z$701,0)))</f>
        <v>6030.0</v>
      </c>
      <c r="E27" s="24">
        <f>IF(INDEX('03 Số liệu quý'!$D$5:$D$701,MATCH(E$4&amp;"|nike_brand_wholesale_revenue",'03 Số liệu quý'!$Z$5:$Z$701,0))="","—",INDEX('03 Số liệu quý'!$D$5:$D$701,MATCH(E$4&amp;"|nike_brand_wholesale_revenue",'03 Số liệu quý'!$Z$5:$Z$701,0)))</f>
        <v>5629.0</v>
      </c>
      <c r="F27" s="24">
        <f>IF(INDEX('03 Số liệu quý'!$D$5:$D$701,MATCH(F$4&amp;"|nike_brand_wholesale_revenue",'03 Số liệu quý'!$Z$5:$Z$701,0))="","—",INDEX('03 Số liệu quý'!$D$5:$D$701,MATCH(F$4&amp;"|nike_brand_wholesale_revenue",'03 Số liệu quý'!$Z$5:$Z$701,0)))</f>
        <v>5863.0</v>
      </c>
      <c r="G27" s="24">
        <f>IF(INDEX('03 Số liệu quý'!$D$5:$D$701,MATCH(G$4&amp;"|nike_brand_wholesale_revenue",'03 Số liệu quý'!$Z$5:$Z$701,0))="","—",INDEX('03 Số liệu quý'!$D$5:$D$701,MATCH(G$4&amp;"|nike_brand_wholesale_revenue",'03 Số liệu quý'!$Z$5:$Z$701,0)))</f>
        <v>6447.0</v>
      </c>
      <c r="H27" s="24">
        <f>IF(INDEX('03 Số liệu quý'!$D$5:$D$701,MATCH(H$4&amp;"|nike_brand_wholesale_revenue",'03 Số liệu quý'!$Z$5:$Z$701,0))="","—",INDEX('03 Số liệu quý'!$D$5:$D$701,MATCH(H$4&amp;"|nike_brand_wholesale_revenue",'03 Số liệu quý'!$Z$5:$Z$701,0)))</f>
        <v>6550.0</v>
      </c>
      <c r="I27" s="24">
        <f>IF(INDEX('03 Số liệu quý'!$D$5:$D$701,MATCH(I$4&amp;"|nike_brand_wholesale_revenue",'03 Số liệu quý'!$Z$5:$Z$701,0))="","—",INDEX('03 Số liệu quý'!$D$5:$D$701,MATCH(I$4&amp;"|nike_brand_wholesale_revenue",'03 Số liệu quý'!$Z$5:$Z$701,0)))</f>
        <v>6106.0</v>
      </c>
      <c r="J27" s="24">
        <f>IF(INDEX('03 Số liệu quý'!$D$5:$D$701,MATCH(J$4&amp;"|nike_brand_wholesale_revenue",'03 Số liệu quý'!$Z$5:$Z$701,0))="","—",INDEX('03 Số liệu quý'!$D$5:$D$701,MATCH(J$4&amp;"|nike_brand_wholesale_revenue",'03 Số liệu quý'!$Z$5:$Z$701,0)))</f>
        <v>6174.0</v>
      </c>
      <c r="K27" s="24">
        <f>IF(INDEX('03 Số liệu quý'!$D$5:$D$701,MATCH(K$4&amp;"|nike_brand_wholesale_revenue",'03 Số liệu quý'!$Z$5:$Z$701,0))="","—",INDEX('03 Số liệu quý'!$D$5:$D$701,MATCH(K$4&amp;"|nike_brand_wholesale_revenue",'03 Số liệu quý'!$Z$5:$Z$701,0)))</f>
        <v>6593.0</v>
      </c>
      <c r="L27" s="24">
        <f>IF(INDEX('03 Số liệu quý'!$D$5:$D$701,MATCH(L$4&amp;"|nike_brand_wholesale_revenue",'03 Số liệu quý'!$Z$5:$Z$701,0))="","—",INDEX('03 Số liệu quý'!$D$5:$D$701,MATCH(L$4&amp;"|nike_brand_wholesale_revenue",'03 Số liệu quý'!$Z$5:$Z$701,0)))</f>
        <v>6842.0</v>
      </c>
      <c r="M27" s="24">
        <f>IF(INDEX('03 Số liệu quý'!$D$5:$D$701,MATCH(M$4&amp;"|nike_brand_wholesale_revenue",'03 Số liệu quý'!$Z$5:$Z$701,0))="","—",INDEX('03 Số liệu quý'!$D$5:$D$701,MATCH(M$4&amp;"|nike_brand_wholesale_revenue",'03 Số liệu quý'!$Z$5:$Z$701,0)))</f>
        <v>6578.0</v>
      </c>
      <c r="N27" s="24">
        <f>IF(INDEX('03 Số liệu quý'!$D$5:$D$701,MATCH(N$4&amp;"|nike_brand_wholesale_revenue",'03 Số liệu quý'!$Z$5:$Z$701,0))="","—",INDEX('03 Số liệu quý'!$D$5:$D$701,MATCH(N$4&amp;"|nike_brand_wholesale_revenue",'03 Số liệu quý'!$Z$5:$Z$701,0)))</f>
        <v>6311.0</v>
      </c>
      <c r="O27" s="24">
        <f>IF(INDEX('03 Số liệu quý'!$D$5:$D$701,MATCH(O$4&amp;"|nike_brand_wholesale_revenue",'03 Số liệu quý'!$Z$5:$Z$701,0))="","—",INDEX('03 Số liệu quý'!$D$5:$D$701,MATCH(O$4&amp;"|nike_brand_wholesale_revenue",'03 Số liệu quý'!$Z$5:$Z$701,0)))</f>
        <v>3425.0</v>
      </c>
      <c r="P27" s="25" t="s">
        <v>2301</v>
      </c>
    </row>
    <row r="28" spans="1:16">
      <c r="A28" s="23" t="s">
        <v>313</v>
      </c>
      <c r="B28" s="11" t="s">
        <v>307</v>
      </c>
      <c r="C28" s="11" t="s">
        <v>71</v>
      </c>
      <c r="D28" s="24">
        <f>IF(INDEX('03 Số liệu quý'!$C$5:$C$701,MATCH(D$4&amp;"|global_brand_divisions_revenue",'03 Số liệu quý'!$Z$5:$Z$701,0))="","—",INDEX('03 Số liệu quý'!$C$5:$C$701,MATCH(D$4&amp;"|global_brand_divisions_revenue",'03 Số liệu quý'!$Z$5:$Z$701,0)))</f>
        <v>16.0</v>
      </c>
      <c r="E28" s="24">
        <f>IF(INDEX('03 Số liệu quý'!$C$5:$C$701,MATCH(E$4&amp;"|global_brand_divisions_revenue",'03 Số liệu quý'!$Z$5:$Z$701,0))="","—",INDEX('03 Số liệu quý'!$C$5:$C$701,MATCH(E$4&amp;"|global_brand_divisions_revenue",'03 Số liệu quý'!$Z$5:$Z$701,0)))</f>
        <v>9.0</v>
      </c>
      <c r="F28" s="24">
        <f>IF(INDEX('03 Số liệu quý'!$C$5:$C$701,MATCH(F$4&amp;"|global_brand_divisions_revenue",'03 Số liệu quý'!$Z$5:$Z$701,0))="","—",INDEX('03 Số liệu quý'!$C$5:$C$701,MATCH(F$4&amp;"|global_brand_divisions_revenue",'03 Số liệu quý'!$Z$5:$Z$701,0)))</f>
        <v>8.0</v>
      </c>
      <c r="G28" s="24">
        <f>IF(INDEX('03 Số liệu quý'!$C$5:$C$701,MATCH(G$4&amp;"|global_brand_divisions_revenue",'03 Số liệu quý'!$Z$5:$Z$701,0))="","—",INDEX('03 Số liệu quý'!$C$5:$C$701,MATCH(G$4&amp;"|global_brand_divisions_revenue",'03 Số liệu quý'!$Z$5:$Z$701,0)))</f>
        <v>9.0</v>
      </c>
      <c r="H28" s="24">
        <f>IF(INDEX('03 Số liệu quý'!$C$5:$C$701,MATCH(H$4&amp;"|global_brand_divisions_revenue",'03 Số liệu quý'!$Z$5:$Z$701,0))="","—",INDEX('03 Số liệu quý'!$C$5:$C$701,MATCH(H$4&amp;"|global_brand_divisions_revenue",'03 Số liệu quý'!$Z$5:$Z$701,0)))</f>
        <v>6.0</v>
      </c>
      <c r="I28" s="24">
        <f>IF(INDEX('03 Số liệu quý'!$C$5:$C$701,MATCH(I$4&amp;"|global_brand_divisions_revenue",'03 Số liệu quý'!$Z$5:$Z$701,0))="","—",INDEX('03 Số liệu quý'!$C$5:$C$701,MATCH(I$4&amp;"|global_brand_divisions_revenue",'03 Số liệu quý'!$Z$5:$Z$701,0)))</f>
        <v>10.0</v>
      </c>
      <c r="J28" s="24">
        <f>IF(INDEX('03 Số liệu quý'!$C$5:$C$701,MATCH(J$4&amp;"|global_brand_divisions_revenue",'03 Số liệu quý'!$Z$5:$Z$701,0))="","—",INDEX('03 Số liệu quý'!$C$5:$C$701,MATCH(J$4&amp;"|global_brand_divisions_revenue",'03 Số liệu quý'!$Z$5:$Z$701,0)))</f>
        <v>8.0</v>
      </c>
      <c r="K28" s="24">
        <f>IF(INDEX('03 Số liệu quý'!$C$5:$C$701,MATCH(K$4&amp;"|global_brand_divisions_revenue",'03 Số liệu quý'!$Z$5:$Z$701,0))="","—",INDEX('03 Số liệu quý'!$C$5:$C$701,MATCH(K$4&amp;"|global_brand_divisions_revenue",'03 Số liệu quý'!$Z$5:$Z$701,0)))</f>
        <v>6.0</v>
      </c>
      <c r="L28" s="24">
        <f>IF(INDEX('03 Số liệu quý'!$C$5:$C$701,MATCH(L$4&amp;"|global_brand_divisions_revenue",'03 Số liệu quý'!$Z$5:$Z$701,0))="","—",INDEX('03 Số liệu quý'!$C$5:$C$701,MATCH(L$4&amp;"|global_brand_divisions_revenue",'03 Số liệu quý'!$Z$5:$Z$701,0)))</f>
        <v>4.0</v>
      </c>
      <c r="M28" s="24">
        <f>IF(INDEX('03 Số liệu quý'!$C$5:$C$701,MATCH(M$4&amp;"|global_brand_divisions_revenue",'03 Số liệu quý'!$Z$5:$Z$701,0))="","—",INDEX('03 Số liệu quý'!$C$5:$C$701,MATCH(M$4&amp;"|global_brand_divisions_revenue",'03 Số liệu quý'!$Z$5:$Z$701,0)))</f>
        <v>8.0</v>
      </c>
      <c r="N28" s="24">
        <f>IF(INDEX('03 Số liệu quý'!$C$5:$C$701,MATCH(N$4&amp;"|global_brand_divisions_revenue",'03 Số liệu quý'!$Z$5:$Z$701,0))="","—",INDEX('03 Số liệu quý'!$C$5:$C$701,MATCH(N$4&amp;"|global_brand_divisions_revenue",'03 Số liệu quý'!$Z$5:$Z$701,0)))</f>
        <v>6.0</v>
      </c>
      <c r="O28" s="24">
        <f>IF(INDEX('03 Số liệu quý'!$C$5:$C$701,MATCH(O$4&amp;"|global_brand_divisions_revenue",'03 Số liệu quý'!$Z$5:$Z$701,0))="","—",INDEX('03 Số liệu quý'!$C$5:$C$701,MATCH(O$4&amp;"|global_brand_divisions_revenue",'03 Số liệu quý'!$Z$5:$Z$701,0)))</f>
        <v>7.0</v>
      </c>
      <c r="P28" s="25" t="s">
        <v>2302</v>
      </c>
    </row>
    <row r="29" spans="1:16">
      <c r="A29" s="23" t="s">
        <v>325</v>
      </c>
      <c r="B29" s="11" t="s">
        <v>319</v>
      </c>
      <c r="C29" s="11" t="s">
        <v>71</v>
      </c>
      <c r="D29" s="24">
        <f>IF(INDEX('03 Số liệu quý'!$C$5:$C$701,MATCH(D$4&amp;"|nike_brand_revenue",'03 Số liệu quý'!$Z$5:$Z$701,0))="","—",INDEX('03 Số liệu quý'!$C$5:$C$701,MATCH(D$4&amp;"|nike_brand_revenue",'03 Số liệu quý'!$Z$5:$Z$701,0)))</f>
        <v>9417.0</v>
      </c>
      <c r="E29" s="24">
        <f>IF(INDEX('03 Số liệu quý'!$C$5:$C$701,MATCH(E$4&amp;"|nike_brand_revenue",'03 Số liệu quý'!$Z$5:$Z$701,0))="","—",INDEX('03 Số liệu quý'!$C$5:$C$701,MATCH(E$4&amp;"|nike_brand_revenue",'03 Số liệu quý'!$Z$5:$Z$701,0)))</f>
        <v>8946.0</v>
      </c>
      <c r="F29" s="24">
        <f>IF(INDEX('03 Số liệu quý'!$C$5:$C$701,MATCH(F$4&amp;"|nike_brand_revenue",'03 Số liệu quý'!$Z$5:$Z$701,0))="","—",INDEX('03 Số liệu quý'!$C$5:$C$701,MATCH(F$4&amp;"|nike_brand_revenue",'03 Số liệu quý'!$Z$5:$Z$701,0)))</f>
        <v>9148.0</v>
      </c>
      <c r="G29" s="24">
        <f>IF(INDEX('03 Số liệu quý'!$C$5:$C$701,MATCH(G$4&amp;"|nike_brand_revenue",'03 Số liệu quý'!$Z$5:$Z$701,0))="","—",INDEX('03 Số liệu quý'!$C$5:$C$701,MATCH(G$4&amp;"|nike_brand_revenue",'03 Số liệu quý'!$Z$5:$Z$701,0)))</f>
        <v>9707.0</v>
      </c>
      <c r="H29" s="24">
        <f>IF(INDEX('03 Số liệu quý'!$C$5:$C$701,MATCH(H$4&amp;"|nike_brand_revenue",'03 Số liệu quý'!$Z$5:$Z$701,0))="","—",INDEX('03 Số liệu quý'!$C$5:$C$701,MATCH(H$4&amp;"|nike_brand_revenue",'03 Số liệu quý'!$Z$5:$Z$701,0)))</f>
        <v>10096.0</v>
      </c>
      <c r="I29" s="24">
        <f>IF(INDEX('03 Số liệu quý'!$C$5:$C$701,MATCH(I$4&amp;"|nike_brand_revenue",'03 Số liệu quý'!$Z$5:$Z$701,0))="","—",INDEX('03 Số liệu quý'!$C$5:$C$701,MATCH(I$4&amp;"|nike_brand_revenue",'03 Số liệu quý'!$Z$5:$Z$701,0)))</f>
        <v>9844.0</v>
      </c>
      <c r="J29" s="24">
        <f>IF(INDEX('03 Số liệu quý'!$C$5:$C$701,MATCH(J$4&amp;"|nike_brand_revenue",'03 Số liệu quý'!$Z$5:$Z$701,0))="","—",INDEX('03 Số liệu quý'!$C$5:$C$701,MATCH(J$4&amp;"|nike_brand_revenue",'03 Số liệu quý'!$Z$5:$Z$701,0)))</f>
        <v>9616.0</v>
      </c>
      <c r="K29" s="24">
        <f>IF(INDEX('03 Số liệu quý'!$C$5:$C$701,MATCH(K$4&amp;"|nike_brand_revenue",'03 Số liệu quý'!$Z$5:$Z$701,0))="","—",INDEX('03 Số liệu quý'!$C$5:$C$701,MATCH(K$4&amp;"|nike_brand_revenue",'03 Số liệu quý'!$Z$5:$Z$701,0)))</f>
        <v>6012.0</v>
      </c>
      <c r="L29" s="24">
        <f>IF(INDEX('03 Số liệu quý'!$C$5:$C$701,MATCH(L$4&amp;"|nike_brand_revenue",'03 Số liệu quý'!$Z$5:$Z$701,0))="","—",INDEX('03 Số liệu quý'!$C$5:$C$701,MATCH(L$4&amp;"|nike_brand_revenue",'03 Số liệu quý'!$Z$5:$Z$701,0)))</f>
        <v>10018.0</v>
      </c>
      <c r="M29" s="24">
        <f>IF(INDEX('03 Số liệu quý'!$C$5:$C$701,MATCH(M$4&amp;"|nike_brand_revenue",'03 Số liệu quý'!$Z$5:$Z$701,0))="","—",INDEX('03 Số liệu quý'!$C$5:$C$701,MATCH(M$4&amp;"|nike_brand_revenue",'03 Số liệu quý'!$Z$5:$Z$701,0)))</f>
        <v>10741.0</v>
      </c>
      <c r="N29" s="24">
        <f>IF(INDEX('03 Số liệu quý'!$C$5:$C$701,MATCH(N$4&amp;"|nike_brand_revenue",'03 Số liệu quý'!$Z$5:$Z$701,0))="","—",INDEX('03 Số liệu quý'!$C$5:$C$701,MATCH(N$4&amp;"|nike_brand_revenue",'03 Số liệu quý'!$Z$5:$Z$701,0)))</f>
        <v>9773.0</v>
      </c>
      <c r="O29" s="24">
        <f>IF(INDEX('03 Số liệu quý'!$C$5:$C$701,MATCH(O$4&amp;"|nike_brand_revenue",'03 Số liệu quý'!$Z$5:$Z$701,0))="","—",INDEX('03 Số liệu quý'!$C$5:$C$701,MATCH(O$4&amp;"|nike_brand_revenue",'03 Số liệu quý'!$Z$5:$Z$701,0)))</f>
        <v>11761.0</v>
      </c>
      <c r="P29" s="25" t="s">
        <v>2303</v>
      </c>
    </row>
    <row r="30" spans="1:16">
      <c r="A30" s="23" t="s">
        <v>2024</v>
      </c>
      <c r="B30" s="11" t="s">
        <v>2025</v>
      </c>
      <c r="C30" s="11" t="s">
        <v>71</v>
      </c>
      <c r="D30" s="24">
        <f>IF(INDEX('03 Số liệu quý'!$D$5:$D$701,MATCH(D$4&amp;"|nike_brand_revenue",'03 Số liệu quý'!$Z$5:$Z$701,0))="","—",INDEX('03 Số liệu quý'!$D$5:$D$701,MATCH(D$4&amp;"|nike_brand_revenue",'03 Số liệu quý'!$Z$5:$Z$701,0)))</f>
        <v>8585.0</v>
      </c>
      <c r="E30" s="24">
        <f>IF(INDEX('03 Số liệu quý'!$D$5:$D$701,MATCH(E$4&amp;"|nike_brand_revenue",'03 Số liệu quý'!$Z$5:$Z$701,0))="","—",INDEX('03 Số liệu quý'!$D$5:$D$701,MATCH(E$4&amp;"|nike_brand_revenue",'03 Số liệu quý'!$Z$5:$Z$701,0)))</f>
        <v>8136.0</v>
      </c>
      <c r="F30" s="24">
        <f>IF(INDEX('03 Số liệu quý'!$D$5:$D$701,MATCH(F$4&amp;"|nike_brand_revenue",'03 Số liệu quý'!$Z$5:$Z$701,0))="","—",INDEX('03 Số liệu quý'!$D$5:$D$701,MATCH(F$4&amp;"|nike_brand_revenue",'03 Số liệu quý'!$Z$5:$Z$701,0)))</f>
        <v>8495.0</v>
      </c>
      <c r="G30" s="24">
        <f>IF(INDEX('03 Số liệu quý'!$D$5:$D$701,MATCH(G$4&amp;"|nike_brand_revenue",'03 Số liệu quý'!$Z$5:$Z$701,0))="","—",INDEX('03 Số liệu quý'!$D$5:$D$701,MATCH(G$4&amp;"|nike_brand_revenue",'03 Số liệu quý'!$Z$5:$Z$701,0)))</f>
        <v>9269.0</v>
      </c>
      <c r="H30" s="24">
        <f>IF(INDEX('03 Số liệu quý'!$D$5:$D$701,MATCH(H$4&amp;"|nike_brand_revenue",'03 Số liệu quý'!$Z$5:$Z$701,0))="","—",INDEX('03 Số liệu quý'!$D$5:$D$701,MATCH(H$4&amp;"|nike_brand_revenue",'03 Số liệu quý'!$Z$5:$Z$701,0)))</f>
        <v>9417.0</v>
      </c>
      <c r="I30" s="24">
        <f>IF(INDEX('03 Số liệu quý'!$D$5:$D$701,MATCH(I$4&amp;"|nike_brand_revenue",'03 Số liệu quý'!$Z$5:$Z$701,0))="","—",INDEX('03 Số liệu quý'!$D$5:$D$701,MATCH(I$4&amp;"|nike_brand_revenue",'03 Số liệu quý'!$Z$5:$Z$701,0)))</f>
        <v>8946.0</v>
      </c>
      <c r="J30" s="24">
        <f>IF(INDEX('03 Số liệu quý'!$D$5:$D$701,MATCH(J$4&amp;"|nike_brand_revenue",'03 Số liệu quý'!$Z$5:$Z$701,0))="","—",INDEX('03 Số liệu quý'!$D$5:$D$701,MATCH(J$4&amp;"|nike_brand_revenue",'03 Số liệu quý'!$Z$5:$Z$701,0)))</f>
        <v>9148.0</v>
      </c>
      <c r="K30" s="24">
        <f>IF(INDEX('03 Số liệu quý'!$D$5:$D$701,MATCH(K$4&amp;"|nike_brand_revenue",'03 Số liệu quý'!$Z$5:$Z$701,0))="","—",INDEX('03 Số liệu quý'!$D$5:$D$701,MATCH(K$4&amp;"|nike_brand_revenue",'03 Số liệu quý'!$Z$5:$Z$701,0)))</f>
        <v>9707.0</v>
      </c>
      <c r="L30" s="24">
        <f>IF(INDEX('03 Số liệu quý'!$D$5:$D$701,MATCH(L$4&amp;"|nike_brand_revenue",'03 Số liệu quý'!$Z$5:$Z$701,0))="","—",INDEX('03 Số liệu quý'!$D$5:$D$701,MATCH(L$4&amp;"|nike_brand_revenue",'03 Số liệu quý'!$Z$5:$Z$701,0)))</f>
        <v>10096.0</v>
      </c>
      <c r="M30" s="24">
        <f>IF(INDEX('03 Số liệu quý'!$D$5:$D$701,MATCH(M$4&amp;"|nike_brand_revenue",'03 Số liệu quý'!$Z$5:$Z$701,0))="","—",INDEX('03 Số liệu quý'!$D$5:$D$701,MATCH(M$4&amp;"|nike_brand_revenue",'03 Số liệu quý'!$Z$5:$Z$701,0)))</f>
        <v>9844.0</v>
      </c>
      <c r="N30" s="24">
        <f>IF(INDEX('03 Số liệu quý'!$D$5:$D$701,MATCH(N$4&amp;"|nike_brand_revenue",'03 Số liệu quý'!$Z$5:$Z$701,0))="","—",INDEX('03 Số liệu quý'!$D$5:$D$701,MATCH(N$4&amp;"|nike_brand_revenue",'03 Số liệu quý'!$Z$5:$Z$701,0)))</f>
        <v>9616.0</v>
      </c>
      <c r="O30" s="24">
        <f>IF(INDEX('03 Số liệu quý'!$D$5:$D$701,MATCH(O$4&amp;"|nike_brand_revenue",'03 Số liệu quý'!$Z$5:$Z$701,0))="","—",INDEX('03 Số liệu quý'!$D$5:$D$701,MATCH(O$4&amp;"|nike_brand_revenue",'03 Số liệu quý'!$Z$5:$Z$701,0)))</f>
        <v>6012.0</v>
      </c>
      <c r="P30" s="25" t="s">
        <v>2304</v>
      </c>
    </row>
    <row r="31" spans="1:16">
      <c r="A31" s="23" t="s">
        <v>337</v>
      </c>
      <c r="B31" s="11" t="s">
        <v>331</v>
      </c>
      <c r="C31" s="11" t="s">
        <v>71</v>
      </c>
      <c r="D31" s="24">
        <f>IF(INDEX('03 Số liệu quý'!$C$5:$C$701,MATCH(D$4&amp;"|converse_revenue",'03 Số liệu quý'!$Z$5:$Z$701,0))="","—",INDEX('03 Số liệu quý'!$C$5:$C$701,MATCH(D$4&amp;"|converse_revenue",'03 Số liệu quý'!$Z$5:$Z$701,0)))</f>
        <v>527.0</v>
      </c>
      <c r="E31" s="24">
        <f>IF(INDEX('03 Số liệu quý'!$C$5:$C$701,MATCH(E$4&amp;"|converse_revenue",'03 Số liệu quý'!$Z$5:$Z$701,0))="","—",INDEX('03 Số liệu quý'!$C$5:$C$701,MATCH(E$4&amp;"|converse_revenue",'03 Số liệu quý'!$Z$5:$Z$701,0)))</f>
        <v>425.0</v>
      </c>
      <c r="F31" s="24">
        <f>IF(INDEX('03 Số liệu quý'!$C$5:$C$701,MATCH(F$4&amp;"|converse_revenue",'03 Số liệu quý'!$Z$5:$Z$701,0))="","—",INDEX('03 Số liệu quý'!$C$5:$C$701,MATCH(F$4&amp;"|converse_revenue",'03 Số liệu quý'!$Z$5:$Z$701,0)))</f>
        <v>463.0</v>
      </c>
      <c r="G31" s="24">
        <f>IF(INDEX('03 Số liệu quý'!$C$5:$C$701,MATCH(G$4&amp;"|converse_revenue",'03 Số liệu quý'!$Z$5:$Z$701,0))="","—",INDEX('03 Số liệu quý'!$C$5:$C$701,MATCH(G$4&amp;"|converse_revenue",'03 Số liệu quý'!$Z$5:$Z$701,0)))</f>
        <v>491.0</v>
      </c>
      <c r="H31" s="24">
        <f>IF(INDEX('03 Số liệu quý'!$C$5:$C$701,MATCH(H$4&amp;"|converse_revenue",'03 Số liệu quý'!$Z$5:$Z$701,0))="","—",INDEX('03 Số liệu quý'!$C$5:$C$701,MATCH(H$4&amp;"|converse_revenue",'03 Số liệu quý'!$Z$5:$Z$701,0)))</f>
        <v>555.0</v>
      </c>
      <c r="I31" s="24">
        <f>IF(INDEX('03 Số liệu quý'!$C$5:$C$701,MATCH(I$4&amp;"|converse_revenue",'03 Số liệu quý'!$Z$5:$Z$701,0))="","—",INDEX('03 Số liệu quý'!$C$5:$C$701,MATCH(I$4&amp;"|converse_revenue",'03 Số liệu quý'!$Z$5:$Z$701,0)))</f>
        <v>480.0</v>
      </c>
      <c r="J31" s="24">
        <f>IF(INDEX('03 Số liệu quý'!$C$5:$C$701,MATCH(J$4&amp;"|converse_revenue",'03 Số liệu quý'!$Z$5:$Z$701,0))="","—",INDEX('03 Số liệu quý'!$C$5:$C$701,MATCH(J$4&amp;"|converse_revenue",'03 Số liệu quý'!$Z$5:$Z$701,0)))</f>
        <v>506.0</v>
      </c>
      <c r="K31" s="24">
        <f>IF(INDEX('03 Số liệu quý'!$C$5:$C$701,MATCH(K$4&amp;"|converse_revenue",'03 Số liệu quý'!$Z$5:$Z$701,0))="","—",INDEX('03 Số liệu quý'!$C$5:$C$701,MATCH(K$4&amp;"|converse_revenue",'03 Số liệu quý'!$Z$5:$Z$701,0)))</f>
        <v>305.0</v>
      </c>
      <c r="L31" s="24">
        <f>IF(INDEX('03 Số liệu quý'!$C$5:$C$701,MATCH(L$4&amp;"|converse_revenue",'03 Số liệu quý'!$Z$5:$Z$701,0))="","—",INDEX('03 Số liệu quý'!$C$5:$C$701,MATCH(L$4&amp;"|converse_revenue",'03 Số liệu quý'!$Z$5:$Z$701,0)))</f>
        <v>563.0</v>
      </c>
      <c r="M31" s="24">
        <f>IF(INDEX('03 Số liệu quý'!$C$5:$C$701,MATCH(M$4&amp;"|converse_revenue",'03 Số liệu quý'!$Z$5:$Z$701,0))="","—",INDEX('03 Số liệu quý'!$C$5:$C$701,MATCH(M$4&amp;"|converse_revenue",'03 Số liệu quý'!$Z$5:$Z$701,0)))</f>
        <v>476.0</v>
      </c>
      <c r="N31" s="24">
        <f>IF(INDEX('03 Số liệu quý'!$C$5:$C$701,MATCH(N$4&amp;"|converse_revenue",'03 Số liệu quý'!$Z$5:$Z$701,0))="","—",INDEX('03 Số liệu quý'!$C$5:$C$701,MATCH(N$4&amp;"|converse_revenue",'03 Số liệu quý'!$Z$5:$Z$701,0)))</f>
        <v>570.0</v>
      </c>
      <c r="O31" s="24">
        <f>IF(INDEX('03 Số liệu quý'!$C$5:$C$701,MATCH(O$4&amp;"|converse_revenue",'03 Số liệu quý'!$Z$5:$Z$701,0))="","—",INDEX('03 Số liệu quý'!$C$5:$C$701,MATCH(O$4&amp;"|converse_revenue",'03 Số liệu quý'!$Z$5:$Z$701,0)))</f>
        <v>596.0</v>
      </c>
      <c r="P31" s="25" t="s">
        <v>2305</v>
      </c>
    </row>
    <row r="32" spans="1:16">
      <c r="A32" s="23" t="s">
        <v>349</v>
      </c>
      <c r="B32" s="11" t="s">
        <v>343</v>
      </c>
      <c r="C32" s="11" t="s">
        <v>71</v>
      </c>
      <c r="D32" s="24">
        <f>IF(INDEX('03 Số liệu quý'!$C$5:$C$701,MATCH(D$4&amp;"|corporate_revenue",'03 Số liệu quý'!$Z$5:$Z$701,0))="","—",INDEX('03 Số liệu quý'!$C$5:$C$701,MATCH(D$4&amp;"|corporate_revenue",'03 Số liệu quý'!$Z$5:$Z$701,0)))</f>
        <v>4.0</v>
      </c>
      <c r="E32" s="24">
        <f>IF(INDEX('03 Số liệu quý'!$C$5:$C$701,MATCH(E$4&amp;"|corporate_revenue",'03 Số liệu quý'!$Z$5:$Z$701,0))="","—",INDEX('03 Số liệu quý'!$C$5:$C$701,MATCH(E$4&amp;"|corporate_revenue",'03 Số liệu quý'!$Z$5:$Z$701,0)))</f>
        <v>3.0</v>
      </c>
      <c r="F32" s="24">
        <f>IF(INDEX('03 Số liệu quý'!$C$5:$C$701,MATCH(F$4&amp;"|corporate_revenue",'03 Số liệu quý'!$Z$5:$Z$701,0))="","—",INDEX('03 Số liệu quý'!$C$5:$C$701,MATCH(F$4&amp;"|corporate_revenue",'03 Số liệu quý'!$Z$5:$Z$701,0)))</f>
        <v>0.0</v>
      </c>
      <c r="G32" s="24">
        <f>IF(INDEX('03 Số liệu quý'!$C$5:$C$701,MATCH(G$4&amp;"|corporate_revenue",'03 Số liệu quý'!$Z$5:$Z$701,0))="","—",INDEX('03 Số liệu quý'!$C$5:$C$701,MATCH(G$4&amp;"|corporate_revenue",'03 Số liệu quý'!$Z$5:$Z$701,0)))</f>
        <v>-14.0</v>
      </c>
      <c r="H32" s="24">
        <f>IF(INDEX('03 Số liệu quý'!$C$5:$C$701,MATCH(H$4&amp;"|corporate_revenue",'03 Số liệu quý'!$Z$5:$Z$701,0))="","—",INDEX('03 Số liệu quý'!$C$5:$C$701,MATCH(H$4&amp;"|corporate_revenue",'03 Số liệu quý'!$Z$5:$Z$701,0)))</f>
        <v>9.0</v>
      </c>
      <c r="I32" s="24">
        <f>IF(INDEX('03 Số liệu quý'!$C$5:$C$701,MATCH(I$4&amp;"|corporate_revenue",'03 Số liệu quý'!$Z$5:$Z$701,0))="","—",INDEX('03 Số liệu quý'!$C$5:$C$701,MATCH(I$4&amp;"|corporate_revenue",'03 Số liệu quý'!$Z$5:$Z$701,0)))</f>
        <v>2.0</v>
      </c>
      <c r="J32" s="24">
        <f>IF(INDEX('03 Số liệu quý'!$C$5:$C$701,MATCH(J$4&amp;"|corporate_revenue",'03 Số liệu quý'!$Z$5:$Z$701,0))="","—",INDEX('03 Số liệu quý'!$C$5:$C$701,MATCH(J$4&amp;"|corporate_revenue",'03 Số liệu quý'!$Z$5:$Z$701,0)))</f>
        <v>-18.0</v>
      </c>
      <c r="K32" s="24">
        <f>IF(INDEX('03 Số liệu quý'!$C$5:$C$701,MATCH(K$4&amp;"|corporate_revenue",'03 Số liệu quý'!$Z$5:$Z$701,0))="","—",INDEX('03 Số liệu quý'!$C$5:$C$701,MATCH(K$4&amp;"|corporate_revenue",'03 Số liệu quý'!$Z$5:$Z$701,0)))</f>
        <v>-4.0</v>
      </c>
      <c r="L32" s="24">
        <f>IF(INDEX('03 Số liệu quý'!$C$5:$C$701,MATCH(L$4&amp;"|corporate_revenue",'03 Số liệu quý'!$Z$5:$Z$701,0))="","—",INDEX('03 Số liệu quý'!$C$5:$C$701,MATCH(L$4&amp;"|corporate_revenue",'03 Số liệu quý'!$Z$5:$Z$701,0)))</f>
        <v>13.0</v>
      </c>
      <c r="M32" s="24">
        <f>IF(INDEX('03 Số liệu quý'!$C$5:$C$701,MATCH(M$4&amp;"|corporate_revenue",'03 Số liệu quý'!$Z$5:$Z$701,0))="","—",INDEX('03 Số liệu quý'!$C$5:$C$701,MATCH(M$4&amp;"|corporate_revenue",'03 Số liệu quý'!$Z$5:$Z$701,0)))</f>
        <v>26.0</v>
      </c>
      <c r="N32" s="24">
        <f>IF(INDEX('03 Số liệu quý'!$C$5:$C$701,MATCH(N$4&amp;"|corporate_revenue",'03 Số liệu quý'!$Z$5:$Z$701,0))="","—",INDEX('03 Số liệu quý'!$C$5:$C$701,MATCH(N$4&amp;"|corporate_revenue",'03 Số liệu quý'!$Z$5:$Z$701,0)))</f>
        <v>14.0</v>
      </c>
      <c r="O32" s="24">
        <f>IF(INDEX('03 Số liệu quý'!$C$5:$C$701,MATCH(O$4&amp;"|corporate_revenue",'03 Số liệu quý'!$Z$5:$Z$701,0))="","—",INDEX('03 Số liệu quý'!$C$5:$C$701,MATCH(O$4&amp;"|corporate_revenue",'03 Số liệu quý'!$Z$5:$Z$701,0)))</f>
        <v>-13.0</v>
      </c>
      <c r="P32" s="25" t="s">
        <v>2306</v>
      </c>
    </row>
    <row r="33" spans="1:16">
      <c r="A33" s="23" t="s">
        <v>362</v>
      </c>
      <c r="B33" s="11" t="s">
        <v>355</v>
      </c>
      <c r="C33" s="11" t="s">
        <v>356</v>
      </c>
      <c r="D33" s="27">
        <f>IF(INDEX('03 Số liệu quý'!$C$5:$C$701,MATCH(D$4&amp;"|nike_brand_digital_sales",'03 Số liệu quý'!$Z$5:$Z$701,0))="","—",INDEX('03 Số liệu quý'!$C$5:$C$701,MATCH(D$4&amp;"|nike_brand_digital_sales",'03 Số liệu quý'!$Z$5:$Z$701,0)))</f>
        <v>0.77</v>
      </c>
      <c r="E33" s="27">
        <f>IF(INDEX('03 Số liệu quý'!$C$5:$C$701,MATCH(E$4&amp;"|nike_brand_digital_sales",'03 Số liệu quý'!$Z$5:$Z$701,0))="","—",INDEX('03 Số liệu quý'!$C$5:$C$701,MATCH(E$4&amp;"|nike_brand_digital_sales",'03 Số liệu quý'!$Z$5:$Z$701,0)))</f>
        <v>0.977</v>
      </c>
      <c r="F33" s="27">
        <f>IF(INDEX('03 Số liệu quý'!$C$5:$C$701,MATCH(F$4&amp;"|nike_brand_digital_sales",'03 Số liệu quý'!$Z$5:$Z$701,0))="","—",INDEX('03 Số liệu quý'!$C$5:$C$701,MATCH(F$4&amp;"|nike_brand_digital_sales",'03 Số liệu quý'!$Z$5:$Z$701,0)))</f>
        <v>1.034</v>
      </c>
      <c r="G33" s="27">
        <f>IF(INDEX('03 Số liệu quý'!$C$5:$C$701,MATCH(G$4&amp;"|nike_brand_digital_sales",'03 Số liệu quý'!$Z$5:$Z$701,0))="","—",INDEX('03 Số liệu quý'!$C$5:$C$701,MATCH(G$4&amp;"|nike_brand_digital_sales",'03 Số liệu quý'!$Z$5:$Z$701,0)))</f>
        <v>1.019</v>
      </c>
      <c r="H33" s="27">
        <f>IF(INDEX('03 Số liệu quý'!$C$5:$C$701,MATCH(H$4&amp;"|nike_brand_digital_sales",'03 Số liệu quý'!$Z$5:$Z$701,0))="","—",INDEX('03 Số liệu quý'!$C$5:$C$701,MATCH(H$4&amp;"|nike_brand_digital_sales",'03 Số liệu quý'!$Z$5:$Z$701,0)))</f>
        <v>1.1</v>
      </c>
      <c r="I33" s="27">
        <f>IF(INDEX('03 Số liệu quý'!$C$5:$C$701,MATCH(I$4&amp;"|nike_brand_digital_sales",'03 Số liệu quý'!$Z$5:$Z$701,0))="","—",INDEX('03 Số liệu quý'!$C$5:$C$701,MATCH(I$4&amp;"|nike_brand_digital_sales",'03 Số liệu quý'!$Z$5:$Z$701,0)))</f>
        <v>1.3</v>
      </c>
      <c r="J33" s="27">
        <f>IF(INDEX('03 Số liệu quý'!$C$5:$C$701,MATCH(J$4&amp;"|nike_brand_digital_sales",'03 Số liệu quý'!$Z$5:$Z$701,0))="","—",INDEX('03 Số liệu quý'!$C$5:$C$701,MATCH(J$4&amp;"|nike_brand_digital_sales",'03 Số liệu quý'!$Z$5:$Z$701,0)))</f>
        <v>1.4</v>
      </c>
      <c r="K33" s="27">
        <f>IF(INDEX('03 Số liệu quý'!$C$5:$C$701,MATCH(K$4&amp;"|nike_brand_digital_sales",'03 Số liệu quý'!$Z$5:$Z$701,0))="","—",INDEX('03 Số liệu quý'!$C$5:$C$701,MATCH(K$4&amp;"|nike_brand_digital_sales",'03 Số liệu quý'!$Z$5:$Z$701,0)))</f>
        <v>1.7</v>
      </c>
      <c r="L33" s="27">
        <f>IF(INDEX('03 Số liệu quý'!$C$5:$C$701,MATCH(L$4&amp;"|nike_brand_digital_sales",'03 Số liệu quý'!$Z$5:$Z$701,0))="","—",INDEX('03 Số liệu quý'!$C$5:$C$701,MATCH(L$4&amp;"|nike_brand_digital_sales",'03 Số liệu quý'!$Z$5:$Z$701,0)))</f>
        <v>1.9</v>
      </c>
      <c r="M33" s="27">
        <f>IF(INDEX('03 Số liệu quý'!$C$5:$C$701,MATCH(M$4&amp;"|nike_brand_digital_sales",'03 Số liệu quý'!$Z$5:$Z$701,0))="","—",INDEX('03 Số liệu quý'!$C$5:$C$701,MATCH(M$4&amp;"|nike_brand_digital_sales",'03 Số liệu quý'!$Z$5:$Z$701,0)))</f>
        <v>2.4</v>
      </c>
      <c r="N33" s="27">
        <f>IF(INDEX('03 Số liệu quý'!$C$5:$C$701,MATCH(N$4&amp;"|nike_brand_digital_sales",'03 Số liệu quý'!$Z$5:$Z$701,0))="","—",INDEX('03 Số liệu quý'!$C$5:$C$701,MATCH(N$4&amp;"|nike_brand_digital_sales",'03 Số liệu quý'!$Z$5:$Z$701,0)))</f>
        <v>2.2</v>
      </c>
      <c r="O33" s="27">
        <f>IF(INDEX('03 Số liệu quý'!$C$5:$C$701,MATCH(O$4&amp;"|nike_brand_digital_sales",'03 Số liệu quý'!$Z$5:$Z$701,0))="","—",INDEX('03 Số liệu quý'!$C$5:$C$701,MATCH(O$4&amp;"|nike_brand_digital_sales",'03 Số liệu quý'!$Z$5:$Z$701,0)))</f>
        <v>2.5</v>
      </c>
      <c r="P33" s="25" t="s">
        <v>2307</v>
      </c>
    </row>
    <row r="34" spans="1:16">
      <c r="A34" s="23" t="s">
        <v>373</v>
      </c>
      <c r="B34" s="11" t="s">
        <v>368</v>
      </c>
      <c r="C34" s="11" t="s">
        <v>254</v>
      </c>
      <c r="D34" s="26">
        <f>IF(INDEX('03 Số liệu quý'!$C$5:$C$701,MATCH(D$4&amp;"|nike_direct_share_stated",'03 Số liệu quý'!$Z$5:$Z$701,0))="","—",INDEX('03 Số liệu quý'!$C$5:$C$701,MATCH(D$4&amp;"|nike_direct_share_stated",'03 Số liệu quý'!$Z$5:$Z$701,0)))</f>
        <v>0.3</v>
      </c>
      <c r="E34" s="26">
        <f>IF(INDEX('03 Số liệu quý'!$C$5:$C$701,MATCH(E$4&amp;"|nike_direct_share_stated",'03 Số liệu quý'!$Z$5:$Z$701,0))="","—",INDEX('03 Số liệu quý'!$C$5:$C$701,MATCH(E$4&amp;"|nike_direct_share_stated",'03 Số liệu quý'!$Z$5:$Z$701,0)))</f>
        <v>0.32</v>
      </c>
      <c r="F34" s="26">
        <f>IF(INDEX('03 Số liệu quý'!$C$5:$C$701,MATCH(F$4&amp;"|nike_direct_share_stated",'03 Số liệu quý'!$Z$5:$Z$701,0))="","—",INDEX('03 Số liệu quý'!$C$5:$C$701,MATCH(F$4&amp;"|nike_direct_share_stated",'03 Số liệu quý'!$Z$5:$Z$701,0)))</f>
        <v>0.32</v>
      </c>
      <c r="G34" s="26" t="str">
        <f>IF(INDEX('03 Số liệu quý'!$C$5:$C$701,MATCH(G$4&amp;"|nike_direct_share_stated",'03 Số liệu quý'!$Z$5:$Z$701,0))="","—",INDEX('03 Số liệu quý'!$C$5:$C$701,MATCH(G$4&amp;"|nike_direct_share_stated",'03 Số liệu quý'!$Z$5:$Z$701,0)))</f>
        <v>—</v>
      </c>
      <c r="H34" s="26">
        <f>IF(INDEX('03 Số liệu quý'!$C$5:$C$701,MATCH(H$4&amp;"|nike_direct_share_stated",'03 Số liệu quý'!$Z$5:$Z$701,0))="","—",INDEX('03 Số liệu quý'!$C$5:$C$701,MATCH(H$4&amp;"|nike_direct_share_stated",'03 Số liệu quý'!$Z$5:$Z$701,0)))</f>
        <v>0.32</v>
      </c>
      <c r="I34" s="26">
        <f>IF(INDEX('03 Số liệu quý'!$C$5:$C$701,MATCH(I$4&amp;"|nike_direct_share_stated",'03 Số liệu quý'!$Z$5:$Z$701,0))="","—",INDEX('03 Số liệu quý'!$C$5:$C$701,MATCH(I$4&amp;"|nike_direct_share_stated",'03 Số liệu quý'!$Z$5:$Z$701,0)))</f>
        <v>0.33</v>
      </c>
      <c r="J34" s="26">
        <f>IF(INDEX('03 Số liệu quý'!$C$5:$C$701,MATCH(J$4&amp;"|nike_direct_share_stated",'03 Số liệu quý'!$Z$5:$Z$701,0))="","—",INDEX('03 Số liệu quý'!$C$5:$C$701,MATCH(J$4&amp;"|nike_direct_share_stated",'03 Số liệu quý'!$Z$5:$Z$701,0)))</f>
        <v>0.34</v>
      </c>
      <c r="K34" s="26" t="str">
        <f>IF(INDEX('03 Số liệu quý'!$C$5:$C$701,MATCH(K$4&amp;"|nike_direct_share_stated",'03 Số liệu quý'!$Z$5:$Z$701,0))="","—",INDEX('03 Số liệu quý'!$C$5:$C$701,MATCH(K$4&amp;"|nike_direct_share_stated",'03 Số liệu quý'!$Z$5:$Z$701,0)))</f>
        <v>—</v>
      </c>
      <c r="L34" s="26">
        <f>IF(INDEX('03 Số liệu quý'!$C$5:$C$701,MATCH(L$4&amp;"|nike_direct_share_stated",'03 Số liệu quý'!$Z$5:$Z$701,0))="","—",INDEX('03 Số liệu quý'!$C$5:$C$701,MATCH(L$4&amp;"|nike_direct_share_stated",'03 Số liệu quý'!$Z$5:$Z$701,0)))</f>
        <v>0.36</v>
      </c>
      <c r="M34" s="26">
        <f>IF(INDEX('03 Số liệu quý'!$C$5:$C$701,MATCH(M$4&amp;"|nike_direct_share_stated",'03 Số liệu quý'!$Z$5:$Z$701,0))="","—",INDEX('03 Số liệu quý'!$C$5:$C$701,MATCH(M$4&amp;"|nike_direct_share_stated",'03 Số liệu quý'!$Z$5:$Z$701,0)))</f>
        <v>0.4</v>
      </c>
      <c r="N34" s="26">
        <f>IF(INDEX('03 Số liệu quý'!$C$5:$C$701,MATCH(N$4&amp;"|nike_direct_share_stated",'03 Số liệu quý'!$Z$5:$Z$701,0))="","—",INDEX('03 Số liệu quý'!$C$5:$C$701,MATCH(N$4&amp;"|nike_direct_share_stated",'03 Số liệu quý'!$Z$5:$Z$701,0)))</f>
        <v>0.4</v>
      </c>
      <c r="O34" s="26" t="str">
        <f>IF(INDEX('03 Số liệu quý'!$C$5:$C$701,MATCH(O$4&amp;"|nike_direct_share_stated",'03 Số liệu quý'!$Z$5:$Z$701,0))="","—",INDEX('03 Số liệu quý'!$C$5:$C$701,MATCH(O$4&amp;"|nike_direct_share_stated",'03 Số liệu quý'!$Z$5:$Z$701,0)))</f>
        <v>—</v>
      </c>
      <c r="P34" s="25" t="s">
        <v>2308</v>
      </c>
    </row>
    <row r="35" spans="1:16">
      <c r="A35" s="23" t="s">
        <v>385</v>
      </c>
      <c r="B35" s="11" t="s">
        <v>381</v>
      </c>
      <c r="C35" s="11" t="s">
        <v>254</v>
      </c>
      <c r="D35" s="26">
        <f>IF(INDEX('03 Số liệu quý'!$C$5:$C$701,MATCH(D$4&amp;"|nike_direct_pct_change_reported",'03 Số liệu quý'!$Z$5:$Z$701,0))="","—",INDEX('03 Số liệu quý'!$C$5:$C$701,MATCH(D$4&amp;"|nike_direct_pct_change_reported",'03 Số liệu quý'!$Z$5:$Z$701,0)))</f>
        <v>0.12</v>
      </c>
      <c r="E35" s="26">
        <f>IF(INDEX('03 Số liệu quý'!$C$5:$C$701,MATCH(E$4&amp;"|nike_direct_pct_change_reported",'03 Số liệu quý'!$Z$5:$Z$701,0))="","—",INDEX('03 Số liệu quý'!$C$5:$C$701,MATCH(E$4&amp;"|nike_direct_pct_change_reported",'03 Số liệu quý'!$Z$5:$Z$701,0)))</f>
        <v>0.14</v>
      </c>
      <c r="F35" s="26">
        <f>IF(INDEX('03 Số liệu quý'!$C$5:$C$701,MATCH(F$4&amp;"|nike_direct_pct_change_reported",'03 Số liệu quý'!$Z$5:$Z$701,0))="","—",INDEX('03 Số liệu quý'!$C$5:$C$701,MATCH(F$4&amp;"|nike_direct_pct_change_reported",'03 Số liệu quý'!$Z$5:$Z$701,0)))</f>
        <v>0.14</v>
      </c>
      <c r="G35" s="26" t="str">
        <f>IF(INDEX('03 Số liệu quý'!$C$5:$C$701,MATCH(G$4&amp;"|nike_direct_pct_change_reported",'03 Số liệu quý'!$Z$5:$Z$701,0))="","—",INDEX('03 Số liệu quý'!$C$5:$C$701,MATCH(G$4&amp;"|nike_direct_pct_change_reported",'03 Số liệu quý'!$Z$5:$Z$701,0)))</f>
        <v>—</v>
      </c>
      <c r="H35" s="26">
        <f>IF(INDEX('03 Số liệu quý'!$C$5:$C$701,MATCH(H$4&amp;"|nike_direct_pct_change_reported",'03 Số liệu quý'!$Z$5:$Z$701,0))="","—",INDEX('03 Số liệu quý'!$C$5:$C$701,MATCH(H$4&amp;"|nike_direct_pct_change_reported",'03 Số liệu quý'!$Z$5:$Z$701,0)))</f>
        <v>0.14</v>
      </c>
      <c r="I35" s="26">
        <f>IF(INDEX('03 Số liệu quý'!$C$5:$C$701,MATCH(I$4&amp;"|nike_direct_pct_change_reported",'03 Số liệu quý'!$Z$5:$Z$701,0))="","—",INDEX('03 Số liệu quý'!$C$5:$C$701,MATCH(I$4&amp;"|nike_direct_pct_change_reported",'03 Số liệu quý'!$Z$5:$Z$701,0)))</f>
        <v>0.15</v>
      </c>
      <c r="J35" s="26">
        <f>IF(INDEX('03 Số liệu quý'!$C$5:$C$701,MATCH(J$4&amp;"|nike_direct_pct_change_reported",'03 Số liệu quý'!$Z$5:$Z$701,0))="","—",INDEX('03 Số liệu quý'!$C$5:$C$701,MATCH(J$4&amp;"|nike_direct_pct_change_reported",'03 Số liệu quý'!$Z$5:$Z$701,0)))</f>
        <v>0.11</v>
      </c>
      <c r="K35" s="26" t="str">
        <f>IF(INDEX('03 Số liệu quý'!$C$5:$C$701,MATCH(K$4&amp;"|nike_direct_pct_change_reported",'03 Số liệu quý'!$Z$5:$Z$701,0))="","—",INDEX('03 Số liệu quý'!$C$5:$C$701,MATCH(K$4&amp;"|nike_direct_pct_change_reported",'03 Số liệu quý'!$Z$5:$Z$701,0)))</f>
        <v>—</v>
      </c>
      <c r="L35" s="26">
        <f>IF(INDEX('03 Số liệu quý'!$C$5:$C$701,MATCH(L$4&amp;"|nike_direct_pct_change_reported",'03 Số liệu quý'!$Z$5:$Z$701,0))="","—",INDEX('03 Số liệu quý'!$C$5:$C$701,MATCH(L$4&amp;"|nike_direct_pct_change_reported",'03 Số liệu quý'!$Z$5:$Z$701,0)))</f>
        <v>0.12</v>
      </c>
      <c r="M35" s="26">
        <f>IF(INDEX('03 Số liệu quý'!$C$5:$C$701,MATCH(M$4&amp;"|nike_direct_pct_change_reported",'03 Số liệu quý'!$Z$5:$Z$701,0))="","—",INDEX('03 Số liệu quý'!$C$5:$C$701,MATCH(M$4&amp;"|nike_direct_pct_change_reported",'03 Số liệu quý'!$Z$5:$Z$701,0)))</f>
        <v>0.32</v>
      </c>
      <c r="N35" s="26">
        <f>IF(INDEX('03 Số liệu quý'!$C$5:$C$701,MATCH(N$4&amp;"|nike_direct_pct_change_reported",'03 Số liệu quý'!$Z$5:$Z$701,0))="","—",INDEX('03 Số liệu quý'!$C$5:$C$701,MATCH(N$4&amp;"|nike_direct_pct_change_reported",'03 Số liệu quý'!$Z$5:$Z$701,0)))</f>
        <v>0.2</v>
      </c>
      <c r="O35" s="26">
        <f>IF(INDEX('03 Số liệu quý'!$C$5:$C$701,MATCH(O$4&amp;"|nike_direct_pct_change_reported",'03 Số liệu quý'!$Z$5:$Z$701,0))="","—",INDEX('03 Số liệu quý'!$C$5:$C$701,MATCH(O$4&amp;"|nike_direct_pct_change_reported",'03 Số liệu quý'!$Z$5:$Z$701,0)))</f>
        <v>0.73</v>
      </c>
      <c r="P35" s="25" t="s">
        <v>2309</v>
      </c>
    </row>
    <row r="36" spans="1:16">
      <c r="A36" s="23" t="s">
        <v>408</v>
      </c>
      <c r="B36" s="11" t="s">
        <v>403</v>
      </c>
      <c r="C36" s="11" t="s">
        <v>254</v>
      </c>
      <c r="D36" s="26">
        <f>IF(INDEX('03 Số liệu quý'!$C$5:$C$701,MATCH(D$4&amp;"|nike_brand_wholesale_pct_change_reported",'03 Số liệu quý'!$Z$5:$Z$701,0))="","—",INDEX('03 Số liệu quý'!$C$5:$C$701,MATCH(D$4&amp;"|nike_brand_wholesale_pct_change_reported",'03 Số liệu quý'!$Z$5:$Z$701,0)))</f>
        <v>0.09</v>
      </c>
      <c r="E36" s="26">
        <f>IF(INDEX('03 Số liệu quý'!$C$5:$C$701,MATCH(E$4&amp;"|nike_brand_wholesale_pct_change_reported",'03 Số liệu quý'!$Z$5:$Z$701,0))="","—",INDEX('03 Số liệu quý'!$C$5:$C$701,MATCH(E$4&amp;"|nike_brand_wholesale_pct_change_reported",'03 Số liệu quý'!$Z$5:$Z$701,0)))</f>
        <v>0.08</v>
      </c>
      <c r="F36" s="26">
        <f>IF(INDEX('03 Số liệu quý'!$C$5:$C$701,MATCH(F$4&amp;"|nike_brand_wholesale_pct_change_reported",'03 Số liệu quý'!$Z$5:$Z$701,0))="","—",INDEX('03 Số liệu quý'!$C$5:$C$701,MATCH(F$4&amp;"|nike_brand_wholesale_pct_change_reported",'03 Số liệu quý'!$Z$5:$Z$701,0)))</f>
        <v>0.05</v>
      </c>
      <c r="G36" s="26" t="str">
        <f>IF(INDEX('03 Số liệu quý'!$C$5:$C$701,MATCH(G$4&amp;"|nike_brand_wholesale_pct_change_reported",'03 Số liệu quý'!$Z$5:$Z$701,0))="","—",INDEX('03 Số liệu quý'!$C$5:$C$701,MATCH(G$4&amp;"|nike_brand_wholesale_pct_change_reported",'03 Số liệu quý'!$Z$5:$Z$701,0)))</f>
        <v>—</v>
      </c>
      <c r="H36" s="26">
        <f>IF(INDEX('03 Số liệu quý'!$C$5:$C$701,MATCH(H$4&amp;"|nike_brand_wholesale_pct_change_reported",'03 Số liệu quý'!$Z$5:$Z$701,0))="","—",INDEX('03 Số liệu quý'!$C$5:$C$701,MATCH(H$4&amp;"|nike_brand_wholesale_pct_change_reported",'03 Số liệu quý'!$Z$5:$Z$701,0)))</f>
        <v>0.04</v>
      </c>
      <c r="I36" s="26">
        <f>IF(INDEX('03 Số liệu quý'!$C$5:$C$701,MATCH(I$4&amp;"|nike_brand_wholesale_pct_change_reported",'03 Số liệu quý'!$Z$5:$Z$701,0))="","—",INDEX('03 Số liệu quý'!$C$5:$C$701,MATCH(I$4&amp;"|nike_brand_wholesale_pct_change_reported",'03 Số liệu quý'!$Z$5:$Z$701,0)))</f>
        <v>0.08</v>
      </c>
      <c r="J36" s="26">
        <f>IF(INDEX('03 Số liệu quý'!$C$5:$C$701,MATCH(J$4&amp;"|nike_brand_wholesale_pct_change_reported",'03 Số liệu quý'!$Z$5:$Z$701,0))="","—",INDEX('03 Số liệu quý'!$C$5:$C$701,MATCH(J$4&amp;"|nike_brand_wholesale_pct_change_reported",'03 Số liệu quý'!$Z$5:$Z$701,0)))</f>
        <v>0.02</v>
      </c>
      <c r="K36" s="26" t="str">
        <f>IF(INDEX('03 Số liệu quý'!$C$5:$C$701,MATCH(K$4&amp;"|nike_brand_wholesale_pct_change_reported",'03 Số liệu quý'!$Z$5:$Z$701,0))="","—",INDEX('03 Số liệu quý'!$C$5:$C$701,MATCH(K$4&amp;"|nike_brand_wholesale_pct_change_reported",'03 Số liệu quý'!$Z$5:$Z$701,0)))</f>
        <v>—</v>
      </c>
      <c r="L36" s="26">
        <f>IF(INDEX('03 Số liệu quý'!$C$5:$C$701,MATCH(L$4&amp;"|nike_brand_wholesale_pct_change_reported",'03 Số liệu quý'!$Z$5:$Z$701,0))="","—",INDEX('03 Số liệu quý'!$C$5:$C$701,MATCH(L$4&amp;"|nike_brand_wholesale_pct_change_reported",'03 Số liệu quý'!$Z$5:$Z$701,0)))</f>
        <v>-0.07</v>
      </c>
      <c r="M36" s="26">
        <f>IF(INDEX('03 Số liệu quý'!$C$5:$C$701,MATCH(M$4&amp;"|nike_brand_wholesale_pct_change_reported",'03 Số liệu quý'!$Z$5:$Z$701,0))="","—",INDEX('03 Số liệu quý'!$C$5:$C$701,MATCH(M$4&amp;"|nike_brand_wholesale_pct_change_reported",'03 Số liệu quý'!$Z$5:$Z$701,0)))</f>
        <v>-0.02</v>
      </c>
      <c r="N36" s="26">
        <f>IF(INDEX('03 Số liệu quý'!$C$5:$C$701,MATCH(N$4&amp;"|nike_brand_wholesale_pct_change_reported",'03 Số liệu quý'!$Z$5:$Z$701,0))="","—",INDEX('03 Số liệu quý'!$C$5:$C$701,MATCH(N$4&amp;"|nike_brand_wholesale_pct_change_reported",'03 Số liệu quý'!$Z$5:$Z$701,0)))</f>
        <v>-0.08</v>
      </c>
      <c r="O36" s="26" t="str">
        <f>IF(INDEX('03 Số liệu quý'!$C$5:$C$701,MATCH(O$4&amp;"|nike_brand_wholesale_pct_change_reported",'03 Số liệu quý'!$Z$5:$Z$701,0))="","—",INDEX('03 Số liệu quý'!$C$5:$C$701,MATCH(O$4&amp;"|nike_brand_wholesale_pct_change_reported",'03 Số liệu quý'!$Z$5:$Z$701,0)))</f>
        <v>—</v>
      </c>
      <c r="P36" s="25" t="s">
        <v>2310</v>
      </c>
    </row>
    <row r="37" spans="1:16">
      <c r="A37" s="23" t="s">
        <v>428</v>
      </c>
      <c r="B37" s="11" t="s">
        <v>423</v>
      </c>
      <c r="C37" s="11" t="s">
        <v>254</v>
      </c>
      <c r="D37" s="26">
        <f>IF(INDEX('03 Số liệu quý'!$C$5:$C$701,MATCH(D$4&amp;"|nike_brand_pct_change_reported",'03 Số liệu quý'!$Z$5:$Z$701,0))="","—",INDEX('03 Số liệu quý'!$C$5:$C$701,MATCH(D$4&amp;"|nike_brand_pct_change_reported",'03 Số liệu quý'!$Z$5:$Z$701,0)))</f>
        <v>0.1</v>
      </c>
      <c r="E37" s="26">
        <f>IF(INDEX('03 Số liệu quý'!$C$5:$C$701,MATCH(E$4&amp;"|nike_brand_pct_change_reported",'03 Số liệu quý'!$Z$5:$Z$701,0))="","—",INDEX('03 Số liệu quý'!$C$5:$C$701,MATCH(E$4&amp;"|nike_brand_pct_change_reported",'03 Số liệu quý'!$Z$5:$Z$701,0)))</f>
        <v>0.1</v>
      </c>
      <c r="F37" s="26">
        <f>IF(INDEX('03 Số liệu quý'!$C$5:$C$701,MATCH(F$4&amp;"|nike_brand_pct_change_reported",'03 Số liệu quý'!$Z$5:$Z$701,0))="","—",INDEX('03 Số liệu quý'!$C$5:$C$701,MATCH(F$4&amp;"|nike_brand_pct_change_reported",'03 Số liệu quý'!$Z$5:$Z$701,0)))</f>
        <v>0.08</v>
      </c>
      <c r="G37" s="26">
        <f>IF(INDEX('03 Số liệu quý'!$C$5:$C$701,MATCH(G$4&amp;"|nike_brand_pct_change_reported",'03 Số liệu quý'!$Z$5:$Z$701,0))="","—",INDEX('03 Số liệu quý'!$C$5:$C$701,MATCH(G$4&amp;"|nike_brand_pct_change_reported",'03 Số liệu quý'!$Z$5:$Z$701,0)))</f>
        <v>0.05</v>
      </c>
      <c r="H37" s="26">
        <f>IF(INDEX('03 Số liệu quý'!$C$5:$C$701,MATCH(H$4&amp;"|nike_brand_pct_change_reported",'03 Số liệu quý'!$Z$5:$Z$701,0))="","—",INDEX('03 Số liệu quý'!$C$5:$C$701,MATCH(H$4&amp;"|nike_brand_pct_change_reported",'03 Số liệu quý'!$Z$5:$Z$701,0)))</f>
        <v>0.07</v>
      </c>
      <c r="I37" s="26">
        <f>IF(INDEX('03 Số liệu quý'!$C$5:$C$701,MATCH(I$4&amp;"|nike_brand_pct_change_reported",'03 Số liệu quý'!$Z$5:$Z$701,0))="","—",INDEX('03 Số liệu quý'!$C$5:$C$701,MATCH(I$4&amp;"|nike_brand_pct_change_reported",'03 Số liệu quý'!$Z$5:$Z$701,0)))</f>
        <v>0.1</v>
      </c>
      <c r="J37" s="26">
        <f>IF(INDEX('03 Số liệu quý'!$C$5:$C$701,MATCH(J$4&amp;"|nike_brand_pct_change_reported",'03 Số liệu quý'!$Z$5:$Z$701,0))="","—",INDEX('03 Số liệu quý'!$C$5:$C$701,MATCH(J$4&amp;"|nike_brand_pct_change_reported",'03 Số liệu quý'!$Z$5:$Z$701,0)))</f>
        <v>0.05</v>
      </c>
      <c r="K37" s="26">
        <f>IF(INDEX('03 Số liệu quý'!$C$5:$C$701,MATCH(K$4&amp;"|nike_brand_pct_change_reported",'03 Số liệu quý'!$Z$5:$Z$701,0))="","—",INDEX('03 Số liệu quý'!$C$5:$C$701,MATCH(K$4&amp;"|nike_brand_pct_change_reported",'03 Số liệu quý'!$Z$5:$Z$701,0)))</f>
        <v>-0.38</v>
      </c>
      <c r="L37" s="26">
        <f>IF(INDEX('03 Số liệu quý'!$C$5:$C$701,MATCH(L$4&amp;"|nike_brand_pct_change_reported",'03 Số liệu quý'!$Z$5:$Z$701,0))="","—",INDEX('03 Số liệu quý'!$C$5:$C$701,MATCH(L$4&amp;"|nike_brand_pct_change_reported",'03 Số liệu quý'!$Z$5:$Z$701,0)))</f>
        <v>-0.01</v>
      </c>
      <c r="M37" s="26">
        <f>IF(INDEX('03 Số liệu quý'!$C$5:$C$701,MATCH(M$4&amp;"|nike_brand_pct_change_reported",'03 Số liệu quý'!$Z$5:$Z$701,0))="","—",INDEX('03 Số liệu quý'!$C$5:$C$701,MATCH(M$4&amp;"|nike_brand_pct_change_reported",'03 Số liệu quý'!$Z$5:$Z$701,0)))</f>
        <v>0.09</v>
      </c>
      <c r="N37" s="26">
        <f>IF(INDEX('03 Số liệu quý'!$C$5:$C$701,MATCH(N$4&amp;"|nike_brand_pct_change_reported",'03 Số liệu quý'!$Z$5:$Z$701,0))="","—",INDEX('03 Số liệu quý'!$C$5:$C$701,MATCH(N$4&amp;"|nike_brand_pct_change_reported",'03 Số liệu quý'!$Z$5:$Z$701,0)))</f>
        <v>0.02</v>
      </c>
      <c r="O37" s="26">
        <f>IF(INDEX('03 Số liệu quý'!$C$5:$C$701,MATCH(O$4&amp;"|nike_brand_pct_change_reported",'03 Số liệu quý'!$Z$5:$Z$701,0))="","—",INDEX('03 Số liệu quý'!$C$5:$C$701,MATCH(O$4&amp;"|nike_brand_pct_change_reported",'03 Số liệu quý'!$Z$5:$Z$701,0)))</f>
        <v>0.96</v>
      </c>
      <c r="P37" s="25" t="s">
        <v>2311</v>
      </c>
    </row>
    <row r="38" spans="1:16">
      <c r="A38" s="23" t="s">
        <v>1423</v>
      </c>
      <c r="B38" s="11" t="s">
        <v>1417</v>
      </c>
      <c r="C38" s="11" t="s">
        <v>71</v>
      </c>
      <c r="D38" s="24">
        <f>IF(INDEX('04 Khu vực'!$C$5:$C$701,MATCH(D$4&amp;"|na_revenue",'04 Khu vực'!$Z$5:$Z$701,0))="","—",INDEX('04 Khu vực'!$C$5:$C$701,MATCH(D$4&amp;"|na_revenue",'04 Khu vực'!$Z$5:$Z$701,0)))</f>
        <v>4145.0</v>
      </c>
      <c r="E38" s="24">
        <f>IF(INDEX('04 Khu vực'!$C$5:$C$701,MATCH(E$4&amp;"|na_revenue",'04 Khu vực'!$Z$5:$Z$701,0))="","—",INDEX('04 Khu vực'!$C$5:$C$701,MATCH(E$4&amp;"|na_revenue",'04 Khu vực'!$Z$5:$Z$701,0)))</f>
        <v>3782.0</v>
      </c>
      <c r="F38" s="24">
        <f>IF(INDEX('04 Khu vực'!$C$5:$C$701,MATCH(F$4&amp;"|na_revenue",'04 Khu vực'!$Z$5:$Z$701,0))="","—",INDEX('04 Khu vực'!$C$5:$C$701,MATCH(F$4&amp;"|na_revenue",'04 Khu vực'!$Z$5:$Z$701,0)))</f>
        <v>3810.0</v>
      </c>
      <c r="G38" s="24">
        <f>IF(INDEX('04 Khu vực'!$C$5:$C$701,MATCH(G$4&amp;"|na_revenue",'04 Khu vực'!$Z$5:$Z$701,0))="","—",INDEX('04 Khu vực'!$C$5:$C$701,MATCH(G$4&amp;"|na_revenue",'04 Khu vực'!$Z$5:$Z$701,0)))</f>
        <v>4165.0</v>
      </c>
      <c r="H38" s="24">
        <f>IF(INDEX('04 Khu vực'!$C$5:$C$701,MATCH(H$4&amp;"|na_revenue",'04 Khu vực'!$Z$5:$Z$701,0))="","—",INDEX('04 Khu vực'!$C$5:$C$701,MATCH(H$4&amp;"|na_revenue",'04 Khu vực'!$Z$5:$Z$701,0)))</f>
        <v>4293.0</v>
      </c>
      <c r="I38" s="24">
        <f>IF(INDEX('04 Khu vực'!$C$5:$C$701,MATCH(I$4&amp;"|na_revenue",'04 Khu vực'!$Z$5:$Z$701,0))="","—",INDEX('04 Khu vực'!$C$5:$C$701,MATCH(I$4&amp;"|na_revenue",'04 Khu vực'!$Z$5:$Z$701,0)))</f>
        <v>3982.0</v>
      </c>
      <c r="J38" s="24">
        <f>IF(INDEX('04 Khu vực'!$C$5:$C$701,MATCH(J$4&amp;"|na_revenue",'04 Khu vực'!$Z$5:$Z$701,0))="","—",INDEX('04 Khu vực'!$C$5:$C$701,MATCH(J$4&amp;"|na_revenue",'04 Khu vực'!$Z$5:$Z$701,0)))</f>
        <v>3979.0</v>
      </c>
      <c r="K38" s="24">
        <f>IF(INDEX('04 Khu vực'!$C$5:$C$701,MATCH(K$4&amp;"|na_revenue",'04 Khu vực'!$Z$5:$Z$701,0))="","—",INDEX('04 Khu vực'!$C$5:$C$701,MATCH(K$4&amp;"|na_revenue",'04 Khu vực'!$Z$5:$Z$701,0)))</f>
        <v>2230.0</v>
      </c>
      <c r="L38" s="24">
        <f>IF(INDEX('04 Khu vực'!$C$5:$C$701,MATCH(L$4&amp;"|na_revenue",'04 Khu vực'!$Z$5:$Z$701,0))="","—",INDEX('04 Khu vực'!$C$5:$C$701,MATCH(L$4&amp;"|na_revenue",'04 Khu vực'!$Z$5:$Z$701,0)))</f>
        <v>4225.0</v>
      </c>
      <c r="M38" s="24">
        <f>IF(INDEX('04 Khu vực'!$C$5:$C$701,MATCH(M$4&amp;"|na_revenue",'04 Khu vực'!$Z$5:$Z$701,0))="","—",INDEX('04 Khu vực'!$C$5:$C$701,MATCH(M$4&amp;"|na_revenue",'04 Khu vực'!$Z$5:$Z$701,0)))</f>
        <v>4006.0</v>
      </c>
      <c r="N38" s="24">
        <f>IF(INDEX('04 Khu vực'!$C$5:$C$701,MATCH(N$4&amp;"|na_revenue",'04 Khu vực'!$Z$5:$Z$701,0))="","—",INDEX('04 Khu vực'!$C$5:$C$701,MATCH(N$4&amp;"|na_revenue",'04 Khu vực'!$Z$5:$Z$701,0)))</f>
        <v>3564.0</v>
      </c>
      <c r="O38" s="24">
        <f>IF(INDEX('04 Khu vực'!$C$5:$C$701,MATCH(O$4&amp;"|na_revenue",'04 Khu vực'!$Z$5:$Z$701,0))="","—",INDEX('04 Khu vực'!$C$5:$C$701,MATCH(O$4&amp;"|na_revenue",'04 Khu vực'!$Z$5:$Z$701,0)))</f>
        <v>5384.0</v>
      </c>
      <c r="P38" s="25" t="s">
        <v>2034</v>
      </c>
    </row>
    <row r="39" spans="1:16">
      <c r="A39" s="23" t="s">
        <v>2035</v>
      </c>
      <c r="B39" s="11" t="s">
        <v>2036</v>
      </c>
      <c r="C39" s="11" t="s">
        <v>71</v>
      </c>
      <c r="D39" s="24">
        <f>IF(INDEX('04 Khu vực'!$D$5:$D$701,MATCH(D$4&amp;"|na_revenue",'04 Khu vực'!$Z$5:$Z$701,0))="","—",INDEX('04 Khu vực'!$D$5:$D$701,MATCH(D$4&amp;"|na_revenue",'04 Khu vực'!$Z$5:$Z$701,0)))</f>
        <v>3924.0</v>
      </c>
      <c r="E39" s="24">
        <f>IF(INDEX('04 Khu vực'!$D$5:$D$701,MATCH(E$4&amp;"|na_revenue",'04 Khu vực'!$Z$5:$Z$701,0))="","—",INDEX('04 Khu vực'!$D$5:$D$701,MATCH(E$4&amp;"|na_revenue",'04 Khu vực'!$Z$5:$Z$701,0)))</f>
        <v>3485.0</v>
      </c>
      <c r="F39" s="24">
        <f>IF(INDEX('04 Khu vực'!$D$5:$D$701,MATCH(F$4&amp;"|na_revenue",'04 Khu vực'!$Z$5:$Z$701,0))="","—",INDEX('04 Khu vực'!$D$5:$D$701,MATCH(F$4&amp;"|na_revenue",'04 Khu vực'!$Z$5:$Z$701,0)))</f>
        <v>3571.0</v>
      </c>
      <c r="G39" s="24">
        <f>IF(INDEX('04 Khu vực'!$D$5:$D$701,MATCH(G$4&amp;"|na_revenue",'04 Khu vực'!$Z$5:$Z$701,0))="","—",INDEX('04 Khu vực'!$D$5:$D$701,MATCH(G$4&amp;"|na_revenue",'04 Khu vực'!$Z$5:$Z$701,0)))</f>
        <v>3875.0</v>
      </c>
      <c r="H39" s="24">
        <f>IF(INDEX('04 Khu vực'!$D$5:$D$701,MATCH(H$4&amp;"|na_revenue",'04 Khu vực'!$Z$5:$Z$701,0))="","—",INDEX('04 Khu vực'!$D$5:$D$701,MATCH(H$4&amp;"|na_revenue",'04 Khu vực'!$Z$5:$Z$701,0)))</f>
        <v>4145.0</v>
      </c>
      <c r="I39" s="24">
        <f>IF(INDEX('04 Khu vực'!$D$5:$D$701,MATCH(I$4&amp;"|na_revenue",'04 Khu vực'!$Z$5:$Z$701,0))="","—",INDEX('04 Khu vực'!$D$5:$D$701,MATCH(I$4&amp;"|na_revenue",'04 Khu vực'!$Z$5:$Z$701,0)))</f>
        <v>3782.0</v>
      </c>
      <c r="J39" s="24">
        <f>IF(INDEX('04 Khu vực'!$D$5:$D$701,MATCH(J$4&amp;"|na_revenue",'04 Khu vực'!$Z$5:$Z$701,0))="","—",INDEX('04 Khu vực'!$D$5:$D$701,MATCH(J$4&amp;"|na_revenue",'04 Khu vực'!$Z$5:$Z$701,0)))</f>
        <v>3810.0</v>
      </c>
      <c r="K39" s="24">
        <f>IF(INDEX('04 Khu vực'!$D$5:$D$701,MATCH(K$4&amp;"|na_revenue",'04 Khu vực'!$Z$5:$Z$701,0))="","—",INDEX('04 Khu vực'!$D$5:$D$701,MATCH(K$4&amp;"|na_revenue",'04 Khu vực'!$Z$5:$Z$701,0)))</f>
        <v>4165.0</v>
      </c>
      <c r="L39" s="24">
        <f>IF(INDEX('04 Khu vực'!$D$5:$D$701,MATCH(L$4&amp;"|na_revenue",'04 Khu vực'!$Z$5:$Z$701,0))="","—",INDEX('04 Khu vực'!$D$5:$D$701,MATCH(L$4&amp;"|na_revenue",'04 Khu vực'!$Z$5:$Z$701,0)))</f>
        <v>4293.0</v>
      </c>
      <c r="M39" s="24">
        <f>IF(INDEX('04 Khu vực'!$D$5:$D$701,MATCH(M$4&amp;"|na_revenue",'04 Khu vực'!$Z$5:$Z$701,0))="","—",INDEX('04 Khu vực'!$D$5:$D$701,MATCH(M$4&amp;"|na_revenue",'04 Khu vực'!$Z$5:$Z$701,0)))</f>
        <v>3982.0</v>
      </c>
      <c r="N39" s="24">
        <f>IF(INDEX('04 Khu vực'!$D$5:$D$701,MATCH(N$4&amp;"|na_revenue",'04 Khu vực'!$Z$5:$Z$701,0))="","—",INDEX('04 Khu vực'!$D$5:$D$701,MATCH(N$4&amp;"|na_revenue",'04 Khu vực'!$Z$5:$Z$701,0)))</f>
        <v>3979.0</v>
      </c>
      <c r="O39" s="24">
        <f>IF(INDEX('04 Khu vực'!$D$5:$D$701,MATCH(O$4&amp;"|na_revenue",'04 Khu vực'!$Z$5:$Z$701,0))="","—",INDEX('04 Khu vực'!$D$5:$D$701,MATCH(O$4&amp;"|na_revenue",'04 Khu vực'!$Z$5:$Z$701,0)))</f>
        <v>2230.0</v>
      </c>
      <c r="P39" s="25" t="s">
        <v>2037</v>
      </c>
    </row>
    <row r="40" spans="1:16">
      <c r="A40" s="23" t="s">
        <v>1474</v>
      </c>
      <c r="B40" s="11" t="s">
        <v>1468</v>
      </c>
      <c r="C40" s="11" t="s">
        <v>71</v>
      </c>
      <c r="D40" s="24">
        <f>IF(INDEX('04 Khu vực'!$C$5:$C$701,MATCH(D$4&amp;"|na_direct_revenue",'04 Khu vực'!$Z$5:$Z$701,0))="","—",INDEX('04 Khu vực'!$C$5:$C$701,MATCH(D$4&amp;"|na_direct_revenue",'04 Khu vực'!$Z$5:$Z$701,0)))</f>
        <v>1316.0</v>
      </c>
      <c r="E40" s="24">
        <f>IF(INDEX('04 Khu vực'!$C$5:$C$701,MATCH(E$4&amp;"|na_direct_revenue",'04 Khu vực'!$Z$5:$Z$701,0))="","—",INDEX('04 Khu vực'!$C$5:$C$701,MATCH(E$4&amp;"|na_direct_revenue",'04 Khu vực'!$Z$5:$Z$701,0)))</f>
        <v>1127.0</v>
      </c>
      <c r="F40" s="24">
        <f>IF(INDEX('04 Khu vực'!$C$5:$C$701,MATCH(F$4&amp;"|na_direct_revenue",'04 Khu vực'!$Z$5:$Z$701,0))="","—",INDEX('04 Khu vực'!$C$5:$C$701,MATCH(F$4&amp;"|na_direct_revenue",'04 Khu vực'!$Z$5:$Z$701,0)))</f>
        <v>1263.0</v>
      </c>
      <c r="G40" s="24">
        <f>IF(INDEX('04 Khu vực'!$C$5:$C$701,MATCH(G$4&amp;"|na_direct_revenue",'04 Khu vực'!$Z$5:$Z$701,0))="","—",INDEX('04 Khu vực'!$C$5:$C$701,MATCH(G$4&amp;"|na_direct_revenue",'04 Khu vực'!$Z$5:$Z$701,0)))</f>
        <v>1321.0</v>
      </c>
      <c r="H40" s="24">
        <f>IF(INDEX('04 Khu vực'!$C$5:$C$701,MATCH(H$4&amp;"|na_direct_revenue",'04 Khu vực'!$Z$5:$Z$701,0))="","—",INDEX('04 Khu vực'!$C$5:$C$701,MATCH(H$4&amp;"|na_direct_revenue",'04 Khu vực'!$Z$5:$Z$701,0)))</f>
        <v>1429.0</v>
      </c>
      <c r="I40" s="24">
        <f>IF(INDEX('04 Khu vực'!$C$5:$C$701,MATCH(I$4&amp;"|na_direct_revenue",'04 Khu vực'!$Z$5:$Z$701,0))="","—",INDEX('04 Khu vực'!$C$5:$C$701,MATCH(I$4&amp;"|na_direct_revenue",'04 Khu vực'!$Z$5:$Z$701,0)))</f>
        <v>1248.0</v>
      </c>
      <c r="J40" s="24">
        <f>IF(INDEX('04 Khu vực'!$C$5:$C$701,MATCH(J$4&amp;"|na_direct_revenue",'04 Khu vực'!$Z$5:$Z$701,0))="","—",INDEX('04 Khu vực'!$C$5:$C$701,MATCH(J$4&amp;"|na_direct_revenue",'04 Khu vực'!$Z$5:$Z$701,0)))</f>
        <v>1458.0</v>
      </c>
      <c r="K40" s="24">
        <f>IF(INDEX('04 Khu vực'!$C$5:$C$701,MATCH(K$4&amp;"|na_direct_revenue",'04 Khu vực'!$Z$5:$Z$701,0))="","—",INDEX('04 Khu vực'!$C$5:$C$701,MATCH(K$4&amp;"|na_direct_revenue",'04 Khu vực'!$Z$5:$Z$701,0)))</f>
        <v>978.0</v>
      </c>
      <c r="L40" s="24">
        <f>IF(INDEX('04 Khu vực'!$C$5:$C$701,MATCH(L$4&amp;"|na_direct_revenue",'04 Khu vực'!$Z$5:$Z$701,0))="","—",INDEX('04 Khu vực'!$C$5:$C$701,MATCH(L$4&amp;"|na_direct_revenue",'04 Khu vực'!$Z$5:$Z$701,0)))</f>
        <v>1506.0</v>
      </c>
      <c r="M40" s="24">
        <f>IF(INDEX('04 Khu vực'!$C$5:$C$701,MATCH(M$4&amp;"|na_direct_revenue",'04 Khu vực'!$Z$5:$Z$701,0))="","—",INDEX('04 Khu vực'!$C$5:$C$701,MATCH(M$4&amp;"|na_direct_revenue",'04 Khu vực'!$Z$5:$Z$701,0)))</f>
        <v>1652.0</v>
      </c>
      <c r="N40" s="24">
        <f>IF(INDEX('04 Khu vực'!$C$5:$C$701,MATCH(N$4&amp;"|na_direct_revenue",'04 Khu vực'!$Z$5:$Z$701,0))="","—",INDEX('04 Khu vực'!$C$5:$C$701,MATCH(N$4&amp;"|na_direct_revenue",'04 Khu vực'!$Z$5:$Z$701,0)))</f>
        <v>1670.0</v>
      </c>
      <c r="O40" s="24">
        <f>IF(INDEX('04 Khu vực'!$C$5:$C$701,MATCH(O$4&amp;"|na_direct_revenue",'04 Khu vực'!$Z$5:$Z$701,0))="","—",INDEX('04 Khu vực'!$C$5:$C$701,MATCH(O$4&amp;"|na_direct_revenue",'04 Khu vực'!$Z$5:$Z$701,0)))</f>
        <v>2165.0</v>
      </c>
      <c r="P40" s="25" t="s">
        <v>2038</v>
      </c>
    </row>
    <row r="41" spans="1:16">
      <c r="A41" s="23" t="s">
        <v>2039</v>
      </c>
      <c r="B41" s="11" t="s">
        <v>2040</v>
      </c>
      <c r="C41" s="11" t="s">
        <v>71</v>
      </c>
      <c r="D41" s="24">
        <f>IF(INDEX('04 Khu vực'!$D$5:$D$701,MATCH(D$4&amp;"|na_direct_revenue",'04 Khu vực'!$Z$5:$Z$701,0))="","—",INDEX('04 Khu vực'!$D$5:$D$701,MATCH(D$4&amp;"|na_direct_revenue",'04 Khu vực'!$Z$5:$Z$701,0)))</f>
        <v>1235.0</v>
      </c>
      <c r="E41" s="24">
        <f>IF(INDEX('04 Khu vực'!$D$5:$D$701,MATCH(E$4&amp;"|na_direct_revenue",'04 Khu vực'!$Z$5:$Z$701,0))="","—",INDEX('04 Khu vực'!$D$5:$D$701,MATCH(E$4&amp;"|na_direct_revenue",'04 Khu vực'!$Z$5:$Z$701,0)))</f>
        <v>1049.0</v>
      </c>
      <c r="F41" s="24">
        <f>IF(INDEX('04 Khu vực'!$D$5:$D$701,MATCH(F$4&amp;"|na_direct_revenue",'04 Khu vực'!$Z$5:$Z$701,0))="","—",INDEX('04 Khu vực'!$D$5:$D$701,MATCH(F$4&amp;"|na_direct_revenue",'04 Khu vực'!$Z$5:$Z$701,0)))</f>
        <v>1189.0</v>
      </c>
      <c r="G41" s="24">
        <f>IF(INDEX('04 Khu vực'!$D$5:$D$701,MATCH(G$4&amp;"|na_direct_revenue",'04 Khu vực'!$Z$5:$Z$701,0))="","—",INDEX('04 Khu vực'!$D$5:$D$701,MATCH(G$4&amp;"|na_direct_revenue",'04 Khu vực'!$Z$5:$Z$701,0)))</f>
        <v>1223.0</v>
      </c>
      <c r="H41" s="24">
        <f>IF(INDEX('04 Khu vực'!$D$5:$D$701,MATCH(H$4&amp;"|na_direct_revenue",'04 Khu vực'!$Z$5:$Z$701,0))="","—",INDEX('04 Khu vực'!$D$5:$D$701,MATCH(H$4&amp;"|na_direct_revenue",'04 Khu vực'!$Z$5:$Z$701,0)))</f>
        <v>1316.0</v>
      </c>
      <c r="I41" s="24">
        <f>IF(INDEX('04 Khu vực'!$D$5:$D$701,MATCH(I$4&amp;"|na_direct_revenue",'04 Khu vực'!$Z$5:$Z$701,0))="","—",INDEX('04 Khu vực'!$D$5:$D$701,MATCH(I$4&amp;"|na_direct_revenue",'04 Khu vực'!$Z$5:$Z$701,0)))</f>
        <v>1127.0</v>
      </c>
      <c r="J41" s="24">
        <f>IF(INDEX('04 Khu vực'!$D$5:$D$701,MATCH(J$4&amp;"|na_direct_revenue",'04 Khu vực'!$Z$5:$Z$701,0))="","—",INDEX('04 Khu vực'!$D$5:$D$701,MATCH(J$4&amp;"|na_direct_revenue",'04 Khu vực'!$Z$5:$Z$701,0)))</f>
        <v>1263.0</v>
      </c>
      <c r="K41" s="24">
        <f>IF(INDEX('04 Khu vực'!$D$5:$D$701,MATCH(K$4&amp;"|na_direct_revenue",'04 Khu vực'!$Z$5:$Z$701,0))="","—",INDEX('04 Khu vực'!$D$5:$D$701,MATCH(K$4&amp;"|na_direct_revenue",'04 Khu vực'!$Z$5:$Z$701,0)))</f>
        <v>1321.0</v>
      </c>
      <c r="L41" s="24">
        <f>IF(INDEX('04 Khu vực'!$D$5:$D$701,MATCH(L$4&amp;"|na_direct_revenue",'04 Khu vực'!$Z$5:$Z$701,0))="","—",INDEX('04 Khu vực'!$D$5:$D$701,MATCH(L$4&amp;"|na_direct_revenue",'04 Khu vực'!$Z$5:$Z$701,0)))</f>
        <v>1429.0</v>
      </c>
      <c r="M41" s="24">
        <f>IF(INDEX('04 Khu vực'!$D$5:$D$701,MATCH(M$4&amp;"|na_direct_revenue",'04 Khu vực'!$Z$5:$Z$701,0))="","—",INDEX('04 Khu vực'!$D$5:$D$701,MATCH(M$4&amp;"|na_direct_revenue",'04 Khu vực'!$Z$5:$Z$701,0)))</f>
        <v>1248.0</v>
      </c>
      <c r="N41" s="24">
        <f>IF(INDEX('04 Khu vực'!$D$5:$D$701,MATCH(N$4&amp;"|na_direct_revenue",'04 Khu vực'!$Z$5:$Z$701,0))="","—",INDEX('04 Khu vực'!$D$5:$D$701,MATCH(N$4&amp;"|na_direct_revenue",'04 Khu vực'!$Z$5:$Z$701,0)))</f>
        <v>1458.0</v>
      </c>
      <c r="O41" s="24">
        <f>IF(INDEX('04 Khu vực'!$D$5:$D$701,MATCH(O$4&amp;"|na_direct_revenue",'04 Khu vực'!$Z$5:$Z$701,0))="","—",INDEX('04 Khu vực'!$D$5:$D$701,MATCH(O$4&amp;"|na_direct_revenue",'04 Khu vực'!$Z$5:$Z$701,0)))</f>
        <v>978.0</v>
      </c>
      <c r="P41" s="25" t="s">
        <v>2041</v>
      </c>
    </row>
    <row r="42" spans="1:16">
      <c r="A42" s="23" t="s">
        <v>1515</v>
      </c>
      <c r="B42" s="11" t="s">
        <v>1509</v>
      </c>
      <c r="C42" s="11" t="s">
        <v>71</v>
      </c>
      <c r="D42" s="24">
        <f>IF(INDEX('04 Khu vực'!$C$5:$C$701,MATCH(D$4&amp;"|na_wholesale_revenue",'04 Khu vực'!$Z$5:$Z$701,0))="","—",INDEX('04 Khu vực'!$C$5:$C$701,MATCH(D$4&amp;"|na_wholesale_revenue",'04 Khu vực'!$Z$5:$Z$701,0)))</f>
        <v>2829.0</v>
      </c>
      <c r="E42" s="24">
        <f>IF(INDEX('04 Khu vực'!$C$5:$C$701,MATCH(E$4&amp;"|na_wholesale_revenue",'04 Khu vực'!$Z$5:$Z$701,0))="","—",INDEX('04 Khu vực'!$C$5:$C$701,MATCH(E$4&amp;"|na_wholesale_revenue",'04 Khu vực'!$Z$5:$Z$701,0)))</f>
        <v>2655.0</v>
      </c>
      <c r="F42" s="24">
        <f>IF(INDEX('04 Khu vực'!$C$5:$C$701,MATCH(F$4&amp;"|na_wholesale_revenue",'04 Khu vực'!$Z$5:$Z$701,0))="","—",INDEX('04 Khu vực'!$C$5:$C$701,MATCH(F$4&amp;"|na_wholesale_revenue",'04 Khu vực'!$Z$5:$Z$701,0)))</f>
        <v>2547.0</v>
      </c>
      <c r="G42" s="24">
        <f>IF(INDEX('04 Khu vực'!$C$5:$C$701,MATCH(G$4&amp;"|na_wholesale_revenue",'04 Khu vực'!$Z$5:$Z$701,0))="","—",INDEX('04 Khu vực'!$C$5:$C$701,MATCH(G$4&amp;"|na_wholesale_revenue",'04 Khu vực'!$Z$5:$Z$701,0)))</f>
        <v>2844.0</v>
      </c>
      <c r="H42" s="24">
        <f>IF(INDEX('04 Khu vực'!$C$5:$C$701,MATCH(H$4&amp;"|na_wholesale_revenue",'04 Khu vực'!$Z$5:$Z$701,0))="","—",INDEX('04 Khu vực'!$C$5:$C$701,MATCH(H$4&amp;"|na_wholesale_revenue",'04 Khu vực'!$Z$5:$Z$701,0)))</f>
        <v>2864.0</v>
      </c>
      <c r="I42" s="24">
        <f>IF(INDEX('04 Khu vực'!$C$5:$C$701,MATCH(I$4&amp;"|na_wholesale_revenue",'04 Khu vực'!$Z$5:$Z$701,0))="","—",INDEX('04 Khu vực'!$C$5:$C$701,MATCH(I$4&amp;"|na_wholesale_revenue",'04 Khu vực'!$Z$5:$Z$701,0)))</f>
        <v>2734.0</v>
      </c>
      <c r="J42" s="24">
        <f>IF(INDEX('04 Khu vực'!$C$5:$C$701,MATCH(J$4&amp;"|na_wholesale_revenue",'04 Khu vực'!$Z$5:$Z$701,0))="","—",INDEX('04 Khu vực'!$C$5:$C$701,MATCH(J$4&amp;"|na_wholesale_revenue",'04 Khu vực'!$Z$5:$Z$701,0)))</f>
        <v>2521.0</v>
      </c>
      <c r="K42" s="24">
        <f>IF(INDEX('04 Khu vực'!$C$5:$C$701,MATCH(K$4&amp;"|na_wholesale_revenue",'04 Khu vực'!$Z$5:$Z$701,0))="","—",INDEX('04 Khu vực'!$C$5:$C$701,MATCH(K$4&amp;"|na_wholesale_revenue",'04 Khu vực'!$Z$5:$Z$701,0)))</f>
        <v>1252.0</v>
      </c>
      <c r="L42" s="24">
        <f>IF(INDEX('04 Khu vực'!$C$5:$C$701,MATCH(L$4&amp;"|na_wholesale_revenue",'04 Khu vực'!$Z$5:$Z$701,0))="","—",INDEX('04 Khu vực'!$C$5:$C$701,MATCH(L$4&amp;"|na_wholesale_revenue",'04 Khu vực'!$Z$5:$Z$701,0)))</f>
        <v>2719.0</v>
      </c>
      <c r="M42" s="24">
        <f>IF(INDEX('04 Khu vực'!$C$5:$C$701,MATCH(M$4&amp;"|na_wholesale_revenue",'04 Khu vực'!$Z$5:$Z$701,0))="","—",INDEX('04 Khu vực'!$C$5:$C$701,MATCH(M$4&amp;"|na_wholesale_revenue",'04 Khu vực'!$Z$5:$Z$701,0)))</f>
        <v>2354.0</v>
      </c>
      <c r="N42" s="24">
        <f>IF(INDEX('04 Khu vực'!$C$5:$C$701,MATCH(N$4&amp;"|na_wholesale_revenue",'04 Khu vực'!$Z$5:$Z$701,0))="","—",INDEX('04 Khu vực'!$C$5:$C$701,MATCH(N$4&amp;"|na_wholesale_revenue",'04 Khu vực'!$Z$5:$Z$701,0)))</f>
        <v>1894.0</v>
      </c>
      <c r="O42" s="24">
        <f>IF(INDEX('04 Khu vực'!$C$5:$C$701,MATCH(O$4&amp;"|na_wholesale_revenue",'04 Khu vực'!$Z$5:$Z$701,0))="","—",INDEX('04 Khu vực'!$C$5:$C$701,MATCH(O$4&amp;"|na_wholesale_revenue",'04 Khu vực'!$Z$5:$Z$701,0)))</f>
        <v>3219.0</v>
      </c>
      <c r="P42" s="25" t="s">
        <v>2042</v>
      </c>
    </row>
    <row r="43" spans="1:16">
      <c r="A43" s="23" t="s">
        <v>1571</v>
      </c>
      <c r="B43" s="11" t="s">
        <v>1565</v>
      </c>
      <c r="C43" s="11" t="s">
        <v>71</v>
      </c>
      <c r="D43" s="24">
        <f>IF(INDEX('04 Khu vực'!$C$5:$C$701,MATCH(D$4&amp;"|emea_revenue",'04 Khu vực'!$Z$5:$Z$701,0))="","—",INDEX('04 Khu vực'!$C$5:$C$701,MATCH(D$4&amp;"|emea_revenue",'04 Khu vực'!$Z$5:$Z$701,0)))</f>
        <v>2607.0</v>
      </c>
      <c r="E43" s="24">
        <f>IF(INDEX('04 Khu vực'!$C$5:$C$701,MATCH(E$4&amp;"|emea_revenue",'04 Khu vực'!$Z$5:$Z$701,0))="","—",INDEX('04 Khu vực'!$C$5:$C$701,MATCH(E$4&amp;"|emea_revenue",'04 Khu vực'!$Z$5:$Z$701,0)))</f>
        <v>2313.0</v>
      </c>
      <c r="F43" s="24">
        <f>IF(INDEX('04 Khu vực'!$C$5:$C$701,MATCH(F$4&amp;"|emea_revenue",'04 Khu vực'!$Z$5:$Z$701,0))="","—",INDEX('04 Khu vực'!$C$5:$C$701,MATCH(F$4&amp;"|emea_revenue",'04 Khu vực'!$Z$5:$Z$701,0)))</f>
        <v>2435.0</v>
      </c>
      <c r="G43" s="24">
        <f>IF(INDEX('04 Khu vực'!$C$5:$C$701,MATCH(G$4&amp;"|emea_revenue",'04 Khu vực'!$Z$5:$Z$701,0))="","—",INDEX('04 Khu vực'!$C$5:$C$701,MATCH(G$4&amp;"|emea_revenue",'04 Khu vực'!$Z$5:$Z$701,0)))</f>
        <v>2457.0</v>
      </c>
      <c r="H43" s="24">
        <f>IF(INDEX('04 Khu vực'!$C$5:$C$701,MATCH(H$4&amp;"|emea_revenue",'04 Khu vực'!$Z$5:$Z$701,0))="","—",INDEX('04 Khu vực'!$C$5:$C$701,MATCH(H$4&amp;"|emea_revenue",'04 Khu vực'!$Z$5:$Z$701,0)))</f>
        <v>2773.0</v>
      </c>
      <c r="I43" s="24">
        <f>IF(INDEX('04 Khu vực'!$C$5:$C$701,MATCH(I$4&amp;"|emea_revenue",'04 Khu vực'!$Z$5:$Z$701,0))="","—",INDEX('04 Khu vực'!$C$5:$C$701,MATCH(I$4&amp;"|emea_revenue",'04 Khu vực'!$Z$5:$Z$701,0)))</f>
        <v>2537.0</v>
      </c>
      <c r="J43" s="24">
        <f>IF(INDEX('04 Khu vực'!$C$5:$C$701,MATCH(J$4&amp;"|emea_revenue",'04 Khu vực'!$Z$5:$Z$701,0))="","—",INDEX('04 Khu vực'!$C$5:$C$701,MATCH(J$4&amp;"|emea_revenue",'04 Khu vực'!$Z$5:$Z$701,0)))</f>
        <v>2709.0</v>
      </c>
      <c r="K43" s="24">
        <f>IF(INDEX('04 Khu vực'!$C$5:$C$701,MATCH(K$4&amp;"|emea_revenue",'04 Khu vực'!$Z$5:$Z$701,0))="","—",INDEX('04 Khu vực'!$C$5:$C$701,MATCH(K$4&amp;"|emea_revenue",'04 Khu vực'!$Z$5:$Z$701,0)))</f>
        <v>1328.0</v>
      </c>
      <c r="L43" s="24">
        <f>IF(INDEX('04 Khu vực'!$C$5:$C$701,MATCH(L$4&amp;"|emea_revenue",'04 Khu vực'!$Z$5:$Z$701,0))="","—",INDEX('04 Khu vực'!$C$5:$C$701,MATCH(L$4&amp;"|emea_revenue",'04 Khu vực'!$Z$5:$Z$701,0)))</f>
        <v>2910.0</v>
      </c>
      <c r="M43" s="24">
        <f>IF(INDEX('04 Khu vực'!$C$5:$C$701,MATCH(M$4&amp;"|emea_revenue",'04 Khu vực'!$Z$5:$Z$701,0))="","—",INDEX('04 Khu vực'!$C$5:$C$701,MATCH(M$4&amp;"|emea_revenue",'04 Khu vực'!$Z$5:$Z$701,0)))</f>
        <v>2958.0</v>
      </c>
      <c r="N43" s="24">
        <f>IF(INDEX('04 Khu vực'!$C$5:$C$701,MATCH(N$4&amp;"|emea_revenue",'04 Khu vực'!$Z$5:$Z$701,0))="","—",INDEX('04 Khu vực'!$C$5:$C$701,MATCH(N$4&amp;"|emea_revenue",'04 Khu vực'!$Z$5:$Z$701,0)))</f>
        <v>2609.0</v>
      </c>
      <c r="O43" s="24">
        <f>IF(INDEX('04 Khu vực'!$C$5:$C$701,MATCH(O$4&amp;"|emea_revenue",'04 Khu vực'!$Z$5:$Z$701,0))="","—",INDEX('04 Khu vực'!$C$5:$C$701,MATCH(O$4&amp;"|emea_revenue",'04 Khu vực'!$Z$5:$Z$701,0)))</f>
        <v>2979.0</v>
      </c>
      <c r="P43" s="25" t="s">
        <v>2044</v>
      </c>
    </row>
    <row r="44" spans="1:16">
      <c r="A44" s="23" t="s">
        <v>2045</v>
      </c>
      <c r="B44" s="11" t="s">
        <v>2046</v>
      </c>
      <c r="C44" s="11" t="s">
        <v>71</v>
      </c>
      <c r="D44" s="24">
        <f>IF(INDEX('04 Khu vực'!$D$5:$D$701,MATCH(D$4&amp;"|emea_revenue",'04 Khu vực'!$Z$5:$Z$701,0))="","—",INDEX('04 Khu vực'!$D$5:$D$701,MATCH(D$4&amp;"|emea_revenue",'04 Khu vực'!$Z$5:$Z$701,0)))</f>
        <v>2344.0</v>
      </c>
      <c r="E44" s="24">
        <f>IF(INDEX('04 Khu vực'!$D$5:$D$701,MATCH(E$4&amp;"|emea_revenue",'04 Khu vực'!$Z$5:$Z$701,0))="","—",INDEX('04 Khu vực'!$D$5:$D$701,MATCH(E$4&amp;"|emea_revenue",'04 Khu vực'!$Z$5:$Z$701,0)))</f>
        <v>2133.0</v>
      </c>
      <c r="F44" s="24">
        <f>IF(INDEX('04 Khu vực'!$D$5:$D$701,MATCH(F$4&amp;"|emea_revenue",'04 Khu vực'!$Z$5:$Z$701,0))="","—",INDEX('04 Khu vực'!$D$5:$D$701,MATCH(F$4&amp;"|emea_revenue",'04 Khu vực'!$Z$5:$Z$701,0)))</f>
        <v>2299.0</v>
      </c>
      <c r="G44" s="24">
        <f>IF(INDEX('04 Khu vực'!$D$5:$D$701,MATCH(G$4&amp;"|emea_revenue",'04 Khu vực'!$Z$5:$Z$701,0))="","—",INDEX('04 Khu vực'!$D$5:$D$701,MATCH(G$4&amp;"|emea_revenue",'04 Khu vực'!$Z$5:$Z$701,0)))</f>
        <v>2466.0</v>
      </c>
      <c r="H44" s="24">
        <f>IF(INDEX('04 Khu vực'!$D$5:$D$701,MATCH(H$4&amp;"|emea_revenue",'04 Khu vực'!$Z$5:$Z$701,0))="","—",INDEX('04 Khu vực'!$D$5:$D$701,MATCH(H$4&amp;"|emea_revenue",'04 Khu vực'!$Z$5:$Z$701,0)))</f>
        <v>2607.0</v>
      </c>
      <c r="I44" s="24">
        <f>IF(INDEX('04 Khu vực'!$D$5:$D$701,MATCH(I$4&amp;"|emea_revenue",'04 Khu vực'!$Z$5:$Z$701,0))="","—",INDEX('04 Khu vực'!$D$5:$D$701,MATCH(I$4&amp;"|emea_revenue",'04 Khu vực'!$Z$5:$Z$701,0)))</f>
        <v>2313.0</v>
      </c>
      <c r="J44" s="24">
        <f>IF(INDEX('04 Khu vực'!$D$5:$D$701,MATCH(J$4&amp;"|emea_revenue",'04 Khu vực'!$Z$5:$Z$701,0))="","—",INDEX('04 Khu vực'!$D$5:$D$701,MATCH(J$4&amp;"|emea_revenue",'04 Khu vực'!$Z$5:$Z$701,0)))</f>
        <v>2435.0</v>
      </c>
      <c r="K44" s="24">
        <f>IF(INDEX('04 Khu vực'!$D$5:$D$701,MATCH(K$4&amp;"|emea_revenue",'04 Khu vực'!$Z$5:$Z$701,0))="","—",INDEX('04 Khu vực'!$D$5:$D$701,MATCH(K$4&amp;"|emea_revenue",'04 Khu vực'!$Z$5:$Z$701,0)))</f>
        <v>2457.0</v>
      </c>
      <c r="L44" s="24">
        <f>IF(INDEX('04 Khu vực'!$D$5:$D$701,MATCH(L$4&amp;"|emea_revenue",'04 Khu vực'!$Z$5:$Z$701,0))="","—",INDEX('04 Khu vực'!$D$5:$D$701,MATCH(L$4&amp;"|emea_revenue",'04 Khu vực'!$Z$5:$Z$701,0)))</f>
        <v>2773.0</v>
      </c>
      <c r="M44" s="24">
        <f>IF(INDEX('04 Khu vực'!$D$5:$D$701,MATCH(M$4&amp;"|emea_revenue",'04 Khu vực'!$Z$5:$Z$701,0))="","—",INDEX('04 Khu vực'!$D$5:$D$701,MATCH(M$4&amp;"|emea_revenue",'04 Khu vực'!$Z$5:$Z$701,0)))</f>
        <v>2537.0</v>
      </c>
      <c r="N44" s="24">
        <f>IF(INDEX('04 Khu vực'!$D$5:$D$701,MATCH(N$4&amp;"|emea_revenue",'04 Khu vực'!$Z$5:$Z$701,0))="","—",INDEX('04 Khu vực'!$D$5:$D$701,MATCH(N$4&amp;"|emea_revenue",'04 Khu vực'!$Z$5:$Z$701,0)))</f>
        <v>2709.0</v>
      </c>
      <c r="O44" s="24">
        <f>IF(INDEX('04 Khu vực'!$D$5:$D$701,MATCH(O$4&amp;"|emea_revenue",'04 Khu vực'!$Z$5:$Z$701,0))="","—",INDEX('04 Khu vực'!$D$5:$D$701,MATCH(O$4&amp;"|emea_revenue",'04 Khu vực'!$Z$5:$Z$701,0)))</f>
        <v>1328.0</v>
      </c>
      <c r="P44" s="25" t="s">
        <v>2047</v>
      </c>
    </row>
    <row r="45" spans="1:16">
      <c r="A45" s="23" t="s">
        <v>1620</v>
      </c>
      <c r="B45" s="11" t="s">
        <v>1614</v>
      </c>
      <c r="C45" s="11" t="s">
        <v>71</v>
      </c>
      <c r="D45" s="24">
        <f>IF(INDEX('04 Khu vực'!$C$5:$C$701,MATCH(D$4&amp;"|emea_direct_revenue",'04 Khu vực'!$Z$5:$Z$701,0))="","—",INDEX('04 Khu vực'!$C$5:$C$701,MATCH(D$4&amp;"|emea_direct_revenue",'04 Khu vực'!$Z$5:$Z$701,0)))</f>
        <v>691.0</v>
      </c>
      <c r="E45" s="24">
        <f>IF(INDEX('04 Khu vực'!$C$5:$C$701,MATCH(E$4&amp;"|emea_direct_revenue",'04 Khu vực'!$Z$5:$Z$701,0))="","—",INDEX('04 Khu vực'!$C$5:$C$701,MATCH(E$4&amp;"|emea_direct_revenue",'04 Khu vực'!$Z$5:$Z$701,0)))</f>
        <v>696.0</v>
      </c>
      <c r="F45" s="24">
        <f>IF(INDEX('04 Khu vực'!$C$5:$C$701,MATCH(F$4&amp;"|emea_direct_revenue",'04 Khu vực'!$Z$5:$Z$701,0))="","—",INDEX('04 Khu vực'!$C$5:$C$701,MATCH(F$4&amp;"|emea_direct_revenue",'04 Khu vực'!$Z$5:$Z$701,0)))</f>
        <v>650.0</v>
      </c>
      <c r="G45" s="24">
        <f>IF(INDEX('04 Khu vực'!$C$5:$C$701,MATCH(G$4&amp;"|emea_direct_revenue",'04 Khu vực'!$Z$5:$Z$701,0))="","—",INDEX('04 Khu vực'!$C$5:$C$701,MATCH(G$4&amp;"|emea_direct_revenue",'04 Khu vực'!$Z$5:$Z$701,0)))</f>
        <v>699.0</v>
      </c>
      <c r="H45" s="24">
        <f>IF(INDEX('04 Khu vực'!$C$5:$C$701,MATCH(H$4&amp;"|emea_direct_revenue",'04 Khu vực'!$Z$5:$Z$701,0))="","—",INDEX('04 Khu vực'!$C$5:$C$701,MATCH(H$4&amp;"|emea_direct_revenue",'04 Khu vực'!$Z$5:$Z$701,0)))</f>
        <v>731.0</v>
      </c>
      <c r="I45" s="24">
        <f>IF(INDEX('04 Khu vực'!$C$5:$C$701,MATCH(I$4&amp;"|emea_direct_revenue",'04 Khu vực'!$Z$5:$Z$701,0))="","—",INDEX('04 Khu vực'!$C$5:$C$701,MATCH(I$4&amp;"|emea_direct_revenue",'04 Khu vực'!$Z$5:$Z$701,0)))</f>
        <v>743.0</v>
      </c>
      <c r="J45" s="24">
        <f>IF(INDEX('04 Khu vực'!$C$5:$C$701,MATCH(J$4&amp;"|emea_direct_revenue",'04 Khu vực'!$Z$5:$Z$701,0))="","—",INDEX('04 Khu vực'!$C$5:$C$701,MATCH(J$4&amp;"|emea_direct_revenue",'04 Khu vực'!$Z$5:$Z$701,0)))</f>
        <v>753.0</v>
      </c>
      <c r="K45" s="24">
        <f>IF(INDEX('04 Khu vực'!$C$5:$C$701,MATCH(K$4&amp;"|emea_direct_revenue",'04 Khu vực'!$Z$5:$Z$701,0))="","—",INDEX('04 Khu vực'!$C$5:$C$701,MATCH(K$4&amp;"|emea_direct_revenue",'04 Khu vực'!$Z$5:$Z$701,0)))</f>
        <v>546.0</v>
      </c>
      <c r="L45" s="24">
        <f>IF(INDEX('04 Khu vực'!$C$5:$C$701,MATCH(L$4&amp;"|emea_direct_revenue",'04 Khu vực'!$Z$5:$Z$701,0))="","—",INDEX('04 Khu vực'!$C$5:$C$701,MATCH(L$4&amp;"|emea_direct_revenue",'04 Khu vực'!$Z$5:$Z$701,0)))</f>
        <v>937.0</v>
      </c>
      <c r="M45" s="24">
        <f>IF(INDEX('04 Khu vực'!$C$5:$C$701,MATCH(M$4&amp;"|emea_direct_revenue",'04 Khu vực'!$Z$5:$Z$701,0))="","—",INDEX('04 Khu vực'!$C$5:$C$701,MATCH(M$4&amp;"|emea_direct_revenue",'04 Khu vực'!$Z$5:$Z$701,0)))</f>
        <v>973.0</v>
      </c>
      <c r="N45" s="24">
        <f>IF(INDEX('04 Khu vực'!$C$5:$C$701,MATCH(N$4&amp;"|emea_direct_revenue",'04 Khu vực'!$Z$5:$Z$701,0))="","—",INDEX('04 Khu vực'!$C$5:$C$701,MATCH(N$4&amp;"|emea_direct_revenue",'04 Khu vực'!$Z$5:$Z$701,0)))</f>
        <v>804.0</v>
      </c>
      <c r="O45" s="24">
        <f>IF(INDEX('04 Khu vực'!$C$5:$C$701,MATCH(O$4&amp;"|emea_direct_revenue",'04 Khu vực'!$Z$5:$Z$701,0))="","—",INDEX('04 Khu vực'!$C$5:$C$701,MATCH(O$4&amp;"|emea_direct_revenue",'04 Khu vực'!$Z$5:$Z$701,0)))</f>
        <v>930.0</v>
      </c>
      <c r="P45" s="25" t="s">
        <v>2048</v>
      </c>
    </row>
    <row r="46" spans="1:16">
      <c r="A46" s="23" t="s">
        <v>2049</v>
      </c>
      <c r="B46" s="11" t="s">
        <v>2050</v>
      </c>
      <c r="C46" s="11" t="s">
        <v>71</v>
      </c>
      <c r="D46" s="24">
        <f>IF(INDEX('04 Khu vực'!$D$5:$D$701,MATCH(D$4&amp;"|emea_direct_revenue",'04 Khu vực'!$Z$5:$Z$701,0))="","—",INDEX('04 Khu vực'!$D$5:$D$701,MATCH(D$4&amp;"|emea_direct_revenue",'04 Khu vực'!$Z$5:$Z$701,0)))</f>
        <v>622.0</v>
      </c>
      <c r="E46" s="24">
        <f>IF(INDEX('04 Khu vực'!$D$5:$D$701,MATCH(E$4&amp;"|emea_direct_revenue",'04 Khu vực'!$Z$5:$Z$701,0))="","—",INDEX('04 Khu vực'!$D$5:$D$701,MATCH(E$4&amp;"|emea_direct_revenue",'04 Khu vực'!$Z$5:$Z$701,0)))</f>
        <v>608.0</v>
      </c>
      <c r="F46" s="24">
        <f>IF(INDEX('04 Khu vực'!$D$5:$D$701,MATCH(F$4&amp;"|emea_direct_revenue",'04 Khu vực'!$Z$5:$Z$701,0))="","—",INDEX('04 Khu vực'!$D$5:$D$701,MATCH(F$4&amp;"|emea_direct_revenue",'04 Khu vực'!$Z$5:$Z$701,0)))</f>
        <v>594.0</v>
      </c>
      <c r="G46" s="24">
        <f>IF(INDEX('04 Khu vực'!$D$5:$D$701,MATCH(G$4&amp;"|emea_direct_revenue",'04 Khu vực'!$Z$5:$Z$701,0))="","—",INDEX('04 Khu vực'!$D$5:$D$701,MATCH(G$4&amp;"|emea_direct_revenue",'04 Khu vực'!$Z$5:$Z$701,0)))</f>
        <v>653.0</v>
      </c>
      <c r="H46" s="24">
        <f>IF(INDEX('04 Khu vực'!$D$5:$D$701,MATCH(H$4&amp;"|emea_direct_revenue",'04 Khu vực'!$Z$5:$Z$701,0))="","—",INDEX('04 Khu vực'!$D$5:$D$701,MATCH(H$4&amp;"|emea_direct_revenue",'04 Khu vực'!$Z$5:$Z$701,0)))</f>
        <v>691.0</v>
      </c>
      <c r="I46" s="24">
        <f>IF(INDEX('04 Khu vực'!$D$5:$D$701,MATCH(I$4&amp;"|emea_direct_revenue",'04 Khu vực'!$Z$5:$Z$701,0))="","—",INDEX('04 Khu vực'!$D$5:$D$701,MATCH(I$4&amp;"|emea_direct_revenue",'04 Khu vực'!$Z$5:$Z$701,0)))</f>
        <v>696.0</v>
      </c>
      <c r="J46" s="24">
        <f>IF(INDEX('04 Khu vực'!$D$5:$D$701,MATCH(J$4&amp;"|emea_direct_revenue",'04 Khu vực'!$Z$5:$Z$701,0))="","—",INDEX('04 Khu vực'!$D$5:$D$701,MATCH(J$4&amp;"|emea_direct_revenue",'04 Khu vực'!$Z$5:$Z$701,0)))</f>
        <v>650.0</v>
      </c>
      <c r="K46" s="24">
        <f>IF(INDEX('04 Khu vực'!$D$5:$D$701,MATCH(K$4&amp;"|emea_direct_revenue",'04 Khu vực'!$Z$5:$Z$701,0))="","—",INDEX('04 Khu vực'!$D$5:$D$701,MATCH(K$4&amp;"|emea_direct_revenue",'04 Khu vực'!$Z$5:$Z$701,0)))</f>
        <v>699.0</v>
      </c>
      <c r="L46" s="24">
        <f>IF(INDEX('04 Khu vực'!$D$5:$D$701,MATCH(L$4&amp;"|emea_direct_revenue",'04 Khu vực'!$Z$5:$Z$701,0))="","—",INDEX('04 Khu vực'!$D$5:$D$701,MATCH(L$4&amp;"|emea_direct_revenue",'04 Khu vực'!$Z$5:$Z$701,0)))</f>
        <v>731.0</v>
      </c>
      <c r="M46" s="24">
        <f>IF(INDEX('04 Khu vực'!$D$5:$D$701,MATCH(M$4&amp;"|emea_direct_revenue",'04 Khu vực'!$Z$5:$Z$701,0))="","—",INDEX('04 Khu vực'!$D$5:$D$701,MATCH(M$4&amp;"|emea_direct_revenue",'04 Khu vực'!$Z$5:$Z$701,0)))</f>
        <v>743.0</v>
      </c>
      <c r="N46" s="24">
        <f>IF(INDEX('04 Khu vực'!$D$5:$D$701,MATCH(N$4&amp;"|emea_direct_revenue",'04 Khu vực'!$Z$5:$Z$701,0))="","—",INDEX('04 Khu vực'!$D$5:$D$701,MATCH(N$4&amp;"|emea_direct_revenue",'04 Khu vực'!$Z$5:$Z$701,0)))</f>
        <v>753.0</v>
      </c>
      <c r="O46" s="24">
        <f>IF(INDEX('04 Khu vực'!$D$5:$D$701,MATCH(O$4&amp;"|emea_direct_revenue",'04 Khu vực'!$Z$5:$Z$701,0))="","—",INDEX('04 Khu vực'!$D$5:$D$701,MATCH(O$4&amp;"|emea_direct_revenue",'04 Khu vực'!$Z$5:$Z$701,0)))</f>
        <v>546.0</v>
      </c>
      <c r="P46" s="25" t="s">
        <v>2051</v>
      </c>
    </row>
    <row r="47" spans="1:16">
      <c r="A47" s="23" t="s">
        <v>1660</v>
      </c>
      <c r="B47" s="11" t="s">
        <v>1654</v>
      </c>
      <c r="C47" s="11" t="s">
        <v>71</v>
      </c>
      <c r="D47" s="24">
        <f>IF(INDEX('04 Khu vực'!$C$5:$C$701,MATCH(D$4&amp;"|emea_wholesale_revenue",'04 Khu vực'!$Z$5:$Z$701,0))="","—",INDEX('04 Khu vực'!$C$5:$C$701,MATCH(D$4&amp;"|emea_wholesale_revenue",'04 Khu vực'!$Z$5:$Z$701,0)))</f>
        <v>1916.0</v>
      </c>
      <c r="E47" s="24">
        <f>IF(INDEX('04 Khu vực'!$C$5:$C$701,MATCH(E$4&amp;"|emea_wholesale_revenue",'04 Khu vực'!$Z$5:$Z$701,0))="","—",INDEX('04 Khu vực'!$C$5:$C$701,MATCH(E$4&amp;"|emea_wholesale_revenue",'04 Khu vực'!$Z$5:$Z$701,0)))</f>
        <v>1617.0</v>
      </c>
      <c r="F47" s="24">
        <f>IF(INDEX('04 Khu vực'!$C$5:$C$701,MATCH(F$4&amp;"|emea_wholesale_revenue",'04 Khu vực'!$Z$5:$Z$701,0))="","—",INDEX('04 Khu vực'!$C$5:$C$701,MATCH(F$4&amp;"|emea_wholesale_revenue",'04 Khu vực'!$Z$5:$Z$701,0)))</f>
        <v>1785.0</v>
      </c>
      <c r="G47" s="24">
        <f>IF(INDEX('04 Khu vực'!$C$5:$C$701,MATCH(G$4&amp;"|emea_wholesale_revenue",'04 Khu vực'!$Z$5:$Z$701,0))="","—",INDEX('04 Khu vực'!$C$5:$C$701,MATCH(G$4&amp;"|emea_wholesale_revenue",'04 Khu vực'!$Z$5:$Z$701,0)))</f>
        <v>1758.0</v>
      </c>
      <c r="H47" s="24">
        <f>IF(INDEX('04 Khu vực'!$C$5:$C$701,MATCH(H$4&amp;"|emea_wholesale_revenue",'04 Khu vực'!$Z$5:$Z$701,0))="","—",INDEX('04 Khu vực'!$C$5:$C$701,MATCH(H$4&amp;"|emea_wholesale_revenue",'04 Khu vực'!$Z$5:$Z$701,0)))</f>
        <v>2042.0</v>
      </c>
      <c r="I47" s="24">
        <f>IF(INDEX('04 Khu vực'!$C$5:$C$701,MATCH(I$4&amp;"|emea_wholesale_revenue",'04 Khu vực'!$Z$5:$Z$701,0))="","—",INDEX('04 Khu vực'!$C$5:$C$701,MATCH(I$4&amp;"|emea_wholesale_revenue",'04 Khu vực'!$Z$5:$Z$701,0)))</f>
        <v>1794.0</v>
      </c>
      <c r="J47" s="24">
        <f>IF(INDEX('04 Khu vực'!$C$5:$C$701,MATCH(J$4&amp;"|emea_wholesale_revenue",'04 Khu vực'!$Z$5:$Z$701,0))="","—",INDEX('04 Khu vực'!$C$5:$C$701,MATCH(J$4&amp;"|emea_wholesale_revenue",'04 Khu vực'!$Z$5:$Z$701,0)))</f>
        <v>1956.0</v>
      </c>
      <c r="K47" s="24">
        <f>IF(INDEX('04 Khu vực'!$C$5:$C$701,MATCH(K$4&amp;"|emea_wholesale_revenue",'04 Khu vực'!$Z$5:$Z$701,0))="","—",INDEX('04 Khu vực'!$C$5:$C$701,MATCH(K$4&amp;"|emea_wholesale_revenue",'04 Khu vực'!$Z$5:$Z$701,0)))</f>
        <v>782.0</v>
      </c>
      <c r="L47" s="24">
        <f>IF(INDEX('04 Khu vực'!$C$5:$C$701,MATCH(L$4&amp;"|emea_wholesale_revenue",'04 Khu vực'!$Z$5:$Z$701,0))="","—",INDEX('04 Khu vực'!$C$5:$C$701,MATCH(L$4&amp;"|emea_wholesale_revenue",'04 Khu vực'!$Z$5:$Z$701,0)))</f>
        <v>1973.0</v>
      </c>
      <c r="M47" s="24">
        <f>IF(INDEX('04 Khu vực'!$C$5:$C$701,MATCH(M$4&amp;"|emea_wholesale_revenue",'04 Khu vực'!$Z$5:$Z$701,0))="","—",INDEX('04 Khu vực'!$C$5:$C$701,MATCH(M$4&amp;"|emea_wholesale_revenue",'04 Khu vực'!$Z$5:$Z$701,0)))</f>
        <v>1985.0</v>
      </c>
      <c r="N47" s="24">
        <f>IF(INDEX('04 Khu vực'!$C$5:$C$701,MATCH(N$4&amp;"|emea_wholesale_revenue",'04 Khu vực'!$Z$5:$Z$701,0))="","—",INDEX('04 Khu vực'!$C$5:$C$701,MATCH(N$4&amp;"|emea_wholesale_revenue",'04 Khu vực'!$Z$5:$Z$701,0)))</f>
        <v>1805.0</v>
      </c>
      <c r="O47" s="24">
        <f>IF(INDEX('04 Khu vực'!$C$5:$C$701,MATCH(O$4&amp;"|emea_wholesale_revenue",'04 Khu vực'!$Z$5:$Z$701,0))="","—",INDEX('04 Khu vực'!$C$5:$C$701,MATCH(O$4&amp;"|emea_wholesale_revenue",'04 Khu vực'!$Z$5:$Z$701,0)))</f>
        <v>2049.0</v>
      </c>
      <c r="P47" s="25" t="s">
        <v>2052</v>
      </c>
    </row>
    <row r="48" spans="1:16">
      <c r="A48" s="23" t="s">
        <v>1714</v>
      </c>
      <c r="B48" s="11" t="s">
        <v>1707</v>
      </c>
      <c r="C48" s="11" t="s">
        <v>71</v>
      </c>
      <c r="D48" s="24">
        <f>IF(INDEX('04 Khu vực'!$C$5:$C$701,MATCH(D$4&amp;"|gc_revenue",'04 Khu vực'!$Z$5:$Z$701,0))="","—",INDEX('04 Khu vực'!$C$5:$C$701,MATCH(D$4&amp;"|gc_revenue",'04 Khu vực'!$Z$5:$Z$701,0)))</f>
        <v>1379.0</v>
      </c>
      <c r="E48" s="24">
        <f>IF(INDEX('04 Khu vực'!$C$5:$C$701,MATCH(E$4&amp;"|gc_revenue",'04 Khu vực'!$Z$5:$Z$701,0))="","—",INDEX('04 Khu vực'!$C$5:$C$701,MATCH(E$4&amp;"|gc_revenue",'04 Khu vực'!$Z$5:$Z$701,0)))</f>
        <v>1544.0</v>
      </c>
      <c r="F48" s="24">
        <f>IF(INDEX('04 Khu vực'!$C$5:$C$701,MATCH(F$4&amp;"|gc_revenue",'04 Khu vực'!$Z$5:$Z$701,0))="","—",INDEX('04 Khu vực'!$C$5:$C$701,MATCH(F$4&amp;"|gc_revenue",'04 Khu vực'!$Z$5:$Z$701,0)))</f>
        <v>1588.0</v>
      </c>
      <c r="G48" s="24">
        <f>IF(INDEX('04 Khu vực'!$C$5:$C$701,MATCH(G$4&amp;"|gc_revenue",'04 Khu vực'!$Z$5:$Z$701,0))="","—",INDEX('04 Khu vực'!$C$5:$C$701,MATCH(G$4&amp;"|gc_revenue",'04 Khu vực'!$Z$5:$Z$701,0)))</f>
        <v>1697.0</v>
      </c>
      <c r="H48" s="24">
        <f>IF(INDEX('04 Khu vực'!$C$5:$C$701,MATCH(H$4&amp;"|gc_revenue",'04 Khu vực'!$Z$5:$Z$701,0))="","—",INDEX('04 Khu vực'!$C$5:$C$701,MATCH(H$4&amp;"|gc_revenue",'04 Khu vực'!$Z$5:$Z$701,0)))</f>
        <v>1679.0</v>
      </c>
      <c r="I48" s="24">
        <f>IF(INDEX('04 Khu vực'!$C$5:$C$701,MATCH(I$4&amp;"|gc_revenue",'04 Khu vực'!$Z$5:$Z$701,0))="","—",INDEX('04 Khu vực'!$C$5:$C$701,MATCH(I$4&amp;"|gc_revenue",'04 Khu vực'!$Z$5:$Z$701,0)))</f>
        <v>1847.0</v>
      </c>
      <c r="J48" s="24">
        <f>IF(INDEX('04 Khu vực'!$C$5:$C$701,MATCH(J$4&amp;"|gc_revenue",'04 Khu vực'!$Z$5:$Z$701,0))="","—",INDEX('04 Khu vực'!$C$5:$C$701,MATCH(J$4&amp;"|gc_revenue",'04 Khu vực'!$Z$5:$Z$701,0)))</f>
        <v>1506.0</v>
      </c>
      <c r="K48" s="24">
        <f>IF(INDEX('04 Khu vực'!$C$5:$C$701,MATCH(K$4&amp;"|gc_revenue",'04 Khu vực'!$Z$5:$Z$701,0))="","—",INDEX('04 Khu vực'!$C$5:$C$701,MATCH(K$4&amp;"|gc_revenue",'04 Khu vực'!$Z$5:$Z$701,0)))</f>
        <v>1647.0</v>
      </c>
      <c r="L48" s="24">
        <f>IF(INDEX('04 Khu vực'!$C$5:$C$701,MATCH(L$4&amp;"|gc_revenue",'04 Khu vực'!$Z$5:$Z$701,0))="","—",INDEX('04 Khu vực'!$C$5:$C$701,MATCH(L$4&amp;"|gc_revenue",'04 Khu vực'!$Z$5:$Z$701,0)))</f>
        <v>1780.0</v>
      </c>
      <c r="M48" s="24">
        <f>IF(INDEX('04 Khu vực'!$C$5:$C$701,MATCH(M$4&amp;"|gc_revenue",'04 Khu vực'!$Z$5:$Z$701,0))="","—",INDEX('04 Khu vực'!$C$5:$C$701,MATCH(M$4&amp;"|gc_revenue",'04 Khu vực'!$Z$5:$Z$701,0)))</f>
        <v>2298.0</v>
      </c>
      <c r="N48" s="24">
        <f>IF(INDEX('04 Khu vực'!$C$5:$C$701,MATCH(N$4&amp;"|gc_revenue",'04 Khu vực'!$Z$5:$Z$701,0))="","—",INDEX('04 Khu vực'!$C$5:$C$701,MATCH(N$4&amp;"|gc_revenue",'04 Khu vực'!$Z$5:$Z$701,0)))</f>
        <v>2279.0</v>
      </c>
      <c r="O48" s="24">
        <f>IF(INDEX('04 Khu vực'!$C$5:$C$701,MATCH(O$4&amp;"|gc_revenue",'04 Khu vực'!$Z$5:$Z$701,0))="","—",INDEX('04 Khu vực'!$C$5:$C$701,MATCH(O$4&amp;"|gc_revenue",'04 Khu vực'!$Z$5:$Z$701,0)))</f>
        <v>1933.0</v>
      </c>
      <c r="P48" s="25" t="s">
        <v>2054</v>
      </c>
    </row>
    <row r="49" spans="1:17">
      <c r="A49" s="23" t="s">
        <v>2055</v>
      </c>
      <c r="B49" s="11" t="s">
        <v>2056</v>
      </c>
      <c r="C49" s="11" t="s">
        <v>71</v>
      </c>
      <c r="D49" s="24">
        <f>IF(INDEX('04 Khu vực'!$D$5:$D$701,MATCH(D$4&amp;"|gc_revenue",'04 Khu vực'!$Z$5:$Z$701,0))="","—",INDEX('04 Khu vực'!$D$5:$D$701,MATCH(D$4&amp;"|gc_revenue",'04 Khu vực'!$Z$5:$Z$701,0)))</f>
        <v>1108.0</v>
      </c>
      <c r="E49" s="24">
        <f>IF(INDEX('04 Khu vực'!$D$5:$D$701,MATCH(E$4&amp;"|gc_revenue",'04 Khu vực'!$Z$5:$Z$701,0))="","—",INDEX('04 Khu vực'!$D$5:$D$701,MATCH(E$4&amp;"|gc_revenue",'04 Khu vực'!$Z$5:$Z$701,0)))</f>
        <v>1222.0</v>
      </c>
      <c r="F49" s="24">
        <f>IF(INDEX('04 Khu vực'!$D$5:$D$701,MATCH(F$4&amp;"|gc_revenue",'04 Khu vực'!$Z$5:$Z$701,0))="","—",INDEX('04 Khu vực'!$D$5:$D$701,MATCH(F$4&amp;"|gc_revenue",'04 Khu vực'!$Z$5:$Z$701,0)))</f>
        <v>1336.0</v>
      </c>
      <c r="G49" s="24">
        <f>IF(INDEX('04 Khu vực'!$D$5:$D$701,MATCH(G$4&amp;"|gc_revenue",'04 Khu vực'!$Z$5:$Z$701,0))="","—",INDEX('04 Khu vực'!$D$5:$D$701,MATCH(G$4&amp;"|gc_revenue",'04 Khu vực'!$Z$5:$Z$701,0)))</f>
        <v>1468.0</v>
      </c>
      <c r="H49" s="24">
        <f>IF(INDEX('04 Khu vực'!$D$5:$D$701,MATCH(H$4&amp;"|gc_revenue",'04 Khu vực'!$Z$5:$Z$701,0))="","—",INDEX('04 Khu vực'!$D$5:$D$701,MATCH(H$4&amp;"|gc_revenue",'04 Khu vực'!$Z$5:$Z$701,0)))</f>
        <v>1379.0</v>
      </c>
      <c r="I49" s="24">
        <f>IF(INDEX('04 Khu vực'!$D$5:$D$701,MATCH(I$4&amp;"|gc_revenue",'04 Khu vực'!$Z$5:$Z$701,0))="","—",INDEX('04 Khu vực'!$D$5:$D$701,MATCH(I$4&amp;"|gc_revenue",'04 Khu vực'!$Z$5:$Z$701,0)))</f>
        <v>1544.0</v>
      </c>
      <c r="J49" s="24">
        <f>IF(INDEX('04 Khu vực'!$D$5:$D$701,MATCH(J$4&amp;"|gc_revenue",'04 Khu vực'!$Z$5:$Z$701,0))="","—",INDEX('04 Khu vực'!$D$5:$D$701,MATCH(J$4&amp;"|gc_revenue",'04 Khu vực'!$Z$5:$Z$701,0)))</f>
        <v>1588.0</v>
      </c>
      <c r="K49" s="24">
        <f>IF(INDEX('04 Khu vực'!$D$5:$D$701,MATCH(K$4&amp;"|gc_revenue",'04 Khu vực'!$Z$5:$Z$701,0))="","—",INDEX('04 Khu vực'!$D$5:$D$701,MATCH(K$4&amp;"|gc_revenue",'04 Khu vực'!$Z$5:$Z$701,0)))</f>
        <v>1697.0</v>
      </c>
      <c r="L49" s="24">
        <f>IF(INDEX('04 Khu vực'!$D$5:$D$701,MATCH(L$4&amp;"|gc_revenue",'04 Khu vực'!$Z$5:$Z$701,0))="","—",INDEX('04 Khu vực'!$D$5:$D$701,MATCH(L$4&amp;"|gc_revenue",'04 Khu vực'!$Z$5:$Z$701,0)))</f>
        <v>1679.0</v>
      </c>
      <c r="M49" s="24">
        <f>IF(INDEX('04 Khu vực'!$D$5:$D$701,MATCH(M$4&amp;"|gc_revenue",'04 Khu vực'!$Z$5:$Z$701,0))="","—",INDEX('04 Khu vực'!$D$5:$D$701,MATCH(M$4&amp;"|gc_revenue",'04 Khu vực'!$Z$5:$Z$701,0)))</f>
        <v>1847.0</v>
      </c>
      <c r="N49" s="24">
        <f>IF(INDEX('04 Khu vực'!$D$5:$D$701,MATCH(N$4&amp;"|gc_revenue",'04 Khu vực'!$Z$5:$Z$701,0))="","—",INDEX('04 Khu vực'!$D$5:$D$701,MATCH(N$4&amp;"|gc_revenue",'04 Khu vực'!$Z$5:$Z$701,0)))</f>
        <v>1506.0</v>
      </c>
      <c r="O49" s="24">
        <f>IF(INDEX('04 Khu vực'!$D$5:$D$701,MATCH(O$4&amp;"|gc_revenue",'04 Khu vực'!$Z$5:$Z$701,0))="","—",INDEX('04 Khu vực'!$D$5:$D$701,MATCH(O$4&amp;"|gc_revenue",'04 Khu vực'!$Z$5:$Z$701,0)))</f>
        <v>1647.0</v>
      </c>
      <c r="P49" s="25" t="s">
        <v>2057</v>
      </c>
    </row>
    <row r="50" spans="1:17">
      <c r="A50" s="23" t="s">
        <v>1760</v>
      </c>
      <c r="B50" s="11" t="s">
        <v>1754</v>
      </c>
      <c r="C50" s="11" t="s">
        <v>71</v>
      </c>
      <c r="D50" s="24">
        <f>IF(INDEX('04 Khu vực'!$C$5:$C$701,MATCH(D$4&amp;"|gc_direct_revenue",'04 Khu vực'!$Z$5:$Z$701,0))="","—",INDEX('04 Khu vực'!$C$5:$C$701,MATCH(D$4&amp;"|gc_direct_revenue",'04 Khu vực'!$Z$5:$Z$701,0)))</f>
        <v>508.0</v>
      </c>
      <c r="E50" s="24">
        <f>IF(INDEX('04 Khu vực'!$C$5:$C$701,MATCH(E$4&amp;"|gc_direct_revenue",'04 Khu vực'!$Z$5:$Z$701,0))="","—",INDEX('04 Khu vực'!$C$5:$C$701,MATCH(E$4&amp;"|gc_direct_revenue",'04 Khu vực'!$Z$5:$Z$701,0)))</f>
        <v>647.0</v>
      </c>
      <c r="F50" s="24">
        <f>IF(INDEX('04 Khu vực'!$C$5:$C$701,MATCH(F$4&amp;"|gc_direct_revenue",'04 Khu vực'!$Z$5:$Z$701,0))="","—",INDEX('04 Khu vực'!$C$5:$C$701,MATCH(F$4&amp;"|gc_direct_revenue",'04 Khu vực'!$Z$5:$Z$701,0)))</f>
        <v>652.0</v>
      </c>
      <c r="G50" s="24">
        <f>IF(INDEX('04 Khu vực'!$C$5:$C$701,MATCH(G$4&amp;"|gc_direct_revenue",'04 Khu vực'!$Z$5:$Z$701,0))="","—",INDEX('04 Khu vực'!$C$5:$C$701,MATCH(G$4&amp;"|gc_direct_revenue",'04 Khu vực'!$Z$5:$Z$701,0)))</f>
        <v>675.0</v>
      </c>
      <c r="H50" s="24">
        <f>IF(INDEX('04 Khu vực'!$C$5:$C$701,MATCH(H$4&amp;"|gc_direct_revenue",'04 Khu vực'!$Z$5:$Z$701,0))="","—",INDEX('04 Khu vực'!$C$5:$C$701,MATCH(H$4&amp;"|gc_direct_revenue",'04 Khu vực'!$Z$5:$Z$701,0)))</f>
        <v>693.0</v>
      </c>
      <c r="I50" s="24">
        <f>IF(INDEX('04 Khu vực'!$C$5:$C$701,MATCH(I$4&amp;"|gc_direct_revenue",'04 Khu vực'!$Z$5:$Z$701,0))="","—",INDEX('04 Khu vực'!$C$5:$C$701,MATCH(I$4&amp;"|gc_direct_revenue",'04 Khu vực'!$Z$5:$Z$701,0)))</f>
        <v>819.0</v>
      </c>
      <c r="J50" s="24">
        <f>IF(INDEX('04 Khu vực'!$C$5:$C$701,MATCH(J$4&amp;"|gc_direct_revenue",'04 Khu vực'!$Z$5:$Z$701,0))="","—",INDEX('04 Khu vực'!$C$5:$C$701,MATCH(J$4&amp;"|gc_direct_revenue",'04 Khu vực'!$Z$5:$Z$701,0)))</f>
        <v>625.0</v>
      </c>
      <c r="K50" s="24">
        <f>IF(INDEX('04 Khu vực'!$C$5:$C$701,MATCH(K$4&amp;"|gc_direct_revenue",'04 Khu vực'!$Z$5:$Z$701,0))="","—",INDEX('04 Khu vực'!$C$5:$C$701,MATCH(K$4&amp;"|gc_direct_revenue",'04 Khu vực'!$Z$5:$Z$701,0)))</f>
        <v>739.0</v>
      </c>
      <c r="L50" s="24">
        <f>IF(INDEX('04 Khu vực'!$C$5:$C$701,MATCH(L$4&amp;"|gc_direct_revenue",'04 Khu vực'!$Z$5:$Z$701,0))="","—",INDEX('04 Khu vực'!$C$5:$C$701,MATCH(L$4&amp;"|gc_direct_revenue",'04 Khu vực'!$Z$5:$Z$701,0)))</f>
        <v>816.0</v>
      </c>
      <c r="M50" s="24">
        <f>IF(INDEX('04 Khu vực'!$C$5:$C$701,MATCH(M$4&amp;"|gc_direct_revenue",'04 Khu vực'!$Z$5:$Z$701,0))="","—",INDEX('04 Khu vực'!$C$5:$C$701,MATCH(M$4&amp;"|gc_direct_revenue",'04 Khu vực'!$Z$5:$Z$701,0)))</f>
        <v>1139.0</v>
      </c>
      <c r="N50" s="24">
        <f>IF(INDEX('04 Khu vực'!$C$5:$C$701,MATCH(N$4&amp;"|gc_direct_revenue",'04 Khu vực'!$Z$5:$Z$701,0))="","—",INDEX('04 Khu vực'!$C$5:$C$701,MATCH(N$4&amp;"|gc_direct_revenue",'04 Khu vực'!$Z$5:$Z$701,0)))</f>
        <v>1010.0</v>
      </c>
      <c r="O50" s="24">
        <f>IF(INDEX('04 Khu vực'!$C$5:$C$701,MATCH(O$4&amp;"|gc_direct_revenue",'04 Khu vực'!$Z$5:$Z$701,0))="","—",INDEX('04 Khu vực'!$C$5:$C$701,MATCH(O$4&amp;"|gc_direct_revenue",'04 Khu vực'!$Z$5:$Z$701,0)))</f>
        <v>812.0</v>
      </c>
      <c r="P50" s="25" t="s">
        <v>2058</v>
      </c>
    </row>
    <row r="51" spans="1:17">
      <c r="A51" s="23" t="s">
        <v>2059</v>
      </c>
      <c r="B51" s="11" t="s">
        <v>2060</v>
      </c>
      <c r="C51" s="11" t="s">
        <v>71</v>
      </c>
      <c r="D51" s="24">
        <f>IF(INDEX('04 Khu vực'!$D$5:$D$701,MATCH(D$4&amp;"|gc_direct_revenue",'04 Khu vực'!$Z$5:$Z$701,0))="","—",INDEX('04 Khu vực'!$D$5:$D$701,MATCH(D$4&amp;"|gc_direct_revenue",'04 Khu vực'!$Z$5:$Z$701,0)))</f>
        <v>378.0</v>
      </c>
      <c r="E51" s="24">
        <f>IF(INDEX('04 Khu vực'!$D$5:$D$701,MATCH(E$4&amp;"|gc_direct_revenue",'04 Khu vực'!$Z$5:$Z$701,0))="","—",INDEX('04 Khu vực'!$D$5:$D$701,MATCH(E$4&amp;"|gc_direct_revenue",'04 Khu vực'!$Z$5:$Z$701,0)))</f>
        <v>514.0</v>
      </c>
      <c r="F51" s="24">
        <f>IF(INDEX('04 Khu vực'!$D$5:$D$701,MATCH(F$4&amp;"|gc_direct_revenue",'04 Khu vực'!$Z$5:$Z$701,0))="","—",INDEX('04 Khu vực'!$D$5:$D$701,MATCH(F$4&amp;"|gc_direct_revenue",'04 Khu vực'!$Z$5:$Z$701,0)))</f>
        <v>488.0</v>
      </c>
      <c r="G51" s="24">
        <f>IF(INDEX('04 Khu vực'!$D$5:$D$701,MATCH(G$4&amp;"|gc_direct_revenue",'04 Khu vực'!$Z$5:$Z$701,0))="","—",INDEX('04 Khu vực'!$D$5:$D$701,MATCH(G$4&amp;"|gc_direct_revenue",'04 Khu vực'!$Z$5:$Z$701,0)))</f>
        <v>538.0</v>
      </c>
      <c r="H51" s="24">
        <f>IF(INDEX('04 Khu vực'!$D$5:$D$701,MATCH(H$4&amp;"|gc_direct_revenue",'04 Khu vực'!$Z$5:$Z$701,0))="","—",INDEX('04 Khu vực'!$D$5:$D$701,MATCH(H$4&amp;"|gc_direct_revenue",'04 Khu vực'!$Z$5:$Z$701,0)))</f>
        <v>508.0</v>
      </c>
      <c r="I51" s="24">
        <f>IF(INDEX('04 Khu vực'!$D$5:$D$701,MATCH(I$4&amp;"|gc_direct_revenue",'04 Khu vực'!$Z$5:$Z$701,0))="","—",INDEX('04 Khu vực'!$D$5:$D$701,MATCH(I$4&amp;"|gc_direct_revenue",'04 Khu vực'!$Z$5:$Z$701,0)))</f>
        <v>647.0</v>
      </c>
      <c r="J51" s="24">
        <f>IF(INDEX('04 Khu vực'!$D$5:$D$701,MATCH(J$4&amp;"|gc_direct_revenue",'04 Khu vực'!$Z$5:$Z$701,0))="","—",INDEX('04 Khu vực'!$D$5:$D$701,MATCH(J$4&amp;"|gc_direct_revenue",'04 Khu vực'!$Z$5:$Z$701,0)))</f>
        <v>652.0</v>
      </c>
      <c r="K51" s="24">
        <f>IF(INDEX('04 Khu vực'!$D$5:$D$701,MATCH(K$4&amp;"|gc_direct_revenue",'04 Khu vực'!$Z$5:$Z$701,0))="","—",INDEX('04 Khu vực'!$D$5:$D$701,MATCH(K$4&amp;"|gc_direct_revenue",'04 Khu vực'!$Z$5:$Z$701,0)))</f>
        <v>675.0</v>
      </c>
      <c r="L51" s="24">
        <f>IF(INDEX('04 Khu vực'!$D$5:$D$701,MATCH(L$4&amp;"|gc_direct_revenue",'04 Khu vực'!$Z$5:$Z$701,0))="","—",INDEX('04 Khu vực'!$D$5:$D$701,MATCH(L$4&amp;"|gc_direct_revenue",'04 Khu vực'!$Z$5:$Z$701,0)))</f>
        <v>693.0</v>
      </c>
      <c r="M51" s="24">
        <f>IF(INDEX('04 Khu vực'!$D$5:$D$701,MATCH(M$4&amp;"|gc_direct_revenue",'04 Khu vực'!$Z$5:$Z$701,0))="","—",INDEX('04 Khu vực'!$D$5:$D$701,MATCH(M$4&amp;"|gc_direct_revenue",'04 Khu vực'!$Z$5:$Z$701,0)))</f>
        <v>819.0</v>
      </c>
      <c r="N51" s="24">
        <f>IF(INDEX('04 Khu vực'!$D$5:$D$701,MATCH(N$4&amp;"|gc_direct_revenue",'04 Khu vực'!$Z$5:$Z$701,0))="","—",INDEX('04 Khu vực'!$D$5:$D$701,MATCH(N$4&amp;"|gc_direct_revenue",'04 Khu vực'!$Z$5:$Z$701,0)))</f>
        <v>625.0</v>
      </c>
      <c r="O51" s="24">
        <f>IF(INDEX('04 Khu vực'!$D$5:$D$701,MATCH(O$4&amp;"|gc_direct_revenue",'04 Khu vực'!$Z$5:$Z$701,0))="","—",INDEX('04 Khu vực'!$D$5:$D$701,MATCH(O$4&amp;"|gc_direct_revenue",'04 Khu vực'!$Z$5:$Z$701,0)))</f>
        <v>739.0</v>
      </c>
      <c r="P51" s="25" t="s">
        <v>2061</v>
      </c>
    </row>
    <row r="52" spans="1:17">
      <c r="A52" s="23" t="s">
        <v>1801</v>
      </c>
      <c r="B52" s="11" t="s">
        <v>1795</v>
      </c>
      <c r="C52" s="11" t="s">
        <v>71</v>
      </c>
      <c r="D52" s="24">
        <f>IF(INDEX('04 Khu vực'!$C$5:$C$701,MATCH(D$4&amp;"|gc_wholesale_revenue",'04 Khu vực'!$Z$5:$Z$701,0))="","—",INDEX('04 Khu vực'!$C$5:$C$701,MATCH(D$4&amp;"|gc_wholesale_revenue",'04 Khu vực'!$Z$5:$Z$701,0)))</f>
        <v>871.0</v>
      </c>
      <c r="E52" s="24">
        <f>IF(INDEX('04 Khu vực'!$C$5:$C$701,MATCH(E$4&amp;"|gc_wholesale_revenue",'04 Khu vực'!$Z$5:$Z$701,0))="","—",INDEX('04 Khu vực'!$C$5:$C$701,MATCH(E$4&amp;"|gc_wholesale_revenue",'04 Khu vực'!$Z$5:$Z$701,0)))</f>
        <v>897.0</v>
      </c>
      <c r="F52" s="24">
        <f>IF(INDEX('04 Khu vực'!$C$5:$C$701,MATCH(F$4&amp;"|gc_wholesale_revenue",'04 Khu vực'!$Z$5:$Z$701,0))="","—",INDEX('04 Khu vực'!$C$5:$C$701,MATCH(F$4&amp;"|gc_wholesale_revenue",'04 Khu vực'!$Z$5:$Z$701,0)))</f>
        <v>936.0</v>
      </c>
      <c r="G52" s="24">
        <f>IF(INDEX('04 Khu vực'!$C$5:$C$701,MATCH(G$4&amp;"|gc_wholesale_revenue",'04 Khu vực'!$Z$5:$Z$701,0))="","—",INDEX('04 Khu vực'!$C$5:$C$701,MATCH(G$4&amp;"|gc_wholesale_revenue",'04 Khu vực'!$Z$5:$Z$701,0)))</f>
        <v>1022.0</v>
      </c>
      <c r="H52" s="24">
        <f>IF(INDEX('04 Khu vực'!$C$5:$C$701,MATCH(H$4&amp;"|gc_wholesale_revenue",'04 Khu vực'!$Z$5:$Z$701,0))="","—",INDEX('04 Khu vực'!$C$5:$C$701,MATCH(H$4&amp;"|gc_wholesale_revenue",'04 Khu vực'!$Z$5:$Z$701,0)))</f>
        <v>986.0</v>
      </c>
      <c r="I52" s="24">
        <f>IF(INDEX('04 Khu vực'!$C$5:$C$701,MATCH(I$4&amp;"|gc_wholesale_revenue",'04 Khu vực'!$Z$5:$Z$701,0))="","—",INDEX('04 Khu vực'!$C$5:$C$701,MATCH(I$4&amp;"|gc_wholesale_revenue",'04 Khu vực'!$Z$5:$Z$701,0)))</f>
        <v>1028.0</v>
      </c>
      <c r="J52" s="24">
        <f>IF(INDEX('04 Khu vực'!$C$5:$C$701,MATCH(J$4&amp;"|gc_wholesale_revenue",'04 Khu vực'!$Z$5:$Z$701,0))="","—",INDEX('04 Khu vực'!$C$5:$C$701,MATCH(J$4&amp;"|gc_wholesale_revenue",'04 Khu vực'!$Z$5:$Z$701,0)))</f>
        <v>881.0</v>
      </c>
      <c r="K52" s="24">
        <f>IF(INDEX('04 Khu vực'!$C$5:$C$701,MATCH(K$4&amp;"|gc_wholesale_revenue",'04 Khu vực'!$Z$5:$Z$701,0))="","—",INDEX('04 Khu vực'!$C$5:$C$701,MATCH(K$4&amp;"|gc_wholesale_revenue",'04 Khu vực'!$Z$5:$Z$701,0)))</f>
        <v>908.0</v>
      </c>
      <c r="L52" s="24">
        <f>IF(INDEX('04 Khu vực'!$C$5:$C$701,MATCH(L$4&amp;"|gc_wholesale_revenue",'04 Khu vực'!$Z$5:$Z$701,0))="","—",INDEX('04 Khu vực'!$C$5:$C$701,MATCH(L$4&amp;"|gc_wholesale_revenue",'04 Khu vực'!$Z$5:$Z$701,0)))</f>
        <v>964.0</v>
      </c>
      <c r="M52" s="24">
        <f>IF(INDEX('04 Khu vực'!$C$5:$C$701,MATCH(M$4&amp;"|gc_wholesale_revenue",'04 Khu vực'!$Z$5:$Z$701,0))="","—",INDEX('04 Khu vực'!$C$5:$C$701,MATCH(M$4&amp;"|gc_wholesale_revenue",'04 Khu vực'!$Z$5:$Z$701,0)))</f>
        <v>1159.0</v>
      </c>
      <c r="N52" s="24">
        <f>IF(INDEX('04 Khu vực'!$C$5:$C$701,MATCH(N$4&amp;"|gc_wholesale_revenue",'04 Khu vực'!$Z$5:$Z$701,0))="","—",INDEX('04 Khu vực'!$C$5:$C$701,MATCH(N$4&amp;"|gc_wholesale_revenue",'04 Khu vực'!$Z$5:$Z$701,0)))</f>
        <v>1269.0</v>
      </c>
      <c r="O52" s="24">
        <f>IF(INDEX('04 Khu vực'!$C$5:$C$701,MATCH(O$4&amp;"|gc_wholesale_revenue",'04 Khu vực'!$Z$5:$Z$701,0))="","—",INDEX('04 Khu vực'!$C$5:$C$701,MATCH(O$4&amp;"|gc_wholesale_revenue",'04 Khu vực'!$Z$5:$Z$701,0)))</f>
        <v>1121.0</v>
      </c>
      <c r="P52" s="25" t="s">
        <v>2062</v>
      </c>
    </row>
    <row r="53" spans="1:17">
      <c r="A53" s="23" t="s">
        <v>1853</v>
      </c>
      <c r="B53" s="11" t="s">
        <v>1847</v>
      </c>
      <c r="C53" s="11" t="s">
        <v>71</v>
      </c>
      <c r="D53" s="24">
        <f>IF(INDEX('04 Khu vực'!$C$5:$C$701,MATCH(D$4&amp;"|apla_revenue",'04 Khu vực'!$Z$5:$Z$701,0))="","—",INDEX('04 Khu vực'!$C$5:$C$701,MATCH(D$4&amp;"|apla_revenue",'04 Khu vực'!$Z$5:$Z$701,0)))</f>
        <v>1270.0</v>
      </c>
      <c r="E53" s="24">
        <f>IF(INDEX('04 Khu vực'!$C$5:$C$701,MATCH(E$4&amp;"|apla_revenue",'04 Khu vực'!$Z$5:$Z$701,0))="","—",INDEX('04 Khu vực'!$C$5:$C$701,MATCH(E$4&amp;"|apla_revenue",'04 Khu vực'!$Z$5:$Z$701,0)))</f>
        <v>1298.0</v>
      </c>
      <c r="F53" s="24">
        <f>IF(INDEX('04 Khu vực'!$C$5:$C$701,MATCH(F$4&amp;"|apla_revenue",'04 Khu vực'!$Z$5:$Z$701,0))="","—",INDEX('04 Khu vực'!$C$5:$C$701,MATCH(F$4&amp;"|apla_revenue",'04 Khu vực'!$Z$5:$Z$701,0)))</f>
        <v>1307.0</v>
      </c>
      <c r="G53" s="24">
        <f>IF(INDEX('04 Khu vực'!$C$5:$C$701,MATCH(G$4&amp;"|apla_revenue",'04 Khu vực'!$Z$5:$Z$701,0))="","—",INDEX('04 Khu vực'!$C$5:$C$701,MATCH(G$4&amp;"|apla_revenue",'04 Khu vực'!$Z$5:$Z$701,0)))</f>
        <v>1379.0</v>
      </c>
      <c r="H53" s="24">
        <f>IF(INDEX('04 Khu vực'!$C$5:$C$701,MATCH(H$4&amp;"|apla_revenue",'04 Khu vực'!$Z$5:$Z$701,0))="","—",INDEX('04 Khu vực'!$C$5:$C$701,MATCH(H$4&amp;"|apla_revenue",'04 Khu vực'!$Z$5:$Z$701,0)))</f>
        <v>1345.0</v>
      </c>
      <c r="I53" s="24">
        <f>IF(INDEX('04 Khu vực'!$C$5:$C$701,MATCH(I$4&amp;"|apla_revenue",'04 Khu vực'!$Z$5:$Z$701,0))="","—",INDEX('04 Khu vực'!$C$5:$C$701,MATCH(I$4&amp;"|apla_revenue",'04 Khu vực'!$Z$5:$Z$701,0)))</f>
        <v>1468.0</v>
      </c>
      <c r="J53" s="24">
        <f>IF(INDEX('04 Khu vực'!$C$5:$C$701,MATCH(J$4&amp;"|apla_revenue",'04 Khu vực'!$Z$5:$Z$701,0))="","—",INDEX('04 Khu vực'!$C$5:$C$701,MATCH(J$4&amp;"|apla_revenue",'04 Khu vực'!$Z$5:$Z$701,0)))</f>
        <v>1414.0</v>
      </c>
      <c r="K53" s="24">
        <f>IF(INDEX('04 Khu vực'!$C$5:$C$701,MATCH(K$4&amp;"|apla_revenue",'04 Khu vực'!$Z$5:$Z$701,0))="","—",INDEX('04 Khu vực'!$C$5:$C$701,MATCH(K$4&amp;"|apla_revenue",'04 Khu vực'!$Z$5:$Z$701,0)))</f>
        <v>801.0</v>
      </c>
      <c r="L53" s="24">
        <f>IF(INDEX('04 Khu vực'!$C$5:$C$701,MATCH(L$4&amp;"|apla_revenue",'04 Khu vực'!$Z$5:$Z$701,0))="","—",INDEX('04 Khu vực'!$C$5:$C$701,MATCH(L$4&amp;"|apla_revenue",'04 Khu vực'!$Z$5:$Z$701,0)))</f>
        <v>1099.0</v>
      </c>
      <c r="M53" s="24">
        <f>IF(INDEX('04 Khu vực'!$C$5:$C$701,MATCH(M$4&amp;"|apla_revenue",'04 Khu vực'!$Z$5:$Z$701,0))="","—",INDEX('04 Khu vực'!$C$5:$C$701,MATCH(M$4&amp;"|apla_revenue",'04 Khu vực'!$Z$5:$Z$701,0)))</f>
        <v>1471.0</v>
      </c>
      <c r="N53" s="24">
        <f>IF(INDEX('04 Khu vực'!$C$5:$C$701,MATCH(N$4&amp;"|apla_revenue",'04 Khu vực'!$Z$5:$Z$701,0))="","—",INDEX('04 Khu vực'!$C$5:$C$701,MATCH(N$4&amp;"|apla_revenue",'04 Khu vực'!$Z$5:$Z$701,0)))</f>
        <v>1315.0</v>
      </c>
      <c r="O53" s="24">
        <f>IF(INDEX('04 Khu vực'!$C$5:$C$701,MATCH(O$4&amp;"|apla_revenue",'04 Khu vực'!$Z$5:$Z$701,0))="","—",INDEX('04 Khu vực'!$C$5:$C$701,MATCH(O$4&amp;"|apla_revenue",'04 Khu vực'!$Z$5:$Z$701,0)))</f>
        <v>1458.0</v>
      </c>
      <c r="P53" s="25" t="s">
        <v>2064</v>
      </c>
    </row>
    <row r="54" spans="1:17">
      <c r="A54" s="23" t="s">
        <v>2065</v>
      </c>
      <c r="B54" s="11" t="s">
        <v>2066</v>
      </c>
      <c r="C54" s="11" t="s">
        <v>71</v>
      </c>
      <c r="D54" s="24">
        <f>IF(INDEX('04 Khu vực'!$D$5:$D$701,MATCH(D$4&amp;"|apla_revenue",'04 Khu vực'!$Z$5:$Z$701,0))="","—",INDEX('04 Khu vực'!$D$5:$D$701,MATCH(D$4&amp;"|apla_revenue",'04 Khu vực'!$Z$5:$Z$701,0)))</f>
        <v>1189.0</v>
      </c>
      <c r="E54" s="24">
        <f>IF(INDEX('04 Khu vực'!$D$5:$D$701,MATCH(E$4&amp;"|apla_revenue",'04 Khu vực'!$Z$5:$Z$701,0))="","—",INDEX('04 Khu vực'!$D$5:$D$701,MATCH(E$4&amp;"|apla_revenue",'04 Khu vực'!$Z$5:$Z$701,0)))</f>
        <v>1273.0</v>
      </c>
      <c r="F54" s="24">
        <f>IF(INDEX('04 Khu vực'!$D$5:$D$701,MATCH(F$4&amp;"|apla_revenue",'04 Khu vực'!$Z$5:$Z$701,0))="","—",INDEX('04 Khu vực'!$D$5:$D$701,MATCH(F$4&amp;"|apla_revenue",'04 Khu vực'!$Z$5:$Z$701,0)))</f>
        <v>1268.0</v>
      </c>
      <c r="G54" s="24">
        <f>IF(INDEX('04 Khu vực'!$D$5:$D$701,MATCH(G$4&amp;"|apla_revenue",'04 Khu vực'!$Z$5:$Z$701,0))="","—",INDEX('04 Khu vực'!$D$5:$D$701,MATCH(G$4&amp;"|apla_revenue",'04 Khu vực'!$Z$5:$Z$701,0)))</f>
        <v>1436.0</v>
      </c>
      <c r="H54" s="24">
        <f>IF(INDEX('04 Khu vực'!$D$5:$D$701,MATCH(H$4&amp;"|apla_revenue",'04 Khu vực'!$Z$5:$Z$701,0))="","—",INDEX('04 Khu vực'!$D$5:$D$701,MATCH(H$4&amp;"|apla_revenue",'04 Khu vực'!$Z$5:$Z$701,0)))</f>
        <v>1270.0</v>
      </c>
      <c r="I54" s="24">
        <f>IF(INDEX('04 Khu vực'!$D$5:$D$701,MATCH(I$4&amp;"|apla_revenue",'04 Khu vực'!$Z$5:$Z$701,0))="","—",INDEX('04 Khu vực'!$D$5:$D$701,MATCH(I$4&amp;"|apla_revenue",'04 Khu vực'!$Z$5:$Z$701,0)))</f>
        <v>1298.0</v>
      </c>
      <c r="J54" s="24">
        <f>IF(INDEX('04 Khu vực'!$D$5:$D$701,MATCH(J$4&amp;"|apla_revenue",'04 Khu vực'!$Z$5:$Z$701,0))="","—",INDEX('04 Khu vực'!$D$5:$D$701,MATCH(J$4&amp;"|apla_revenue",'04 Khu vực'!$Z$5:$Z$701,0)))</f>
        <v>1307.0</v>
      </c>
      <c r="K54" s="24">
        <f>IF(INDEX('04 Khu vực'!$D$5:$D$701,MATCH(K$4&amp;"|apla_revenue",'04 Khu vực'!$Z$5:$Z$701,0))="","—",INDEX('04 Khu vực'!$D$5:$D$701,MATCH(K$4&amp;"|apla_revenue",'04 Khu vực'!$Z$5:$Z$701,0)))</f>
        <v>1379.0</v>
      </c>
      <c r="L54" s="24">
        <f>IF(INDEX('04 Khu vực'!$D$5:$D$701,MATCH(L$4&amp;"|apla_revenue",'04 Khu vực'!$Z$5:$Z$701,0))="","—",INDEX('04 Khu vực'!$D$5:$D$701,MATCH(L$4&amp;"|apla_revenue",'04 Khu vực'!$Z$5:$Z$701,0)))</f>
        <v>1345.0</v>
      </c>
      <c r="M54" s="24">
        <f>IF(INDEX('04 Khu vực'!$D$5:$D$701,MATCH(M$4&amp;"|apla_revenue",'04 Khu vực'!$Z$5:$Z$701,0))="","—",INDEX('04 Khu vực'!$D$5:$D$701,MATCH(M$4&amp;"|apla_revenue",'04 Khu vực'!$Z$5:$Z$701,0)))</f>
        <v>1468.0</v>
      </c>
      <c r="N54" s="24">
        <f>IF(INDEX('04 Khu vực'!$D$5:$D$701,MATCH(N$4&amp;"|apla_revenue",'04 Khu vực'!$Z$5:$Z$701,0))="","—",INDEX('04 Khu vực'!$D$5:$D$701,MATCH(N$4&amp;"|apla_revenue",'04 Khu vực'!$Z$5:$Z$701,0)))</f>
        <v>1414.0</v>
      </c>
      <c r="O54" s="24">
        <f>IF(INDEX('04 Khu vực'!$D$5:$D$701,MATCH(O$4&amp;"|apla_revenue",'04 Khu vực'!$Z$5:$Z$701,0))="","—",INDEX('04 Khu vực'!$D$5:$D$701,MATCH(O$4&amp;"|apla_revenue",'04 Khu vực'!$Z$5:$Z$701,0)))</f>
        <v>801.0</v>
      </c>
      <c r="P54" s="25" t="s">
        <v>2067</v>
      </c>
    </row>
    <row r="55" spans="1:17">
      <c r="A55" s="23" t="s">
        <v>1900</v>
      </c>
      <c r="B55" s="11" t="s">
        <v>1894</v>
      </c>
      <c r="C55" s="11" t="s">
        <v>71</v>
      </c>
      <c r="D55" s="24">
        <f>IF(INDEX('04 Khu vực'!$C$5:$C$701,MATCH(D$4&amp;"|apla_direct_revenue",'04 Khu vực'!$Z$5:$Z$701,0))="","—",INDEX('04 Khu vực'!$C$5:$C$701,MATCH(D$4&amp;"|apla_direct_revenue",'04 Khu vực'!$Z$5:$Z$701,0)))</f>
        <v>336.0</v>
      </c>
      <c r="E55" s="24">
        <f>IF(INDEX('04 Khu vực'!$C$5:$C$701,MATCH(E$4&amp;"|apla_direct_revenue",'04 Khu vực'!$Z$5:$Z$701,0))="","—",INDEX('04 Khu vực'!$C$5:$C$701,MATCH(E$4&amp;"|apla_direct_revenue",'04 Khu vực'!$Z$5:$Z$701,0)))</f>
        <v>361.0</v>
      </c>
      <c r="F55" s="24">
        <f>IF(INDEX('04 Khu vực'!$C$5:$C$701,MATCH(F$4&amp;"|apla_direct_revenue",'04 Khu vực'!$Z$5:$Z$701,0))="","—",INDEX('04 Khu vực'!$C$5:$C$701,MATCH(F$4&amp;"|apla_direct_revenue",'04 Khu vực'!$Z$5:$Z$701,0)))</f>
        <v>401.0</v>
      </c>
      <c r="G55" s="24">
        <f>IF(INDEX('04 Khu vực'!$C$5:$C$701,MATCH(G$4&amp;"|apla_direct_revenue",'04 Khu vực'!$Z$5:$Z$701,0))="","—",INDEX('04 Khu vực'!$C$5:$C$701,MATCH(G$4&amp;"|apla_direct_revenue",'04 Khu vực'!$Z$5:$Z$701,0)))</f>
        <v>410.0</v>
      </c>
      <c r="H55" s="24">
        <f>IF(INDEX('04 Khu vực'!$C$5:$C$701,MATCH(H$4&amp;"|apla_direct_revenue",'04 Khu vực'!$Z$5:$Z$701,0))="","—",INDEX('04 Khu vực'!$C$5:$C$701,MATCH(H$4&amp;"|apla_direct_revenue",'04 Khu vực'!$Z$5:$Z$701,0)))</f>
        <v>395.0</v>
      </c>
      <c r="I55" s="24">
        <f>IF(INDEX('04 Khu vực'!$C$5:$C$701,MATCH(I$4&amp;"|apla_direct_revenue",'04 Khu vực'!$Z$5:$Z$701,0))="","—",INDEX('04 Khu vực'!$C$5:$C$701,MATCH(I$4&amp;"|apla_direct_revenue",'04 Khu vực'!$Z$5:$Z$701,0)))</f>
        <v>446.0</v>
      </c>
      <c r="J55" s="24">
        <f>IF(INDEX('04 Khu vực'!$C$5:$C$701,MATCH(J$4&amp;"|apla_direct_revenue",'04 Khu vực'!$Z$5:$Z$701,0))="","—",INDEX('04 Khu vực'!$C$5:$C$701,MATCH(J$4&amp;"|apla_direct_revenue",'04 Khu vực'!$Z$5:$Z$701,0)))</f>
        <v>461.0</v>
      </c>
      <c r="K55" s="24">
        <f>IF(INDEX('04 Khu vực'!$C$5:$C$701,MATCH(K$4&amp;"|apla_direct_revenue",'04 Khu vực'!$Z$5:$Z$701,0))="","—",INDEX('04 Khu vực'!$C$5:$C$701,MATCH(K$4&amp;"|apla_direct_revenue",'04 Khu vực'!$Z$5:$Z$701,0)))</f>
        <v>318.0</v>
      </c>
      <c r="L55" s="24">
        <f>IF(INDEX('04 Khu vực'!$C$5:$C$701,MATCH(L$4&amp;"|apla_direct_revenue",'04 Khu vực'!$Z$5:$Z$701,0))="","—",INDEX('04 Khu vực'!$C$5:$C$701,MATCH(L$4&amp;"|apla_direct_revenue",'04 Khu vực'!$Z$5:$Z$701,0)))</f>
        <v>391.0</v>
      </c>
      <c r="M55" s="24">
        <f>IF(INDEX('04 Khu vực'!$C$5:$C$701,MATCH(M$4&amp;"|apla_direct_revenue",'04 Khu vực'!$Z$5:$Z$701,0))="","—",INDEX('04 Khu vực'!$C$5:$C$701,MATCH(M$4&amp;"|apla_direct_revenue",'04 Khu vực'!$Z$5:$Z$701,0)))</f>
        <v>546.0</v>
      </c>
      <c r="N55" s="24">
        <f>IF(INDEX('04 Khu vực'!$C$5:$C$701,MATCH(N$4&amp;"|apla_direct_revenue",'04 Khu vực'!$Z$5:$Z$701,0))="","—",INDEX('04 Khu vực'!$C$5:$C$701,MATCH(N$4&amp;"|apla_direct_revenue",'04 Khu vực'!$Z$5:$Z$701,0)))</f>
        <v>469.0</v>
      </c>
      <c r="O55" s="24">
        <f>IF(INDEX('04 Khu vực'!$C$5:$C$701,MATCH(O$4&amp;"|apla_direct_revenue",'04 Khu vực'!$Z$5:$Z$701,0))="","—",INDEX('04 Khu vực'!$C$5:$C$701,MATCH(O$4&amp;"|apla_direct_revenue",'04 Khu vực'!$Z$5:$Z$701,0)))</f>
        <v>550.0</v>
      </c>
      <c r="P55" s="25" t="s">
        <v>2068</v>
      </c>
    </row>
    <row r="56" spans="1:17">
      <c r="A56" s="23" t="s">
        <v>2069</v>
      </c>
      <c r="B56" s="11" t="s">
        <v>2070</v>
      </c>
      <c r="C56" s="11" t="s">
        <v>71</v>
      </c>
      <c r="D56" s="24">
        <f>IF(INDEX('04 Khu vực'!$D$5:$D$701,MATCH(D$4&amp;"|apla_direct_revenue",'04 Khu vực'!$Z$5:$Z$701,0))="","—",INDEX('04 Khu vực'!$D$5:$D$701,MATCH(D$4&amp;"|apla_direct_revenue",'04 Khu vực'!$Z$5:$Z$701,0)))</f>
        <v>300.0</v>
      </c>
      <c r="E56" s="24">
        <f>IF(INDEX('04 Khu vực'!$D$5:$D$701,MATCH(E$4&amp;"|apla_direct_revenue",'04 Khu vực'!$Z$5:$Z$701,0))="","—",INDEX('04 Khu vực'!$D$5:$D$701,MATCH(E$4&amp;"|apla_direct_revenue",'04 Khu vực'!$Z$5:$Z$701,0)))</f>
        <v>313.0</v>
      </c>
      <c r="F56" s="24">
        <f>IF(INDEX('04 Khu vực'!$D$5:$D$701,MATCH(F$4&amp;"|apla_direct_revenue",'04 Khu vực'!$Z$5:$Z$701,0))="","—",INDEX('04 Khu vực'!$D$5:$D$701,MATCH(F$4&amp;"|apla_direct_revenue",'04 Khu vực'!$Z$5:$Z$701,0)))</f>
        <v>340.0</v>
      </c>
      <c r="G56" s="24">
        <f>IF(INDEX('04 Khu vực'!$D$5:$D$701,MATCH(G$4&amp;"|apla_direct_revenue",'04 Khu vực'!$Z$5:$Z$701,0))="","—",INDEX('04 Khu vực'!$D$5:$D$701,MATCH(G$4&amp;"|apla_direct_revenue",'04 Khu vực'!$Z$5:$Z$701,0)))</f>
        <v>384.0</v>
      </c>
      <c r="H56" s="24">
        <f>IF(INDEX('04 Khu vực'!$D$5:$D$701,MATCH(H$4&amp;"|apla_direct_revenue",'04 Khu vực'!$Z$5:$Z$701,0))="","—",INDEX('04 Khu vực'!$D$5:$D$701,MATCH(H$4&amp;"|apla_direct_revenue",'04 Khu vực'!$Z$5:$Z$701,0)))</f>
        <v>336.0</v>
      </c>
      <c r="I56" s="24">
        <f>IF(INDEX('04 Khu vực'!$D$5:$D$701,MATCH(I$4&amp;"|apla_direct_revenue",'04 Khu vực'!$Z$5:$Z$701,0))="","—",INDEX('04 Khu vực'!$D$5:$D$701,MATCH(I$4&amp;"|apla_direct_revenue",'04 Khu vực'!$Z$5:$Z$701,0)))</f>
        <v>361.0</v>
      </c>
      <c r="J56" s="24">
        <f>IF(INDEX('04 Khu vực'!$D$5:$D$701,MATCH(J$4&amp;"|apla_direct_revenue",'04 Khu vực'!$Z$5:$Z$701,0))="","—",INDEX('04 Khu vực'!$D$5:$D$701,MATCH(J$4&amp;"|apla_direct_revenue",'04 Khu vực'!$Z$5:$Z$701,0)))</f>
        <v>401.0</v>
      </c>
      <c r="K56" s="24">
        <f>IF(INDEX('04 Khu vực'!$D$5:$D$701,MATCH(K$4&amp;"|apla_direct_revenue",'04 Khu vực'!$Z$5:$Z$701,0))="","—",INDEX('04 Khu vực'!$D$5:$D$701,MATCH(K$4&amp;"|apla_direct_revenue",'04 Khu vực'!$Z$5:$Z$701,0)))</f>
        <v>410.0</v>
      </c>
      <c r="L56" s="24">
        <f>IF(INDEX('04 Khu vực'!$D$5:$D$701,MATCH(L$4&amp;"|apla_direct_revenue",'04 Khu vực'!$Z$5:$Z$701,0))="","—",INDEX('04 Khu vực'!$D$5:$D$701,MATCH(L$4&amp;"|apla_direct_revenue",'04 Khu vực'!$Z$5:$Z$701,0)))</f>
        <v>395.0</v>
      </c>
      <c r="M56" s="24">
        <f>IF(INDEX('04 Khu vực'!$D$5:$D$701,MATCH(M$4&amp;"|apla_direct_revenue",'04 Khu vực'!$Z$5:$Z$701,0))="","—",INDEX('04 Khu vực'!$D$5:$D$701,MATCH(M$4&amp;"|apla_direct_revenue",'04 Khu vực'!$Z$5:$Z$701,0)))</f>
        <v>446.0</v>
      </c>
      <c r="N56" s="24">
        <f>IF(INDEX('04 Khu vực'!$D$5:$D$701,MATCH(N$4&amp;"|apla_direct_revenue",'04 Khu vực'!$Z$5:$Z$701,0))="","—",INDEX('04 Khu vực'!$D$5:$D$701,MATCH(N$4&amp;"|apla_direct_revenue",'04 Khu vực'!$Z$5:$Z$701,0)))</f>
        <v>461.0</v>
      </c>
      <c r="O56" s="24">
        <f>IF(INDEX('04 Khu vực'!$D$5:$D$701,MATCH(O$4&amp;"|apla_direct_revenue",'04 Khu vực'!$Z$5:$Z$701,0))="","—",INDEX('04 Khu vực'!$D$5:$D$701,MATCH(O$4&amp;"|apla_direct_revenue",'04 Khu vực'!$Z$5:$Z$701,0)))</f>
        <v>318.0</v>
      </c>
      <c r="P56" s="25" t="s">
        <v>2071</v>
      </c>
    </row>
    <row r="57" spans="1:17">
      <c r="A57" s="23" t="s">
        <v>1940</v>
      </c>
      <c r="B57" s="11" t="s">
        <v>1934</v>
      </c>
      <c r="C57" s="11" t="s">
        <v>71</v>
      </c>
      <c r="D57" s="24">
        <f>IF(INDEX('04 Khu vực'!$C$5:$C$701,MATCH(D$4&amp;"|apla_wholesale_revenue",'04 Khu vực'!$Z$5:$Z$701,0))="","—",INDEX('04 Khu vực'!$C$5:$C$701,MATCH(D$4&amp;"|apla_wholesale_revenue",'04 Khu vực'!$Z$5:$Z$701,0)))</f>
        <v>934.0</v>
      </c>
      <c r="E57" s="24">
        <f>IF(INDEX('04 Khu vực'!$C$5:$C$701,MATCH(E$4&amp;"|apla_wholesale_revenue",'04 Khu vực'!$Z$5:$Z$701,0))="","—",INDEX('04 Khu vực'!$C$5:$C$701,MATCH(E$4&amp;"|apla_wholesale_revenue",'04 Khu vực'!$Z$5:$Z$701,0)))</f>
        <v>937.0</v>
      </c>
      <c r="F57" s="24">
        <f>IF(INDEX('04 Khu vực'!$C$5:$C$701,MATCH(F$4&amp;"|apla_wholesale_revenue",'04 Khu vực'!$Z$5:$Z$701,0))="","—",INDEX('04 Khu vực'!$C$5:$C$701,MATCH(F$4&amp;"|apla_wholesale_revenue",'04 Khu vực'!$Z$5:$Z$701,0)))</f>
        <v>906.0</v>
      </c>
      <c r="G57" s="24">
        <f>IF(INDEX('04 Khu vực'!$C$5:$C$701,MATCH(G$4&amp;"|apla_wholesale_revenue",'04 Khu vực'!$Z$5:$Z$701,0))="","—",INDEX('04 Khu vực'!$C$5:$C$701,MATCH(G$4&amp;"|apla_wholesale_revenue",'04 Khu vực'!$Z$5:$Z$701,0)))</f>
        <v>969.0</v>
      </c>
      <c r="H57" s="24">
        <f>IF(INDEX('04 Khu vực'!$C$5:$C$701,MATCH(H$4&amp;"|apla_wholesale_revenue",'04 Khu vực'!$Z$5:$Z$701,0))="","—",INDEX('04 Khu vực'!$C$5:$C$701,MATCH(H$4&amp;"|apla_wholesale_revenue",'04 Khu vực'!$Z$5:$Z$701,0)))</f>
        <v>950.0</v>
      </c>
      <c r="I57" s="24">
        <f>IF(INDEX('04 Khu vực'!$C$5:$C$701,MATCH(I$4&amp;"|apla_wholesale_revenue",'04 Khu vực'!$Z$5:$Z$701,0))="","—",INDEX('04 Khu vực'!$C$5:$C$701,MATCH(I$4&amp;"|apla_wholesale_revenue",'04 Khu vực'!$Z$5:$Z$701,0)))</f>
        <v>1022.0</v>
      </c>
      <c r="J57" s="24">
        <f>IF(INDEX('04 Khu vực'!$C$5:$C$701,MATCH(J$4&amp;"|apla_wholesale_revenue",'04 Khu vực'!$Z$5:$Z$701,0))="","—",INDEX('04 Khu vực'!$C$5:$C$701,MATCH(J$4&amp;"|apla_wholesale_revenue",'04 Khu vực'!$Z$5:$Z$701,0)))</f>
        <v>953.0</v>
      </c>
      <c r="K57" s="24">
        <f>IF(INDEX('04 Khu vực'!$C$5:$C$701,MATCH(K$4&amp;"|apla_wholesale_revenue",'04 Khu vực'!$Z$5:$Z$701,0))="","—",INDEX('04 Khu vực'!$C$5:$C$701,MATCH(K$4&amp;"|apla_wholesale_revenue",'04 Khu vực'!$Z$5:$Z$701,0)))</f>
        <v>483.0</v>
      </c>
      <c r="L57" s="24">
        <f>IF(INDEX('04 Khu vực'!$C$5:$C$701,MATCH(L$4&amp;"|apla_wholesale_revenue",'04 Khu vực'!$Z$5:$Z$701,0))="","—",INDEX('04 Khu vực'!$C$5:$C$701,MATCH(L$4&amp;"|apla_wholesale_revenue",'04 Khu vực'!$Z$5:$Z$701,0)))</f>
        <v>708.0</v>
      </c>
      <c r="M57" s="24">
        <f>IF(INDEX('04 Khu vực'!$C$5:$C$701,MATCH(M$4&amp;"|apla_wholesale_revenue",'04 Khu vực'!$Z$5:$Z$701,0))="","—",INDEX('04 Khu vực'!$C$5:$C$701,MATCH(M$4&amp;"|apla_wholesale_revenue",'04 Khu vực'!$Z$5:$Z$701,0)))</f>
        <v>925.0</v>
      </c>
      <c r="N57" s="24">
        <f>IF(INDEX('04 Khu vực'!$C$5:$C$701,MATCH(N$4&amp;"|apla_wholesale_revenue",'04 Khu vực'!$Z$5:$Z$701,0))="","—",INDEX('04 Khu vực'!$C$5:$C$701,MATCH(N$4&amp;"|apla_wholesale_revenue",'04 Khu vực'!$Z$5:$Z$701,0)))</f>
        <v>846.0</v>
      </c>
      <c r="O57" s="24">
        <f>IF(INDEX('04 Khu vực'!$C$5:$C$701,MATCH(O$4&amp;"|apla_wholesale_revenue",'04 Khu vực'!$Z$5:$Z$701,0))="","—",INDEX('04 Khu vực'!$C$5:$C$701,MATCH(O$4&amp;"|apla_wholesale_revenue",'04 Khu vực'!$Z$5:$Z$701,0)))</f>
        <v>908.0</v>
      </c>
      <c r="P57" s="25" t="s">
        <v>2072</v>
      </c>
    </row>
    <row r="58" spans="1:17">
      <c r="A58" s="23" t="s">
        <v>2074</v>
      </c>
      <c r="B58" s="11" t="s">
        <v>2075</v>
      </c>
      <c r="C58" s="11" t="s">
        <v>2076</v>
      </c>
      <c r="D58" s="38">
        <v>91.25</v>
      </c>
      <c r="E58" s="38">
        <v>91.25</v>
      </c>
      <c r="F58" s="38">
        <v>91.25</v>
      </c>
      <c r="G58" s="38">
        <v>91.25</v>
      </c>
      <c r="H58" s="38">
        <v>91.25</v>
      </c>
      <c r="I58" s="38">
        <v>91.25</v>
      </c>
      <c r="J58" s="38">
        <v>91.25</v>
      </c>
      <c r="K58" s="38">
        <v>91.25</v>
      </c>
      <c r="L58" s="38">
        <v>91.25</v>
      </c>
      <c r="M58" s="38">
        <v>91.25</v>
      </c>
      <c r="N58" s="38">
        <v>91.25</v>
      </c>
      <c r="O58" s="38">
        <v>91.25</v>
      </c>
      <c r="P58" s="25" t="s">
        <v>2077</v>
      </c>
    </row>
    <row r="60" spans="1:17">
      <c r="A60" s="22"/>
      <c r="B60" s="22" t="s">
        <v>2078</v>
      </c>
      <c r="C60" s="22"/>
      <c r="D60" s="22"/>
      <c r="E60" s="22"/>
      <c r="F60" s="22"/>
      <c r="G60" s="22"/>
      <c r="H60" s="22"/>
      <c r="I60" s="22"/>
      <c r="J60" s="22"/>
      <c r="K60" s="22"/>
      <c r="L60" s="22"/>
      <c r="M60" s="22"/>
      <c r="N60" s="22"/>
      <c r="O60" s="22"/>
      <c r="P60" s="22"/>
      <c r="Q60" s="22"/>
    </row>
    <row r="61" spans="1:17">
      <c r="A61" s="23" t="s">
        <v>2079</v>
      </c>
      <c r="B61" s="11" t="s">
        <v>2080</v>
      </c>
      <c r="C61" s="11" t="s">
        <v>254</v>
      </c>
      <c r="D61" s="29">
        <f>IF(COUNT(D24,D29)&lt;2,"—",D24/D29)</f>
        <v>0.30275034512052673</v>
      </c>
      <c r="E61" s="29">
        <f>IF(COUNT(E24,E29)&lt;2,"—",E24/E29)</f>
        <v>0.3164542812430136</v>
      </c>
      <c r="F61" s="29">
        <f>IF(COUNT(F24,F29)&lt;2,"—",F24/F29)</f>
        <v>0.32422387407083514</v>
      </c>
      <c r="G61" s="29">
        <f>IF(COUNT(G24,G29)&lt;2,"—",G24/G29)</f>
        <v>0.319872257134027</v>
      </c>
      <c r="H61" s="29">
        <f>IF(COUNT(H24,H29)&lt;2,"—",H24/H29)</f>
        <v>0.32171156893819336</v>
      </c>
      <c r="I61" s="29">
        <f>IF(COUNT(I24,I29)&lt;2,"—",I24/I29)</f>
        <v>0.3307598537180008</v>
      </c>
      <c r="J61" s="29">
        <f>IF(COUNT(J24,J29)&lt;2,"—",J24/J29)</f>
        <v>0.34286605657237934</v>
      </c>
      <c r="K61" s="29">
        <f>IF(COUNT(K24,K29)&lt;2,"—",K24/K29)</f>
        <v>0.4293080505655356</v>
      </c>
      <c r="L61" s="29">
        <f>IF(COUNT(L24,L29)&lt;2,"—",L24/L29)</f>
        <v>0.3643441804751447</v>
      </c>
      <c r="M61" s="29">
        <f>IF(COUNT(M24,M29)&lt;2,"—",M24/M29)</f>
        <v>0.40126617633367473</v>
      </c>
      <c r="N61" s="29">
        <f>IF(COUNT(N24,N29)&lt;2,"—",N24/N29)</f>
        <v>0.4044817353934309</v>
      </c>
      <c r="O61" s="29">
        <f>IF(COUNT(O24,O29)&lt;2,"—",O24/O29)</f>
        <v>0.37896437377774</v>
      </c>
      <c r="P61" s="30" t="s">
        <v>2081</v>
      </c>
      <c r="Q61" s="30" t="s">
        <v>2082</v>
      </c>
    </row>
    <row r="62" spans="1:17">
      <c r="A62" s="23" t="s">
        <v>2083</v>
      </c>
      <c r="B62" s="11" t="s">
        <v>2084</v>
      </c>
      <c r="C62" s="11" t="s">
        <v>254</v>
      </c>
      <c r="D62" s="29">
        <f>IF(COUNT(D26,D29)&lt;2,"—",D26/D29)</f>
        <v>0.6955505999787618</v>
      </c>
      <c r="E62" s="29">
        <f>IF(COUNT(E26,E29)&lt;2,"—",E26/E29)</f>
        <v>0.6825396825396826</v>
      </c>
      <c r="F62" s="29">
        <f>IF(COUNT(F26,F29)&lt;2,"—",F26/F29)</f>
        <v>0.674901617839965</v>
      </c>
      <c r="G62" s="29">
        <f>IF(COUNT(G26,G29)&lt;2,"—",G26/G29)</f>
        <v>0.6792005769032656</v>
      </c>
      <c r="H62" s="29">
        <f>IF(COUNT(H26,H29)&lt;2,"—",H26/H29)</f>
        <v>0.6776941362916006</v>
      </c>
      <c r="I62" s="29">
        <f>IF(COUNT(I26,I29)&lt;2,"—",I26/I29)</f>
        <v>0.6682242990654206</v>
      </c>
      <c r="J62" s="29">
        <f>IF(COUNT(J26,J29)&lt;2,"—",J26/J29)</f>
        <v>0.656301996672213</v>
      </c>
      <c r="K62" s="29">
        <f>IF(COUNT(K26,K29)&lt;2,"—",K26/K29)</f>
        <v>0.5696939454424484</v>
      </c>
      <c r="L62" s="29">
        <f>IF(COUNT(L26,L29)&lt;2,"—",L26/L29)</f>
        <v>0.6352565382311839</v>
      </c>
      <c r="M62" s="29">
        <f>IF(COUNT(M26,M29)&lt;2,"—",M26/M29)</f>
        <v>0.5979890140582813</v>
      </c>
      <c r="N62" s="29">
        <f>IF(COUNT(N26,N29)&lt;2,"—",N26/N29)</f>
        <v>0.5949043282513046</v>
      </c>
      <c r="O62" s="29">
        <f>IF(COUNT(O26,O29)&lt;2,"—",O26/O29)</f>
        <v>0.6204404387382025</v>
      </c>
      <c r="P62" s="30" t="s">
        <v>2085</v>
      </c>
      <c r="Q62" s="30" t="s">
        <v>2086</v>
      </c>
    </row>
    <row r="63" spans="1:17">
      <c r="A63" s="23" t="s">
        <v>2087</v>
      </c>
      <c r="B63" s="11" t="s">
        <v>2088</v>
      </c>
      <c r="C63" s="11" t="s">
        <v>254</v>
      </c>
      <c r="D63" s="29">
        <f>IF(COUNT(D28,D29)&lt;2,"—",D28/D29)</f>
        <v>0.0016990549007114793</v>
      </c>
      <c r="E63" s="29">
        <f>IF(COUNT(E28,E29)&lt;2,"—",E28/E29)</f>
        <v>0.001006036217303823</v>
      </c>
      <c r="F63" s="29">
        <f>IF(COUNT(F28,F29)&lt;2,"—",F28/F29)</f>
        <v>0.0008745080891998251</v>
      </c>
      <c r="G63" s="29">
        <f>IF(COUNT(G28,G29)&lt;2,"—",G28/G29)</f>
        <v>0.0009271659627073246</v>
      </c>
      <c r="H63" s="29">
        <f>IF(COUNT(H28,H29)&lt;2,"—",H28/H29)</f>
        <v>0.0005942947702060222</v>
      </c>
      <c r="I63" s="29">
        <f>IF(COUNT(I28,I29)&lt;2,"—",I28/I29)</f>
        <v>0.0010158472165786266</v>
      </c>
      <c r="J63" s="29">
        <f>IF(COUNT(J28,J29)&lt;2,"—",J28/J29)</f>
        <v>0.0008319467554076539</v>
      </c>
      <c r="K63" s="29">
        <f>IF(COUNT(K28,K29)&lt;2,"—",K28/K29)</f>
        <v>0.000998003992015968</v>
      </c>
      <c r="L63" s="29">
        <f>IF(COUNT(L28,L29)&lt;2,"—",L28/L29)</f>
        <v>0.0003992812936713915</v>
      </c>
      <c r="M63" s="29">
        <f>IF(COUNT(M28,M29)&lt;2,"—",M28/M29)</f>
        <v>0.0007448096080439438</v>
      </c>
      <c r="N63" s="29">
        <f>IF(COUNT(N28,N29)&lt;2,"—",N28/N29)</f>
        <v>0.0006139363552645043</v>
      </c>
      <c r="O63" s="29">
        <f>IF(COUNT(O28,O29)&lt;2,"—",O28/O29)</f>
        <v>0.0005951874840574781</v>
      </c>
      <c r="P63" s="30" t="s">
        <v>2089</v>
      </c>
      <c r="Q63" s="30" t="s">
        <v>2090</v>
      </c>
    </row>
    <row r="64" spans="1:17">
      <c r="A64" s="23" t="s">
        <v>2091</v>
      </c>
      <c r="B64" s="11" t="s">
        <v>2092</v>
      </c>
      <c r="C64" s="11" t="s">
        <v>254</v>
      </c>
      <c r="D64" s="29">
        <f>IF(COUNT(D24,D25)&lt;2,"—",D24/D25-1)</f>
        <v>0.12465483234714005</v>
      </c>
      <c r="E64" s="29">
        <f>IF(COUNT(E24,E25)&lt;2,"—",E24/E25-1)</f>
        <v>0.13969404186795492</v>
      </c>
      <c r="F64" s="29">
        <f>IF(COUNT(F24,F25)&lt;2,"—",F24/F25-1)</f>
        <v>0.13596323247797779</v>
      </c>
      <c r="G64" s="29">
        <f>IF(COUNT(G24,G25)&lt;2,"—",G24/G25-1)</f>
        <v>0.10972122944960686</v>
      </c>
      <c r="H64" s="29">
        <f>IF(COUNT(H24,H25)&lt;2,"—",H24/H25-1)</f>
        <v>0.13924938618028762</v>
      </c>
      <c r="I64" s="29">
        <f>IF(COUNT(I24,I25)&lt;2,"—",I24/I25-1)</f>
        <v>0.1501236312257153</v>
      </c>
      <c r="J64" s="29">
        <f>IF(COUNT(J24,J25)&lt;2,"—",J24/J25-1)</f>
        <v>0.11159811193526635</v>
      </c>
      <c r="K64" s="29">
        <f>IF(COUNT(K24,K25)&lt;2,"—",K24/K25-1)</f>
        <v>-0.16876006441223831</v>
      </c>
      <c r="L64" s="29">
        <f>IF(COUNT(L24,L25)&lt;2,"—",L24/L25-1)</f>
        <v>0.12376847290640394</v>
      </c>
      <c r="M64" s="29">
        <f>IF(COUNT(M24,M25)&lt;2,"—",M24/M25-1)</f>
        <v>0.3237100737100737</v>
      </c>
      <c r="N64" s="29">
        <f>IF(COUNT(N24,N25)&lt;2,"—",N24/N25-1)</f>
        <v>0.1989687594783136</v>
      </c>
      <c r="O64" s="29">
        <f>IF(COUNT(O24,O25)&lt;2,"—",O24/O25-1)</f>
        <v>0.7268500581170089</v>
      </c>
      <c r="P64" s="30" t="s">
        <v>2093</v>
      </c>
      <c r="Q64" s="30" t="s">
        <v>2094</v>
      </c>
    </row>
    <row r="65" spans="1:17">
      <c r="A65" s="23" t="s">
        <v>2095</v>
      </c>
      <c r="B65" s="11" t="s">
        <v>2096</v>
      </c>
      <c r="C65" s="11" t="s">
        <v>254</v>
      </c>
      <c r="D65" s="29">
        <f>IF(COUNT(D26,D27)&lt;2,"—",D26/D27-1)</f>
        <v>0.08623548922056384</v>
      </c>
      <c r="E65" s="29">
        <f>IF(COUNT(E26,E27)&lt;2,"—",E26/E27-1)</f>
        <v>0.08473974062888613</v>
      </c>
      <c r="F65" s="29">
        <f>IF(COUNT(F26,F27)&lt;2,"—",F26/F27-1)</f>
        <v>0.053044516459150606</v>
      </c>
      <c r="G65" s="29">
        <f>IF(COUNT(G26,G27)&lt;2,"—",G26/G27-1)</f>
        <v>0.02264619202729952</v>
      </c>
      <c r="H65" s="29">
        <f>IF(COUNT(H26,H27)&lt;2,"—",H26/H27-1)</f>
        <v>0.044580152671755725</v>
      </c>
      <c r="I65" s="29">
        <f>IF(COUNT(I26,I27)&lt;2,"—",I26/I27-1)</f>
        <v>0.07730101539469375</v>
      </c>
      <c r="J65" s="29">
        <f>IF(COUNT(J26,J27)&lt;2,"—",J26/J27-1)</f>
        <v>0.022189828312277293</v>
      </c>
      <c r="K65" s="29">
        <f>IF(COUNT(K26,K27)&lt;2,"—",K26/K27-1)</f>
        <v>-0.4805096314272713</v>
      </c>
      <c r="L65" s="29">
        <f>IF(COUNT(L26,L27)&lt;2,"—",L26/L27-1)</f>
        <v>-0.0698626132709734</v>
      </c>
      <c r="M65" s="29">
        <f>IF(COUNT(M26,M27)&lt;2,"—",M26/M27-1)</f>
        <v>-0.02356339312861052</v>
      </c>
      <c r="N65" s="29">
        <f>IF(COUNT(N26,N27)&lt;2,"—",N26/N27-1)</f>
        <v>-0.07875138646807162</v>
      </c>
      <c r="O65" s="29">
        <f>IF(COUNT(O26,O27)&lt;2,"—",O26/O27-1)</f>
        <v>1.1305109489051095</v>
      </c>
      <c r="P65" s="30" t="s">
        <v>2097</v>
      </c>
      <c r="Q65" s="30" t="s">
        <v>2094</v>
      </c>
    </row>
    <row r="66" spans="1:17">
      <c r="A66" s="23" t="s">
        <v>2098</v>
      </c>
      <c r="B66" s="11" t="s">
        <v>2099</v>
      </c>
      <c r="C66" s="11" t="s">
        <v>254</v>
      </c>
      <c r="D66" s="29">
        <f>IF(COUNT(D29,D30)&lt;2,"—",D29/D30-1)</f>
        <v>0.0969132207338381</v>
      </c>
      <c r="E66" s="29">
        <f>IF(COUNT(E29,E30)&lt;2,"—",E29/E30-1)</f>
        <v>0.09955752212389381</v>
      </c>
      <c r="F66" s="29">
        <f>IF(COUNT(F29,F30)&lt;2,"—",F29/F30-1)</f>
        <v>0.0768687463213655</v>
      </c>
      <c r="G66" s="29">
        <f>IF(COUNT(G29,G30)&lt;2,"—",G29/G30-1)</f>
        <v>0.047254288488510085</v>
      </c>
      <c r="H66" s="29">
        <f>IF(COUNT(H29,H30)&lt;2,"—",H29/H30-1)</f>
        <v>0.0721036423489434</v>
      </c>
      <c r="I66" s="29">
        <f>IF(COUNT(I29,I30)&lt;2,"—",I29/I30-1)</f>
        <v>0.100380058126537</v>
      </c>
      <c r="J66" s="29">
        <f>IF(COUNT(J29,J30)&lt;2,"—",J29/J30-1)</f>
        <v>0.05115872321818977</v>
      </c>
      <c r="K66" s="29">
        <f>IF(COUNT(K29,K30)&lt;2,"—",K29/K30-1)</f>
        <v>-0.38065313691150715</v>
      </c>
      <c r="L66" s="29">
        <f>IF(COUNT(L29,L30)&lt;2,"—",L29/L30-1)</f>
        <v>-0.007725832012678288</v>
      </c>
      <c r="M66" s="29">
        <f>IF(COUNT(M29,M30)&lt;2,"—",M29/M30-1)</f>
        <v>0.0911214953271028</v>
      </c>
      <c r="N66" s="29">
        <f>IF(COUNT(N29,N30)&lt;2,"—",N29/N30-1)</f>
        <v>0.016326955074875207</v>
      </c>
      <c r="O66" s="29">
        <f>IF(COUNT(O29,O30)&lt;2,"—",O29/O30-1)</f>
        <v>0.9562541583499667</v>
      </c>
      <c r="P66" s="30" t="s">
        <v>2100</v>
      </c>
      <c r="Q66" s="30" t="s">
        <v>2101</v>
      </c>
    </row>
    <row r="67" spans="1:17">
      <c r="A67" s="23" t="s">
        <v>2102</v>
      </c>
      <c r="B67" s="11" t="s">
        <v>2103</v>
      </c>
      <c r="C67" s="11" t="s">
        <v>2104</v>
      </c>
      <c r="D67" s="31">
        <f>IF(COUNT(D24,D25,D30)&lt;3,"—",((D24-D25)/D30)*100)</f>
        <v>3.6808386721025044</v>
      </c>
      <c r="E67" s="31">
        <f>IF(COUNT(E24,E25,E30)&lt;3,"—",((E24-E25)/E30)*100)</f>
        <v>4.264995083579155</v>
      </c>
      <c r="F67" s="31">
        <f>IF(COUNT(F24,F25,F30)&lt;3,"—",((F24-F25)/F30)*100)</f>
        <v>4.178928781636257</v>
      </c>
      <c r="G67" s="31">
        <f>IF(COUNT(G24,G25,G30)&lt;3,"—",((G24-G25)/G30)*100)</f>
        <v>3.3121156543316435</v>
      </c>
      <c r="H67" s="31">
        <f>IF(COUNT(H24,H25,H30)&lt;3,"—",((H24-H25)/H30)*100)</f>
        <v>4.215779972390358</v>
      </c>
      <c r="I67" s="31">
        <f>IF(COUNT(I24,I25,I30)&lt;3,"—",((I24-I25)/I30)*100)</f>
        <v>4.750726581712497</v>
      </c>
      <c r="J67" s="31">
        <f>IF(COUNT(J24,J25,J30)&lt;3,"—",((J24-J25)/J30)*100)</f>
        <v>3.618277219064276</v>
      </c>
      <c r="K67" s="31">
        <f>IF(COUNT(K24,K25,K30)&lt;3,"—",((K24-K25)/K30)*100)</f>
        <v>-5.398166271762646</v>
      </c>
      <c r="L67" s="31">
        <f>IF(COUNT(L24,L25,L30)&lt;3,"—",((L24-L25)/L30)*100)</f>
        <v>3.9817749603803487</v>
      </c>
      <c r="M67" s="31">
        <f>IF(COUNT(M24,M25,M30)&lt;3,"—",((M24-M25)/M30)*100)</f>
        <v>10.707029662738723</v>
      </c>
      <c r="N67" s="31">
        <f>IF(COUNT(N24,N25,N30)&lt;3,"—",((N24-N25)/N30)*100)</f>
        <v>6.821963394342761</v>
      </c>
      <c r="O67" s="31">
        <f>IF(COUNT(O24,O25,O30)&lt;3,"—",((O24-O25)/O30)*100)</f>
        <v>31.20425815036593</v>
      </c>
      <c r="P67" s="30" t="s">
        <v>2105</v>
      </c>
      <c r="Q67" s="30" t="s">
        <v>2106</v>
      </c>
    </row>
    <row r="68" spans="1:17">
      <c r="A68" s="23" t="s">
        <v>2107</v>
      </c>
      <c r="B68" s="11" t="s">
        <v>2108</v>
      </c>
      <c r="C68" s="11" t="s">
        <v>2104</v>
      </c>
      <c r="D68" s="31">
        <f>IF(COUNT(D26,D27,D30)&lt;3,"—",((D26-D27)/D30)*100)</f>
        <v>6.0570762958648805</v>
      </c>
      <c r="E68" s="31">
        <f>IF(COUNT(E26,E27,E30)&lt;3,"—",((E26-E27)/E30)*100)</f>
        <v>5.8628318584070795</v>
      </c>
      <c r="F68" s="31">
        <f>IF(COUNT(F26,F27,F30)&lt;3,"—",((F26-F27)/F30)*100)</f>
        <v>3.660977045320777</v>
      </c>
      <c r="G68" s="31">
        <f>IF(COUNT(G26,G27,G30)&lt;3,"—",((G26-G27)/G30)*100)</f>
        <v>1.5751429496170029</v>
      </c>
      <c r="H68" s="31">
        <f>IF(COUNT(H26,H27,H30)&lt;3,"—",((H26-H27)/H30)*100)</f>
        <v>3.10077519379845</v>
      </c>
      <c r="I68" s="31">
        <f>IF(COUNT(I26,I27,I30)&lt;3,"—",((I26-I27)/I30)*100)</f>
        <v>5.276101050748938</v>
      </c>
      <c r="J68" s="31">
        <f>IF(COUNT(J26,J27,J30)&lt;3,"—",((J26-J27)/J30)*100)</f>
        <v>1.4975951027547003</v>
      </c>
      <c r="K68" s="31">
        <f>IF(COUNT(K26,K27,K30)&lt;3,"—",((K26-K27)/K30)*100)</f>
        <v>-32.63624188729783</v>
      </c>
      <c r="L68" s="31">
        <f>IF(COUNT(L26,L27,L30)&lt;3,"—",((L26-L27)/L30)*100)</f>
        <v>-4.734548335974644</v>
      </c>
      <c r="M68" s="31">
        <f>IF(COUNT(M26,M27,M30)&lt;3,"—",((M26-M27)/M30)*100)</f>
        <v>-1.5745631856968711</v>
      </c>
      <c r="N68" s="31">
        <f>IF(COUNT(N26,N27,N30)&lt;3,"—",((N26-N27)/N30)*100)</f>
        <v>-5.16846921797005</v>
      </c>
      <c r="O68" s="31">
        <f>IF(COUNT(O26,O27,O30)&lt;3,"—",((O26-O27)/O30)*100)</f>
        <v>64.40452428476381</v>
      </c>
      <c r="P68" s="30" t="s">
        <v>2109</v>
      </c>
      <c r="Q68" s="30" t="s">
        <v>2110</v>
      </c>
    </row>
    <row r="69" spans="1:17">
      <c r="A69" s="23" t="s">
        <v>2111</v>
      </c>
      <c r="B69" s="11" t="s">
        <v>2112</v>
      </c>
      <c r="C69" s="11" t="s">
        <v>254</v>
      </c>
      <c r="D69" s="32">
        <f>IF(COUNT(D33,D24)&lt;2,"—",D33*1000/D24)</f>
        <v>0.27008067344791303</v>
      </c>
      <c r="E69" s="32">
        <f>IF(COUNT(E33,E24)&lt;2,"—",E33*1000/E24)</f>
        <v>0.34510773578240905</v>
      </c>
      <c r="F69" s="32">
        <f>IF(COUNT(F33,F24)&lt;2,"—",F33*1000/F24)</f>
        <v>0.34861766689143625</v>
      </c>
      <c r="G69" s="32">
        <f>IF(COUNT(G33,G24)&lt;2,"—",G33*1000/G24)</f>
        <v>0.3281803542673108</v>
      </c>
      <c r="H69" s="32">
        <f>IF(COUNT(H33,H24)&lt;2,"—",H33*1000/H24)</f>
        <v>0.33866995073891626</v>
      </c>
      <c r="I69" s="32">
        <f>IF(COUNT(I33,I24)&lt;2,"—",I33*1000/I24)</f>
        <v>0.39926289926289926</v>
      </c>
      <c r="J69" s="32">
        <f>IF(COUNT(J33,J24)&lt;2,"—",J33*1000/J24)</f>
        <v>0.42462845010615713</v>
      </c>
      <c r="K69" s="32">
        <f>IF(COUNT(K33,K24)&lt;2,"—",K33*1000/K24)</f>
        <v>0.65865943432778</v>
      </c>
      <c r="L69" s="32">
        <f>IF(COUNT(L33,L24)&lt;2,"—",L33*1000/L24)</f>
        <v>0.5205479452054794</v>
      </c>
      <c r="M69" s="32">
        <f>IF(COUNT(M33,M24)&lt;2,"—",M33*1000/M24)</f>
        <v>0.5568445475638051</v>
      </c>
      <c r="N69" s="32">
        <f>IF(COUNT(N33,N24)&lt;2,"—",N33*1000/N24)</f>
        <v>0.5565393372122439</v>
      </c>
      <c r="O69" s="32">
        <f>IF(COUNT(O33,O24)&lt;2,"—",O33*1000/O24)</f>
        <v>0.5609154139555755</v>
      </c>
      <c r="P69" s="30" t="s">
        <v>2113</v>
      </c>
      <c r="Q69" s="30" t="s">
        <v>2114</v>
      </c>
    </row>
    <row r="70" spans="1:17">
      <c r="A70" s="23" t="s">
        <v>2115</v>
      </c>
      <c r="B70" s="11" t="s">
        <v>2116</v>
      </c>
      <c r="C70" s="11" t="s">
        <v>71</v>
      </c>
      <c r="D70" s="33">
        <f>IF(COUNT(D24,D33)&lt;2,"—",D24-D33*1000)</f>
        <v>2081.0</v>
      </c>
      <c r="E70" s="33">
        <f>IF(COUNT(E24,E33)&lt;2,"—",E24-E33*1000)</f>
        <v>1854.0</v>
      </c>
      <c r="F70" s="33">
        <f>IF(COUNT(F24,F33)&lt;2,"—",F24-F33*1000)</f>
        <v>1932.0</v>
      </c>
      <c r="G70" s="33">
        <f>IF(COUNT(G24,G33)&lt;2,"—",G24-G33*1000)</f>
        <v>2086.0</v>
      </c>
      <c r="H70" s="33">
        <f>IF(COUNT(H24,H33)&lt;2,"—",H24-H33*1000)</f>
        <v>2148.0</v>
      </c>
      <c r="I70" s="33">
        <f>IF(COUNT(I24,I33)&lt;2,"—",I24-I33*1000)</f>
        <v>1956.0</v>
      </c>
      <c r="J70" s="33">
        <f>IF(COUNT(J24,J33)&lt;2,"—",J24-J33*1000)</f>
        <v>1897.0</v>
      </c>
      <c r="K70" s="33">
        <f>IF(COUNT(K24,K33)&lt;2,"—",K24-K33*1000)</f>
        <v>881.0</v>
      </c>
      <c r="L70" s="33">
        <f>IF(COUNT(L24,L33)&lt;2,"—",L24-L33*1000)</f>
        <v>1750.0</v>
      </c>
      <c r="M70" s="33">
        <f>IF(COUNT(M24,M33)&lt;2,"—",M24-M33*1000)</f>
        <v>1910.0</v>
      </c>
      <c r="N70" s="33">
        <f>IF(COUNT(N24,N33)&lt;2,"—",N24-N33*1000)</f>
        <v>1753.0</v>
      </c>
      <c r="O70" s="33">
        <f>IF(COUNT(O24,O33)&lt;2,"—",O24-O33*1000)</f>
        <v>1957.0</v>
      </c>
      <c r="P70" s="30" t="s">
        <v>2117</v>
      </c>
      <c r="Q70" s="30" t="s">
        <v>2118</v>
      </c>
    </row>
    <row r="72" spans="1:17">
      <c r="A72" s="22"/>
      <c r="B72" s="22" t="s">
        <v>2119</v>
      </c>
      <c r="C72" s="22"/>
      <c r="D72" s="22"/>
      <c r="E72" s="22"/>
      <c r="F72" s="22"/>
      <c r="G72" s="22"/>
      <c r="H72" s="22"/>
      <c r="I72" s="22"/>
      <c r="J72" s="22"/>
      <c r="K72" s="22"/>
      <c r="L72" s="22"/>
      <c r="M72" s="22"/>
      <c r="N72" s="22"/>
      <c r="O72" s="22"/>
      <c r="P72" s="22"/>
      <c r="Q72" s="22"/>
    </row>
    <row r="73" spans="1:17">
      <c r="A73" s="23" t="s">
        <v>2120</v>
      </c>
      <c r="B73" s="11" t="s">
        <v>2121</v>
      </c>
      <c r="C73" s="11" t="s">
        <v>254</v>
      </c>
      <c r="D73" s="29">
        <f>IF(COUNT(D7,D8)&lt;2,"—",D7/D8-1)</f>
        <v>0.0968026460859978</v>
      </c>
      <c r="E73" s="29">
        <f>IF(COUNT(E7,E8)&lt;2,"—",E7/E8-1)</f>
        <v>0.09586158522328735</v>
      </c>
      <c r="F73" s="29">
        <f>IF(COUNT(F7,F8)&lt;2,"—",F7/F8-1)</f>
        <v>0.06979073909171861</v>
      </c>
      <c r="G73" s="29">
        <f>IF(COUNT(G7,G8)&lt;2,"—",G7/G8-1)</f>
        <v>0.04035141485340688</v>
      </c>
      <c r="H73" s="29">
        <f>IF(COUNT(H7,H8)&lt;2,"—",H7/H8-1)</f>
        <v>0.07157217531162043</v>
      </c>
      <c r="I73" s="29">
        <f>IF(COUNT(I7,I8)&lt;2,"—",I7/I8-1)</f>
        <v>0.10155749946660977</v>
      </c>
      <c r="J73" s="29">
        <f>IF(COUNT(J7,J8)&lt;2,"—",J7/J8-1)</f>
        <v>0.05129539069815836</v>
      </c>
      <c r="K73" s="29">
        <f>IF(COUNT(K7,K8)&lt;2,"—",K7/K8-1)</f>
        <v>-0.3801060487038492</v>
      </c>
      <c r="L73" s="29">
        <f>IF(COUNT(L7,L8)&lt;2,"—",L7/L8-1)</f>
        <v>-0.006191369606003753</v>
      </c>
      <c r="M73" s="29">
        <f>IF(COUNT(M7,M8)&lt;2,"—",M7/M8-1)</f>
        <v>0.08880495835754407</v>
      </c>
      <c r="N73" s="29">
        <f>IF(COUNT(N7,N8)&lt;2,"—",N7/N8-1)</f>
        <v>0.025039588281868568</v>
      </c>
      <c r="O73" s="29">
        <f>IF(COUNT(O7,O8)&lt;2,"—",O7/O8-1)</f>
        <v>0.9553302708696341</v>
      </c>
      <c r="P73" s="30" t="s">
        <v>2122</v>
      </c>
      <c r="Q73" s="30" t="s">
        <v>2101</v>
      </c>
    </row>
    <row r="74" spans="1:17">
      <c r="A74" s="23" t="s">
        <v>2123</v>
      </c>
      <c r="B74" s="11" t="s">
        <v>2124</v>
      </c>
      <c r="C74" s="11" t="s">
        <v>254</v>
      </c>
      <c r="D74" s="29">
        <f>IF(COUNT(D10,D7)&lt;2,"—",D10/D7)</f>
        <v>0.44199839163650984</v>
      </c>
      <c r="E74" s="29">
        <f>IF(COUNT(E10,E7)&lt;2,"—",E10/E7)</f>
        <v>0.43791337742692554</v>
      </c>
      <c r="F74" s="29">
        <f>IF(COUNT(F10,F7)&lt;2,"—",F10/F7)</f>
        <v>0.4514618666111747</v>
      </c>
      <c r="G74" s="29">
        <f>IF(COUNT(G10,G7)&lt;2,"—",G10/G7)</f>
        <v>0.45492930086410055</v>
      </c>
      <c r="H74" s="29">
        <f>IF(COUNT(H10,H7)&lt;2,"—",H10/H7)</f>
        <v>0.4569418386491557</v>
      </c>
      <c r="I74" s="29">
        <f>IF(COUNT(I10,I7)&lt;2,"—",I10/I7)</f>
        <v>0.4400542320356382</v>
      </c>
      <c r="J74" s="29">
        <f>IF(COUNT(J10,J7)&lt;2,"—",J10/J7)</f>
        <v>0.4426959619952494</v>
      </c>
      <c r="K74" s="29">
        <f>IF(COUNT(K10,K7)&lt;2,"—",K10/K7)</f>
        <v>0.37272295263741484</v>
      </c>
      <c r="L74" s="29">
        <f>IF(COUNT(L10,L7)&lt;2,"—",L10/L7)</f>
        <v>0.4475174627147442</v>
      </c>
      <c r="M74" s="29">
        <f>IF(COUNT(M10,M7)&lt;2,"—",M10/M7)</f>
        <v>0.43111269234190164</v>
      </c>
      <c r="N74" s="29">
        <f>IF(COUNT(N10,N7)&lt;2,"—",N10/N7)</f>
        <v>0.4556338708120112</v>
      </c>
      <c r="O74" s="29">
        <f>IF(COUNT(O10,O7)&lt;2,"—",O10/O7)</f>
        <v>0.45811730395333766</v>
      </c>
      <c r="P74" s="30" t="s">
        <v>2125</v>
      </c>
      <c r="Q74" s="30" t="s">
        <v>2126</v>
      </c>
    </row>
    <row r="75" spans="1:17">
      <c r="A75" s="23" t="s">
        <v>2127</v>
      </c>
      <c r="B75" s="11" t="s">
        <v>2128</v>
      </c>
      <c r="C75" s="11" t="s">
        <v>254</v>
      </c>
      <c r="D75" s="29">
        <f>IF(COUNT(D13,D7)&lt;2,"—",D13/D7)</f>
        <v>0.30790108564535584</v>
      </c>
      <c r="E75" s="29">
        <f>IF(COUNT(E13,E7)&lt;2,"—",E13/E7)</f>
        <v>0.33518241945807553</v>
      </c>
      <c r="F75" s="29">
        <f>IF(COUNT(F13,F7)&lt;2,"—",F13/F7)</f>
        <v>0.32161065445843307</v>
      </c>
      <c r="G75" s="29">
        <f>IF(COUNT(G13,G7)&lt;2,"—",G13/G7)</f>
        <v>0.33444619010212095</v>
      </c>
      <c r="H75" s="29">
        <f>IF(COUNT(H13,H7)&lt;2,"—",H13/H7)</f>
        <v>0.3121951219512195</v>
      </c>
      <c r="I75" s="29">
        <f>IF(COUNT(I13,I7)&lt;2,"—",I13/I7)</f>
        <v>0.3219058686809994</v>
      </c>
      <c r="J75" s="29">
        <f>IF(COUNT(J13,J7)&lt;2,"—",J13/J7)</f>
        <v>0.3249208234362629</v>
      </c>
      <c r="K75" s="29">
        <f>IF(COUNT(K13,K7)&lt;2,"—",K13/K7)</f>
        <v>0.5054649136702043</v>
      </c>
      <c r="L75" s="29">
        <f>IF(COUNT(L13,L7)&lt;2,"—",L13/L7)</f>
        <v>0.2808193316971871</v>
      </c>
      <c r="M75" s="29">
        <f>IF(COUNT(M13,M7)&lt;2,"—",M13/M7)</f>
        <v>0.2905808058347416</v>
      </c>
      <c r="N75" s="29">
        <f>IF(COUNT(N13,N7)&lt;2,"—",N13/N7)</f>
        <v>0.2936178430047311</v>
      </c>
      <c r="O75" s="29">
        <f>IF(COUNT(O13,O7)&lt;2,"—",O13/O7)</f>
        <v>0.3031432274789371</v>
      </c>
      <c r="P75" s="30" t="s">
        <v>2129</v>
      </c>
      <c r="Q75" s="30" t="s">
        <v>2130</v>
      </c>
    </row>
    <row r="76" spans="1:17">
      <c r="A76" s="23" t="s">
        <v>2131</v>
      </c>
      <c r="B76" s="11" t="s">
        <v>2132</v>
      </c>
      <c r="C76" s="11" t="s">
        <v>254</v>
      </c>
      <c r="D76" s="29">
        <f>IF(COUNT(D11,D7)&lt;2,"—",D11/D7)</f>
        <v>0.09690390028146362</v>
      </c>
      <c r="E76" s="29">
        <f>IF(COUNT(E11,E7)&lt;2,"—",E11/E7)</f>
        <v>0.09707702154896522</v>
      </c>
      <c r="F76" s="29">
        <f>IF(COUNT(F11,F7)&lt;2,"—",F11/F7)</f>
        <v>0.09000104047445635</v>
      </c>
      <c r="G76" s="29">
        <f>IF(COUNT(G11,G7)&lt;2,"—",G11/G7)</f>
        <v>0.09956794972505892</v>
      </c>
      <c r="H76" s="29">
        <f>IF(COUNT(H11,H7)&lt;2,"—",H11/H7)</f>
        <v>0.09549718574108818</v>
      </c>
      <c r="I76" s="29">
        <f>IF(COUNT(I11,I7)&lt;2,"—",I11/I7)</f>
        <v>0.0853186132093744</v>
      </c>
      <c r="J76" s="29">
        <f>IF(COUNT(J11,J7)&lt;2,"—",J11/J7)</f>
        <v>0.08610451306413301</v>
      </c>
      <c r="K76" s="29">
        <f>IF(COUNT(K11,K7)&lt;2,"—",K11/K7)</f>
        <v>0.1303659116109615</v>
      </c>
      <c r="L76" s="29">
        <f>IF(COUNT(L11,L7)&lt;2,"—",L11/L7)</f>
        <v>0.06390409665848594</v>
      </c>
      <c r="M76" s="29">
        <f>IF(COUNT(M11,M7)&lt;2,"—",M11/M7)</f>
        <v>0.06484034510362004</v>
      </c>
      <c r="N76" s="29">
        <f>IF(COUNT(N11,N7)&lt;2,"—",N11/N7)</f>
        <v>0.06864922274789997</v>
      </c>
      <c r="O76" s="29">
        <f>IF(COUNT(O11,O7)&lt;2,"—",O11/O7)</f>
        <v>0.08076798444588464</v>
      </c>
      <c r="P76" s="30" t="s">
        <v>2133</v>
      </c>
      <c r="Q76" s="30" t="s">
        <v>2134</v>
      </c>
    </row>
    <row r="77" spans="1:17">
      <c r="A77" s="23" t="s">
        <v>2135</v>
      </c>
      <c r="B77" s="11" t="s">
        <v>2136</v>
      </c>
      <c r="C77" s="11" t="s">
        <v>254</v>
      </c>
      <c r="D77" s="29">
        <f>IF(COUNT(D12,D7)&lt;2,"—",D12/D7)</f>
        <v>0.21099718536389225</v>
      </c>
      <c r="E77" s="29">
        <f>IF(COUNT(E12,E7)&lt;2,"—",E12/E7)</f>
        <v>0.2381053979091103</v>
      </c>
      <c r="F77" s="29">
        <f>IF(COUNT(F12,F7)&lt;2,"—",F12/F7)</f>
        <v>0.2316096139839767</v>
      </c>
      <c r="G77" s="29">
        <f>IF(COUNT(G12,G7)&lt;2,"—",G12/G7)</f>
        <v>0.23487824037706206</v>
      </c>
      <c r="H77" s="29">
        <f>IF(COUNT(H12,H7)&lt;2,"—",H12/H7)</f>
        <v>0.21669793621013134</v>
      </c>
      <c r="I77" s="29">
        <f>IF(COUNT(I12,I7)&lt;2,"—",I12/I7)</f>
        <v>0.236587255471625</v>
      </c>
      <c r="J77" s="29">
        <f>IF(COUNT(J12,J7)&lt;2,"—",J12/J7)</f>
        <v>0.23881631037212986</v>
      </c>
      <c r="K77" s="29">
        <f>IF(COUNT(K12,K7)&lt;2,"—",K12/K7)</f>
        <v>0.37509900205924285</v>
      </c>
      <c r="L77" s="29">
        <f>IF(COUNT(L12,L7)&lt;2,"—",L12/L7)</f>
        <v>0.21691523503870117</v>
      </c>
      <c r="M77" s="29">
        <f>IF(COUNT(M12,M7)&lt;2,"—",M12/M7)</f>
        <v>0.22574046073112158</v>
      </c>
      <c r="N77" s="29">
        <f>IF(COUNT(N12,N7)&lt;2,"—",N12/N7)</f>
        <v>0.22496862025683112</v>
      </c>
      <c r="O77" s="29">
        <f>IF(COUNT(O12,O7)&lt;2,"—",O12/O7)</f>
        <v>0.2223752430330525</v>
      </c>
      <c r="P77" s="30" t="s">
        <v>2137</v>
      </c>
      <c r="Q77" s="30" t="s">
        <v>2138</v>
      </c>
    </row>
    <row r="78" spans="1:17">
      <c r="A78" s="23" t="s">
        <v>2139</v>
      </c>
      <c r="B78" s="11" t="s">
        <v>2140</v>
      </c>
      <c r="C78" s="11" t="s">
        <v>254</v>
      </c>
      <c r="D78" s="29">
        <f>IF(COUNT(D15,D7)&lt;2,"—",D15/D7)</f>
        <v>0.005327704061117813</v>
      </c>
      <c r="E78" s="29">
        <f>IF(COUNT(E15,E7)&lt;2,"—",E15/E7)</f>
        <v>-0.00512054619159377</v>
      </c>
      <c r="F78" s="29">
        <f>IF(COUNT(F15,F7)&lt;2,"—",F15/F7)</f>
        <v>-0.005722609509936531</v>
      </c>
      <c r="G78" s="29">
        <f>IF(COUNT(G15,G7)&lt;2,"—",G15/G7)</f>
        <v>-0.0027494108405341712</v>
      </c>
      <c r="H78" s="29">
        <f>IF(COUNT(H15,H7)&lt;2,"—",H15/H7)</f>
        <v>-0.0030956848030018764</v>
      </c>
      <c r="I78" s="29">
        <f>IF(COUNT(I15,I7)&lt;2,"—",I15/I7)</f>
        <v>-0.0039705597520821225</v>
      </c>
      <c r="J78" s="29">
        <f>IF(COUNT(J15,J7)&lt;2,"—",J15/J7)</f>
        <v>0.029394299287410927</v>
      </c>
      <c r="K78" s="29">
        <f>IF(COUNT(K15,K7)&lt;2,"—",K15/K7)</f>
        <v>-0.013305876762236655</v>
      </c>
      <c r="L78" s="29">
        <f>IF(COUNT(L15,L7)&lt;2,"—",L15/L7)</f>
        <v>-0.0013215027373985274</v>
      </c>
      <c r="M78" s="29">
        <f>IF(COUNT(M15,M7)&lt;2,"—",M15/M7)</f>
        <v>0.004802988526194076</v>
      </c>
      <c r="N78" s="29">
        <f>IF(COUNT(N15,N7)&lt;2,"—",N15/N7)</f>
        <v>-0.0021241672298928263</v>
      </c>
      <c r="O78" s="29">
        <f>IF(COUNT(O15,O7)&lt;2,"—",O15/O7)</f>
        <v>-0.0003240440699935191</v>
      </c>
      <c r="P78" s="30" t="s">
        <v>2141</v>
      </c>
      <c r="Q78" s="30" t="s">
        <v>2142</v>
      </c>
    </row>
    <row r="79" spans="1:17">
      <c r="A79" s="23" t="s">
        <v>2143</v>
      </c>
      <c r="B79" s="11" t="s">
        <v>2144</v>
      </c>
      <c r="C79" s="11" t="s">
        <v>71</v>
      </c>
      <c r="D79" s="34">
        <f>IF(COUNT(D18,D17,D14)&lt;3,"—",D18+D17+D14)</f>
        <v>1281.0</v>
      </c>
      <c r="E79" s="34">
        <f>IF(COUNT(E18,E17,E14)&lt;3,"—",E18+E17+E14)</f>
        <v>1011.0</v>
      </c>
      <c r="F79" s="34">
        <f>IF(COUNT(F18,F17,F14)&lt;3,"—",F18+F17+F14)</f>
        <v>1303.0</v>
      </c>
      <c r="G79" s="34">
        <f>IF(COUNT(G18,G17,G14)&lt;3,"—",G18+G17+G14)</f>
        <v>1255.0</v>
      </c>
      <c r="H79" s="34">
        <f>IF(COUNT(H18,H17,H14)&lt;3,"—",H18+H17+H14)</f>
        <v>1576.0</v>
      </c>
      <c r="I79" s="34">
        <f>IF(COUNT(I18,I17,I14)&lt;3,"—",I18+I17+I14)</f>
        <v>1261.0</v>
      </c>
      <c r="J79" s="34">
        <f>IF(COUNT(J18,J17,J14)&lt;3,"—",J18+J17+J14)</f>
        <v>893.0</v>
      </c>
      <c r="K79" s="34">
        <f>IF(COUNT(K18,K17,K14)&lt;3,"—",K18+K17+K14)</f>
        <v>-754.0</v>
      </c>
      <c r="L79" s="34">
        <f>IF(COUNT(L18,L17,L14)&lt;3,"—",L18+L17+L14)</f>
        <v>1780.0</v>
      </c>
      <c r="M79" s="34">
        <f>IF(COUNT(M18,M17,M14)&lt;3,"—",M18+M17+M14)</f>
        <v>1526.0</v>
      </c>
      <c r="N79" s="34">
        <f>IF(COUNT(N18,N17,N14)&lt;3,"—",N18+N17+N14)</f>
        <v>1700.0</v>
      </c>
      <c r="O79" s="34">
        <f>IF(COUNT(O18,O17,O14)&lt;3,"—",O18+O17+O14)</f>
        <v>1917.0</v>
      </c>
      <c r="P79" s="30" t="s">
        <v>2145</v>
      </c>
      <c r="Q79" s="30" t="s">
        <v>2146</v>
      </c>
    </row>
    <row r="80" spans="1:17">
      <c r="A80" s="23" t="s">
        <v>2147</v>
      </c>
      <c r="B80" s="11" t="s">
        <v>2148</v>
      </c>
      <c r="C80" s="11" t="s">
        <v>254</v>
      </c>
      <c r="D80" s="29">
        <f>IF(COUNT(D79,D7)&lt;2,"—",D79/D7)</f>
        <v>0.1287696019300362</v>
      </c>
      <c r="E80" s="29">
        <f>IF(COUNT(E79,E7)&lt;2,"—",E79/E7)</f>
        <v>0.10785150416044378</v>
      </c>
      <c r="F80" s="29">
        <f>IF(COUNT(F79,F7)&lt;2,"—",F79/F7)</f>
        <v>0.13557382166267817</v>
      </c>
      <c r="G80" s="29">
        <f>IF(COUNT(G79,G7)&lt;2,"—",G79/G7)</f>
        <v>0.12323252160251374</v>
      </c>
      <c r="H80" s="29">
        <f>IF(COUNT(H79,H7)&lt;2,"—",H79/H7)</f>
        <v>0.14784240150093808</v>
      </c>
      <c r="I80" s="29">
        <f>IF(COUNT(I79,I7)&lt;2,"—",I79/I7)</f>
        <v>0.1221189231067209</v>
      </c>
      <c r="J80" s="29">
        <f>IF(COUNT(J79,J7)&lt;2,"—",J79/J7)</f>
        <v>0.08838083927157561</v>
      </c>
      <c r="K80" s="29">
        <f>IF(COUNT(K79,K7)&lt;2,"—",K79/K7)</f>
        <v>-0.11943608427055283</v>
      </c>
      <c r="L80" s="29">
        <f>IF(COUNT(L79,L7)&lt;2,"—",L79/L7)</f>
        <v>0.16801963375495563</v>
      </c>
      <c r="M80" s="29">
        <f>IF(COUNT(M79,M7)&lt;2,"—",M79/M7)</f>
        <v>0.13572889798096593</v>
      </c>
      <c r="N80" s="29">
        <f>IF(COUNT(N79,N7)&lt;2,"—",N79/N7)</f>
        <v>0.16414019503717292</v>
      </c>
      <c r="O80" s="29">
        <f>IF(COUNT(O79,O7)&lt;2,"—",O79/O7)</f>
        <v>0.15529812054439404</v>
      </c>
      <c r="P80" s="30" t="s">
        <v>2149</v>
      </c>
      <c r="Q80" s="30" t="s">
        <v>2150</v>
      </c>
    </row>
    <row r="81" spans="1:17">
      <c r="A81" s="23" t="s">
        <v>2151</v>
      </c>
      <c r="B81" s="11" t="s">
        <v>2152</v>
      </c>
      <c r="C81" s="11" t="s">
        <v>254</v>
      </c>
      <c r="D81" s="29">
        <f>IF(COUNT(D18,D7)&lt;2,"—",D18/D7)</f>
        <v>0.1097708082026538</v>
      </c>
      <c r="E81" s="29">
        <f>IF(COUNT(E18,E7)&lt;2,"—",E18/E7)</f>
        <v>0.0903563046724984</v>
      </c>
      <c r="F81" s="29">
        <f>IF(COUNT(F18,F7)&lt;2,"—",F18/F7)</f>
        <v>0.11455623764436583</v>
      </c>
      <c r="G81" s="29">
        <f>IF(COUNT(G18,G7)&lt;2,"—",G18/G7)</f>
        <v>0.09711311861743913</v>
      </c>
      <c r="H81" s="29">
        <f>IF(COUNT(H18,H7)&lt;2,"—",H18/H7)</f>
        <v>0.12823639774859288</v>
      </c>
      <c r="I81" s="29">
        <f>IF(COUNT(I18,I7)&lt;2,"—",I18/I7)</f>
        <v>0.10797985667247724</v>
      </c>
      <c r="J81" s="29">
        <f>IF(COUNT(J18,J7)&lt;2,"—",J18/J7)</f>
        <v>0.08382818685669043</v>
      </c>
      <c r="K81" s="29">
        <f>IF(COUNT(K18,K7)&lt;2,"—",K18/K7)</f>
        <v>-0.12513860288293996</v>
      </c>
      <c r="L81" s="29">
        <f>IF(COUNT(L18,L7)&lt;2,"—",L18/L7)</f>
        <v>0.1432886539550689</v>
      </c>
      <c r="M81" s="29">
        <f>IF(COUNT(M18,M7)&lt;2,"—",M18/M7)</f>
        <v>0.11126923419016277</v>
      </c>
      <c r="N81" s="29">
        <f>IF(COUNT(N18,N7)&lt;2,"—",N18/N7)</f>
        <v>0.13990537800521385</v>
      </c>
      <c r="O81" s="29">
        <f>IF(COUNT(O18,O7)&lt;2,"—",O18/O7)</f>
        <v>0.12224562540505508</v>
      </c>
      <c r="P81" s="30" t="s">
        <v>2153</v>
      </c>
      <c r="Q81" s="30" t="s">
        <v>2154</v>
      </c>
    </row>
    <row r="82" spans="1:17">
      <c r="A82" s="23" t="s">
        <v>2155</v>
      </c>
      <c r="B82" s="11" t="s">
        <v>2156</v>
      </c>
      <c r="C82" s="11" t="s">
        <v>254</v>
      </c>
      <c r="D82" s="29" t="str">
        <f>IF(COUNT(D19,D20)&lt;2,"—",D19/D20-1)</f>
        <v>—</v>
      </c>
      <c r="E82" s="29" t="str">
        <f>IF(COUNT(E19,E20)&lt;2,"—",E19/E20-1)</f>
        <v>—</v>
      </c>
      <c r="F82" s="29" t="str">
        <f>IF(COUNT(F19,F20)&lt;2,"—",F19/F20-1)</f>
        <v>—</v>
      </c>
      <c r="G82" s="29">
        <f>IF(COUNT(G19,G20)&lt;2,"—",G19/G20-1)</f>
        <v>0.06861813343470823</v>
      </c>
      <c r="H82" s="29">
        <f>IF(COUNT(H19,H20)&lt;2,"—",H19/H20-1)</f>
        <v>0.11631911230151139</v>
      </c>
      <c r="I82" s="29">
        <f>IF(COUNT(I19,I20)&lt;2,"—",I19/I20-1)</f>
        <v>0.15051967334818114</v>
      </c>
      <c r="J82" s="29">
        <f>IF(COUNT(J19,J20)&lt;2,"—",J19/J20-1)</f>
        <v>0.07239150507848569</v>
      </c>
      <c r="K82" s="29">
        <f>IF(COUNT(K19,K20)&lt;2,"—",K19/K20-1)</f>
        <v>0.3103877623621487</v>
      </c>
      <c r="L82" s="29">
        <f>IF(COUNT(L19,L20)&lt;2,"—",L19/L20-1)</f>
        <v>0.14910025706940874</v>
      </c>
      <c r="M82" s="29">
        <f>IF(COUNT(M19,M20)&lt;2,"—",M19/M20-1)</f>
        <v>-0.017583481206646233</v>
      </c>
      <c r="N82" s="29">
        <f>IF(COUNT(N19,N20)&lt;2,"—",N19/N20-1)</f>
        <v>0.15257447907697605</v>
      </c>
      <c r="O82" s="29">
        <f>IF(COUNT(O19,O20)&lt;2,"—",O19/O20-1)</f>
        <v>-0.06963485815121488</v>
      </c>
      <c r="P82" s="30" t="s">
        <v>2157</v>
      </c>
      <c r="Q82" s="30" t="s">
        <v>2158</v>
      </c>
    </row>
    <row r="83" spans="1:17">
      <c r="A83" s="23" t="s">
        <v>2159</v>
      </c>
      <c r="B83" s="11" t="s">
        <v>2160</v>
      </c>
      <c r="C83" s="11" t="s">
        <v>71</v>
      </c>
      <c r="D83" s="34">
        <f>IF(COUNT(D19,D21)&lt;2,"—",(D19+D21)/2)</f>
        <v>5244.0</v>
      </c>
      <c r="E83" s="34">
        <f>IF(COUNT(E19,E21)&lt;2,"—",(E19+E21)/2)</f>
        <v>5307.5</v>
      </c>
      <c r="F83" s="34">
        <f>IF(COUNT(F19,F21)&lt;2,"—",(F19+F21)/2)</f>
        <v>5401.5</v>
      </c>
      <c r="G83" s="34">
        <f>IF(COUNT(G19,G21)&lt;2,"—",(G19+G21)/2)</f>
        <v>5518.5</v>
      </c>
      <c r="H83" s="34">
        <f>IF(COUNT(H19,H21)&lt;2,"—",(H19+H21)/2)</f>
        <v>5728.5</v>
      </c>
      <c r="I83" s="34">
        <f>IF(COUNT(I19,I21)&lt;2,"—",(I19+I21)/2)</f>
        <v>6017.0</v>
      </c>
      <c r="J83" s="34">
        <f>IF(COUNT(J19,J21)&lt;2,"—",(J19+J21)/2)</f>
        <v>6003.0</v>
      </c>
      <c r="K83" s="34">
        <f>IF(COUNT(K19,K21)&lt;2,"—",(K19+K21)/2)</f>
        <v>6587.0</v>
      </c>
      <c r="L83" s="34">
        <f>IF(COUNT(L19,L21)&lt;2,"—",(L19+L21)/2)</f>
        <v>7036.0</v>
      </c>
      <c r="M83" s="34">
        <f>IF(COUNT(M19,M21)&lt;2,"—",(M19+M21)/2)</f>
        <v>6397.5</v>
      </c>
      <c r="N83" s="34">
        <f>IF(COUNT(N19,N21)&lt;2,"—",(N19+N21)/2)</f>
        <v>6391.5</v>
      </c>
      <c r="O83" s="34">
        <f>IF(COUNT(O19,O21)&lt;2,"—",(O19+O21)/2)</f>
        <v>6773.5</v>
      </c>
      <c r="P83" s="30" t="s">
        <v>2161</v>
      </c>
      <c r="Q83" s="30" t="s">
        <v>2162</v>
      </c>
    </row>
    <row r="84" spans="1:17">
      <c r="A84" s="23" t="s">
        <v>2163</v>
      </c>
      <c r="B84" s="11" t="s">
        <v>2164</v>
      </c>
      <c r="C84" s="11" t="s">
        <v>2076</v>
      </c>
      <c r="D84" s="35">
        <f>IF(COUNT(D58,D83,D9)&lt;3,"—",D58*D83/D9)</f>
        <v>86.20338677715726</v>
      </c>
      <c r="E84" s="35">
        <f>IF(COUNT(E58,E83,E9)&lt;3,"—",E58*E83/E9)</f>
        <v>91.91675365344467</v>
      </c>
      <c r="F84" s="35">
        <f>IF(COUNT(F58,F83,F9)&lt;3,"—",F58*F83/F9)</f>
        <v>93.49144062974203</v>
      </c>
      <c r="G84" s="35">
        <f>IF(COUNT(G58,G83,G9)&lt;3,"—",G58*G83/G9)</f>
        <v>90.7157494145199</v>
      </c>
      <c r="H84" s="35">
        <f>IF(COUNT(H58,H83,H9)&lt;3,"—",H58*H83/H9)</f>
        <v>90.29635947486612</v>
      </c>
      <c r="I84" s="35">
        <f>IF(COUNT(I58,I83,I9)&lt;3,"—",I58*I83/I9)</f>
        <v>94.95870805949498</v>
      </c>
      <c r="J84" s="35">
        <f>IF(COUNT(J58,J83,J9)&lt;3,"—",J58*J83/J9)</f>
        <v>97.27823654768247</v>
      </c>
      <c r="K84" s="35">
        <f>IF(COUNT(K58,K83,K9)&lt;3,"—",K58*K83/K9)</f>
        <v>151.78377525252526</v>
      </c>
      <c r="L84" s="35">
        <f>IF(COUNT(L58,L83,L9)&lt;3,"—",L58*L83/L9)</f>
        <v>109.693319665129</v>
      </c>
      <c r="M84" s="35">
        <f>IF(COUNT(M58,M83,M9)&lt;3,"—",M58*M83/M9)</f>
        <v>91.27140009380864</v>
      </c>
      <c r="N84" s="35">
        <f>IF(COUNT(N58,N83,N9)&lt;3,"—",N58*N83/N9)</f>
        <v>103.44525984391628</v>
      </c>
      <c r="O84" s="35">
        <f>IF(COUNT(O58,O83,O9)&lt;3,"—",O58*O83/O9)</f>
        <v>92.40273209747346</v>
      </c>
      <c r="P84" s="30" t="s">
        <v>2165</v>
      </c>
      <c r="Q84" s="30" t="s">
        <v>2166</v>
      </c>
    </row>
    <row r="86" spans="1:17">
      <c r="A86" s="22"/>
      <c r="B86" s="22" t="s">
        <v>2167</v>
      </c>
      <c r="C86" s="22"/>
      <c r="D86" s="22"/>
      <c r="E86" s="22"/>
      <c r="F86" s="22"/>
      <c r="G86" s="22"/>
      <c r="H86" s="22"/>
      <c r="I86" s="22"/>
      <c r="J86" s="22"/>
      <c r="K86" s="22"/>
      <c r="L86" s="22"/>
      <c r="M86" s="22"/>
      <c r="N86" s="22"/>
      <c r="O86" s="22"/>
      <c r="P86" s="22"/>
      <c r="Q86" s="22"/>
    </row>
    <row r="87" spans="1:17">
      <c r="A87" s="23" t="s">
        <v>2168</v>
      </c>
      <c r="B87" s="11" t="s">
        <v>2169</v>
      </c>
      <c r="C87" s="11" t="s">
        <v>254</v>
      </c>
      <c r="D87" s="29">
        <f>IF(COUNT(D40,D38)&lt;2,"—",D40/D38)</f>
        <v>0.3174909529553679</v>
      </c>
      <c r="E87" s="29">
        <f>IF(COUNT(E40,E38)&lt;2,"—",E40/E38)</f>
        <v>0.2979904812268641</v>
      </c>
      <c r="F87" s="29">
        <f>IF(COUNT(F40,F38)&lt;2,"—",F40/F38)</f>
        <v>0.331496062992126</v>
      </c>
      <c r="G87" s="29">
        <f>IF(COUNT(G40,G38)&lt;2,"—",G40/G38)</f>
        <v>0.3171668667466987</v>
      </c>
      <c r="H87" s="29">
        <f>IF(COUNT(H40,H38)&lt;2,"—",H40/H38)</f>
        <v>0.33286745865362216</v>
      </c>
      <c r="I87" s="29">
        <f>IF(COUNT(I40,I38)&lt;2,"—",I40/I38)</f>
        <v>0.3134103465595178</v>
      </c>
      <c r="J87" s="29">
        <f>IF(COUNT(J40,J38)&lt;2,"—",J40/J38)</f>
        <v>0.36642372455390804</v>
      </c>
      <c r="K87" s="29">
        <f>IF(COUNT(K40,K38)&lt;2,"—",K40/K38)</f>
        <v>0.4385650224215247</v>
      </c>
      <c r="L87" s="29">
        <f>IF(COUNT(L40,L38)&lt;2,"—",L40/L38)</f>
        <v>0.3564497041420118</v>
      </c>
      <c r="M87" s="29">
        <f>IF(COUNT(M40,M38)&lt;2,"—",M40/M38)</f>
        <v>0.4123814278582127</v>
      </c>
      <c r="N87" s="29">
        <f>IF(COUNT(N40,N38)&lt;2,"—",N40/N38)</f>
        <v>0.4685746352413019</v>
      </c>
      <c r="O87" s="29">
        <f>IF(COUNT(O40,O38)&lt;2,"—",O40/O38)</f>
        <v>0.4021173848439822</v>
      </c>
      <c r="P87" s="30" t="s">
        <v>2170</v>
      </c>
      <c r="Q87" s="30" t="s">
        <v>2171</v>
      </c>
    </row>
    <row r="88" spans="1:17">
      <c r="A88" s="23" t="s">
        <v>2172</v>
      </c>
      <c r="B88" s="11" t="s">
        <v>2173</v>
      </c>
      <c r="C88" s="11" t="s">
        <v>254</v>
      </c>
      <c r="D88" s="29">
        <f>IF(COUNT(D38,D39)&lt;2,"—",D38/D39-1)</f>
        <v>0.05632008154943935</v>
      </c>
      <c r="E88" s="29">
        <f>IF(COUNT(E38,E39)&lt;2,"—",E38/E39-1)</f>
        <v>0.08522238163558106</v>
      </c>
      <c r="F88" s="29">
        <f>IF(COUNT(F38,F39)&lt;2,"—",F38/F39-1)</f>
        <v>0.06692803136376366</v>
      </c>
      <c r="G88" s="29">
        <f>IF(COUNT(G38,G39)&lt;2,"—",G38/G39-1)</f>
        <v>0.07483870967741936</v>
      </c>
      <c r="H88" s="29">
        <f>IF(COUNT(H38,H39)&lt;2,"—",H38/H39-1)</f>
        <v>0.03570566948130278</v>
      </c>
      <c r="I88" s="29">
        <f>IF(COUNT(I38,I39)&lt;2,"—",I38/I39-1)</f>
        <v>0.05288207297726071</v>
      </c>
      <c r="J88" s="29">
        <f>IF(COUNT(J38,J39)&lt;2,"—",J38/J39-1)</f>
        <v>0.04435695538057743</v>
      </c>
      <c r="K88" s="29">
        <f>IF(COUNT(K38,K39)&lt;2,"—",K38/K39-1)</f>
        <v>-0.4645858343337335</v>
      </c>
      <c r="L88" s="29">
        <f>IF(COUNT(L38,L39)&lt;2,"—",L38/L39-1)</f>
        <v>-0.01583973911017936</v>
      </c>
      <c r="M88" s="29">
        <f>IF(COUNT(M38,M39)&lt;2,"—",M38/M39-1)</f>
        <v>0.006027122049221497</v>
      </c>
      <c r="N88" s="29">
        <f>IF(COUNT(N38,N39)&lt;2,"—",N38/N39-1)</f>
        <v>-0.10429756220155818</v>
      </c>
      <c r="O88" s="29">
        <f>IF(COUNT(O38,O39)&lt;2,"—",O38/O39-1)</f>
        <v>1.4143497757847534</v>
      </c>
      <c r="P88" s="30" t="s">
        <v>2174</v>
      </c>
      <c r="Q88" s="30" t="s">
        <v>2101</v>
      </c>
    </row>
    <row r="89" spans="1:17">
      <c r="A89" s="23" t="s">
        <v>2175</v>
      </c>
      <c r="B89" s="11" t="s">
        <v>2176</v>
      </c>
      <c r="C89" s="11" t="s">
        <v>254</v>
      </c>
      <c r="D89" s="29">
        <f>IF(COUNT(D40,D41)&lt;2,"—",D40/D41-1)</f>
        <v>0.06558704453441296</v>
      </c>
      <c r="E89" s="29">
        <f>IF(COUNT(E40,E41)&lt;2,"—",E40/E41-1)</f>
        <v>0.07435653002859867</v>
      </c>
      <c r="F89" s="29">
        <f>IF(COUNT(F40,F41)&lt;2,"—",F40/F41-1)</f>
        <v>0.06223717409587889</v>
      </c>
      <c r="G89" s="29">
        <f>IF(COUNT(G40,G41)&lt;2,"—",G40/G41-1)</f>
        <v>0.08013082583810302</v>
      </c>
      <c r="H89" s="29">
        <f>IF(COUNT(H40,H41)&lt;2,"—",H40/H41-1)</f>
        <v>0.0858662613981763</v>
      </c>
      <c r="I89" s="29">
        <f>IF(COUNT(I40,I41)&lt;2,"—",I40/I41-1)</f>
        <v>0.10736468500443656</v>
      </c>
      <c r="J89" s="29">
        <f>IF(COUNT(J40,J41)&lt;2,"—",J40/J41-1)</f>
        <v>0.1543942992874109</v>
      </c>
      <c r="K89" s="29">
        <f>IF(COUNT(K40,K41)&lt;2,"—",K40/K41-1)</f>
        <v>-0.25965177895533686</v>
      </c>
      <c r="L89" s="29">
        <f>IF(COUNT(L40,L41)&lt;2,"—",L40/L41-1)</f>
        <v>0.053883834849545134</v>
      </c>
      <c r="M89" s="29">
        <f>IF(COUNT(M40,M41)&lt;2,"—",M40/M41-1)</f>
        <v>0.32371794871794873</v>
      </c>
      <c r="N89" s="29">
        <f>IF(COUNT(N40,N41)&lt;2,"—",N40/N41-1)</f>
        <v>0.14540466392318244</v>
      </c>
      <c r="O89" s="29">
        <f>IF(COUNT(O40,O41)&lt;2,"—",O40/O41-1)</f>
        <v>1.2137014314928425</v>
      </c>
      <c r="P89" s="30" t="s">
        <v>2177</v>
      </c>
      <c r="Q89" s="30" t="s">
        <v>2178</v>
      </c>
    </row>
    <row r="90" spans="1:17">
      <c r="A90" s="23" t="s">
        <v>2183</v>
      </c>
      <c r="B90" s="11" t="s">
        <v>2184</v>
      </c>
      <c r="C90" s="11" t="s">
        <v>254</v>
      </c>
      <c r="D90" s="29">
        <f>IF(COUNT(D45,D43)&lt;2,"—",D45/D43)</f>
        <v>0.2650556194859992</v>
      </c>
      <c r="E90" s="29">
        <f>IF(COUNT(E45,E43)&lt;2,"—",E45/E43)</f>
        <v>0.3009079118028534</v>
      </c>
      <c r="F90" s="29">
        <f>IF(COUNT(F45,F43)&lt;2,"—",F45/F43)</f>
        <v>0.2669404517453799</v>
      </c>
      <c r="G90" s="29">
        <f>IF(COUNT(G45,G43)&lt;2,"—",G45/G43)</f>
        <v>0.2844932844932845</v>
      </c>
      <c r="H90" s="29">
        <f>IF(COUNT(H45,H43)&lt;2,"—",H45/H43)</f>
        <v>0.26361341507392716</v>
      </c>
      <c r="I90" s="29">
        <f>IF(COUNT(I45,I43)&lt;2,"—",I45/I43)</f>
        <v>0.2928655892786756</v>
      </c>
      <c r="J90" s="29">
        <f>IF(COUNT(J45,J43)&lt;2,"—",J45/J43)</f>
        <v>0.2779623477297896</v>
      </c>
      <c r="K90" s="29">
        <f>IF(COUNT(K45,K43)&lt;2,"—",K45/K43)</f>
        <v>0.411144578313253</v>
      </c>
      <c r="L90" s="29">
        <f>IF(COUNT(L45,L43)&lt;2,"—",L45/L43)</f>
        <v>0.32199312714776634</v>
      </c>
      <c r="M90" s="29">
        <f>IF(COUNT(M45,M43)&lt;2,"—",M45/M43)</f>
        <v>0.32893847194050035</v>
      </c>
      <c r="N90" s="29">
        <f>IF(COUNT(N45,N43)&lt;2,"—",N45/N43)</f>
        <v>0.3081640475277884</v>
      </c>
      <c r="O90" s="29">
        <f>IF(COUNT(O45,O43)&lt;2,"—",O45/O43)</f>
        <v>0.3121852970795569</v>
      </c>
      <c r="P90" s="30" t="s">
        <v>2185</v>
      </c>
      <c r="Q90" s="30" t="s">
        <v>2186</v>
      </c>
    </row>
    <row r="91" spans="1:17">
      <c r="A91" s="23" t="s">
        <v>2187</v>
      </c>
      <c r="B91" s="11" t="s">
        <v>2188</v>
      </c>
      <c r="C91" s="11" t="s">
        <v>254</v>
      </c>
      <c r="D91" s="29">
        <f>IF(COUNT(D43,D44)&lt;2,"—",D43/D44-1)</f>
        <v>0.11220136518771331</v>
      </c>
      <c r="E91" s="29">
        <f>IF(COUNT(E43,E44)&lt;2,"—",E43/E44-1)</f>
        <v>0.08438818565400844</v>
      </c>
      <c r="F91" s="29">
        <f>IF(COUNT(F43,F44)&lt;2,"—",F43/F44-1)</f>
        <v>0.05915615484993476</v>
      </c>
      <c r="G91" s="29">
        <f>IF(COUNT(G43,G44)&lt;2,"—",G43/G44-1)</f>
        <v>-0.0036496350364963502</v>
      </c>
      <c r="H91" s="29">
        <f>IF(COUNT(H43,H44)&lt;2,"—",H43/H44-1)</f>
        <v>0.06367472190257001</v>
      </c>
      <c r="I91" s="29">
        <f>IF(COUNT(I43,I44)&lt;2,"—",I43/I44-1)</f>
        <v>0.09684392563769996</v>
      </c>
      <c r="J91" s="29">
        <f>IF(COUNT(J43,J44)&lt;2,"—",J43/J44-1)</f>
        <v>0.11252566735112936</v>
      </c>
      <c r="K91" s="29">
        <f>IF(COUNT(K43,K44)&lt;2,"—",K43/K44-1)</f>
        <v>-0.4595034595034595</v>
      </c>
      <c r="L91" s="29">
        <f>IF(COUNT(L43,L44)&lt;2,"—",L43/L44-1)</f>
        <v>0.04940497655968266</v>
      </c>
      <c r="M91" s="29">
        <f>IF(COUNT(M43,M44)&lt;2,"—",M43/M44-1)</f>
        <v>0.16594402837997635</v>
      </c>
      <c r="N91" s="29">
        <f>IF(COUNT(N43,N44)&lt;2,"—",N43/N44-1)</f>
        <v>-0.0369139904023625</v>
      </c>
      <c r="O91" s="29">
        <f>IF(COUNT(O43,O44)&lt;2,"—",O43/O44-1)</f>
        <v>1.243222891566265</v>
      </c>
      <c r="P91" s="30" t="s">
        <v>2189</v>
      </c>
      <c r="Q91" s="30" t="s">
        <v>2101</v>
      </c>
    </row>
    <row r="92" spans="1:17">
      <c r="A92" s="23" t="s">
        <v>2190</v>
      </c>
      <c r="B92" s="11" t="s">
        <v>2191</v>
      </c>
      <c r="C92" s="11" t="s">
        <v>254</v>
      </c>
      <c r="D92" s="29">
        <f>IF(COUNT(D45,D46)&lt;2,"—",D45/D46-1)</f>
        <v>0.11093247588424437</v>
      </c>
      <c r="E92" s="29">
        <f>IF(COUNT(E45,E46)&lt;2,"—",E45/E46-1)</f>
        <v>0.14473684210526316</v>
      </c>
      <c r="F92" s="29">
        <f>IF(COUNT(F45,F46)&lt;2,"—",F45/F46-1)</f>
        <v>0.09427609427609428</v>
      </c>
      <c r="G92" s="29">
        <f>IF(COUNT(G45,G46)&lt;2,"—",G45/G46-1)</f>
        <v>0.07044410413476264</v>
      </c>
      <c r="H92" s="29">
        <f>IF(COUNT(H45,H46)&lt;2,"—",H45/H46-1)</f>
        <v>0.05788712011577424</v>
      </c>
      <c r="I92" s="29">
        <f>IF(COUNT(I45,I46)&lt;2,"—",I45/I46-1)</f>
        <v>0.06752873563218391</v>
      </c>
      <c r="J92" s="29">
        <f>IF(COUNT(J45,J46)&lt;2,"—",J45/J46-1)</f>
        <v>0.15846153846153846</v>
      </c>
      <c r="K92" s="29">
        <f>IF(COUNT(K45,K46)&lt;2,"—",K45/K46-1)</f>
        <v>-0.21888412017167383</v>
      </c>
      <c r="L92" s="29">
        <f>IF(COUNT(L45,L46)&lt;2,"—",L45/L46-1)</f>
        <v>0.2818057455540356</v>
      </c>
      <c r="M92" s="29">
        <f>IF(COUNT(M45,M46)&lt;2,"—",M45/M46-1)</f>
        <v>0.30955585464333785</v>
      </c>
      <c r="N92" s="29">
        <f>IF(COUNT(N45,N46)&lt;2,"—",N45/N46-1)</f>
        <v>0.06772908366533864</v>
      </c>
      <c r="O92" s="29">
        <f>IF(COUNT(O45,O46)&lt;2,"—",O45/O46-1)</f>
        <v>0.7032967032967034</v>
      </c>
      <c r="P92" s="30" t="s">
        <v>2192</v>
      </c>
      <c r="Q92" s="30" t="s">
        <v>2178</v>
      </c>
    </row>
    <row r="93" spans="1:17">
      <c r="A93" s="23" t="s">
        <v>2196</v>
      </c>
      <c r="B93" s="11" t="s">
        <v>2197</v>
      </c>
      <c r="C93" s="11" t="s">
        <v>254</v>
      </c>
      <c r="D93" s="29">
        <f>IF(COUNT(D50,D48)&lt;2,"—",D50/D48)</f>
        <v>0.36838288614938364</v>
      </c>
      <c r="E93" s="29">
        <f>IF(COUNT(E50,E48)&lt;2,"—",E50/E48)</f>
        <v>0.41904145077720206</v>
      </c>
      <c r="F93" s="29">
        <f>IF(COUNT(F50,F48)&lt;2,"—",F50/F48)</f>
        <v>0.4105793450881612</v>
      </c>
      <c r="G93" s="29">
        <f>IF(COUNT(G50,G48)&lt;2,"—",G50/G48)</f>
        <v>0.39776075427224517</v>
      </c>
      <c r="H93" s="29">
        <f>IF(COUNT(H50,H48)&lt;2,"—",H50/H48)</f>
        <v>0.4127456819535438</v>
      </c>
      <c r="I93" s="29">
        <f>IF(COUNT(I50,I48)&lt;2,"—",I50/I48)</f>
        <v>0.4434217650243638</v>
      </c>
      <c r="J93" s="29">
        <f>IF(COUNT(J50,J48)&lt;2,"—",J50/J48)</f>
        <v>0.4150066401062417</v>
      </c>
      <c r="K93" s="29">
        <f>IF(COUNT(K50,K48)&lt;2,"—",K50/K48)</f>
        <v>0.44869459623557983</v>
      </c>
      <c r="L93" s="29">
        <f>IF(COUNT(L50,L48)&lt;2,"—",L50/L48)</f>
        <v>0.4584269662921348</v>
      </c>
      <c r="M93" s="29">
        <f>IF(COUNT(M50,M48)&lt;2,"—",M50/M48)</f>
        <v>0.4956483899042646</v>
      </c>
      <c r="N93" s="29">
        <f>IF(COUNT(N50,N48)&lt;2,"—",N50/N48)</f>
        <v>0.443176831943835</v>
      </c>
      <c r="O93" s="29">
        <f>IF(COUNT(O50,O48)&lt;2,"—",O50/O48)</f>
        <v>0.42007242628039315</v>
      </c>
      <c r="P93" s="30" t="s">
        <v>2198</v>
      </c>
      <c r="Q93" s="30" t="s">
        <v>2199</v>
      </c>
    </row>
    <row r="94" spans="1:17">
      <c r="A94" s="23" t="s">
        <v>2200</v>
      </c>
      <c r="B94" s="11" t="s">
        <v>2201</v>
      </c>
      <c r="C94" s="11" t="s">
        <v>254</v>
      </c>
      <c r="D94" s="29">
        <f>IF(COUNT(D48,D49)&lt;2,"—",D48/D49-1)</f>
        <v>0.24458483754512636</v>
      </c>
      <c r="E94" s="29">
        <f>IF(COUNT(E48,E49)&lt;2,"—",E48/E49-1)</f>
        <v>0.2635024549918167</v>
      </c>
      <c r="F94" s="29">
        <f>IF(COUNT(F48,F49)&lt;2,"—",F48/F49-1)</f>
        <v>0.18862275449101795</v>
      </c>
      <c r="G94" s="29">
        <f>IF(COUNT(G48,G49)&lt;2,"—",G48/G49-1)</f>
        <v>0.15599455040871935</v>
      </c>
      <c r="H94" s="29">
        <f>IF(COUNT(H48,H49)&lt;2,"—",H48/H49-1)</f>
        <v>0.21754894851341552</v>
      </c>
      <c r="I94" s="29">
        <f>IF(COUNT(I48,I49)&lt;2,"—",I48/I49-1)</f>
        <v>0.19624352331606218</v>
      </c>
      <c r="J94" s="29">
        <f>IF(COUNT(J48,J49)&lt;2,"—",J48/J49-1)</f>
        <v>-0.05163727959697733</v>
      </c>
      <c r="K94" s="29">
        <f>IF(COUNT(K48,K49)&lt;2,"—",K48/K49-1)</f>
        <v>-0.02946375957572186</v>
      </c>
      <c r="L94" s="29">
        <f>IF(COUNT(L48,L49)&lt;2,"—",L48/L49-1)</f>
        <v>0.06015485407980941</v>
      </c>
      <c r="M94" s="29">
        <f>IF(COUNT(M48,M49)&lt;2,"—",M48/M49-1)</f>
        <v>0.2441797509474824</v>
      </c>
      <c r="N94" s="29">
        <f>IF(COUNT(N48,N49)&lt;2,"—",N48/N49-1)</f>
        <v>0.5132802124833997</v>
      </c>
      <c r="O94" s="29">
        <f>IF(COUNT(O48,O49)&lt;2,"—",O48/O49-1)</f>
        <v>0.17364905889496055</v>
      </c>
      <c r="P94" s="30" t="s">
        <v>2202</v>
      </c>
      <c r="Q94" s="30" t="s">
        <v>2101</v>
      </c>
    </row>
    <row r="95" spans="1:17">
      <c r="A95" s="23" t="s">
        <v>2203</v>
      </c>
      <c r="B95" s="11" t="s">
        <v>2204</v>
      </c>
      <c r="C95" s="11" t="s">
        <v>254</v>
      </c>
      <c r="D95" s="29">
        <f>IF(COUNT(D50,D51)&lt;2,"—",D50/D51-1)</f>
        <v>0.3439153439153439</v>
      </c>
      <c r="E95" s="29">
        <f>IF(COUNT(E50,E51)&lt;2,"—",E50/E51-1)</f>
        <v>0.2587548638132296</v>
      </c>
      <c r="F95" s="29">
        <f>IF(COUNT(F50,F51)&lt;2,"—",F50/F51-1)</f>
        <v>0.3360655737704918</v>
      </c>
      <c r="G95" s="29">
        <f>IF(COUNT(G50,G51)&lt;2,"—",G50/G51-1)</f>
        <v>0.25464684014869887</v>
      </c>
      <c r="H95" s="29">
        <f>IF(COUNT(H50,H51)&lt;2,"—",H50/H51-1)</f>
        <v>0.3641732283464567</v>
      </c>
      <c r="I95" s="29">
        <f>IF(COUNT(I50,I51)&lt;2,"—",I50/I51-1)</f>
        <v>0.26584234930448225</v>
      </c>
      <c r="J95" s="29">
        <f>IF(COUNT(J50,J51)&lt;2,"—",J50/J51-1)</f>
        <v>-0.04141104294478527</v>
      </c>
      <c r="K95" s="29">
        <f>IF(COUNT(K50,K51)&lt;2,"—",K50/K51-1)</f>
        <v>0.09481481481481481</v>
      </c>
      <c r="L95" s="29">
        <f>IF(COUNT(L50,L51)&lt;2,"—",L50/L51-1)</f>
        <v>0.1774891774891775</v>
      </c>
      <c r="M95" s="29">
        <f>IF(COUNT(M50,M51)&lt;2,"—",M50/M51-1)</f>
        <v>0.3907203907203907</v>
      </c>
      <c r="N95" s="29">
        <f>IF(COUNT(N50,N51)&lt;2,"—",N50/N51-1)</f>
        <v>0.616</v>
      </c>
      <c r="O95" s="29">
        <f>IF(COUNT(O50,O51)&lt;2,"—",O50/O51-1)</f>
        <v>0.09878213802435724</v>
      </c>
      <c r="P95" s="30" t="s">
        <v>2205</v>
      </c>
      <c r="Q95" s="30" t="s">
        <v>2178</v>
      </c>
    </row>
    <row r="96" spans="1:17">
      <c r="A96" s="23" t="s">
        <v>2209</v>
      </c>
      <c r="B96" s="11" t="s">
        <v>2210</v>
      </c>
      <c r="C96" s="11" t="s">
        <v>254</v>
      </c>
      <c r="D96" s="29">
        <f>IF(COUNT(D55,D53)&lt;2,"—",D55/D53)</f>
        <v>0.26456692913385826</v>
      </c>
      <c r="E96" s="29">
        <f>IF(COUNT(E55,E53)&lt;2,"—",E55/E53)</f>
        <v>0.2781201848998459</v>
      </c>
      <c r="F96" s="29">
        <f>IF(COUNT(F55,F53)&lt;2,"—",F55/F53)</f>
        <v>0.3068094873756695</v>
      </c>
      <c r="G96" s="29">
        <f>IF(COUNT(G55,G53)&lt;2,"—",G55/G53)</f>
        <v>0.29731689630166785</v>
      </c>
      <c r="H96" s="29">
        <f>IF(COUNT(H55,H53)&lt;2,"—",H55/H53)</f>
        <v>0.2936802973977695</v>
      </c>
      <c r="I96" s="29">
        <f>IF(COUNT(I55,I53)&lt;2,"—",I55/I53)</f>
        <v>0.30381471389645776</v>
      </c>
      <c r="J96" s="29">
        <f>IF(COUNT(J55,J53)&lt;2,"—",J55/J53)</f>
        <v>0.326025459688826</v>
      </c>
      <c r="K96" s="29">
        <f>IF(COUNT(K55,K53)&lt;2,"—",K55/K53)</f>
        <v>0.3970037453183521</v>
      </c>
      <c r="L96" s="29">
        <f>IF(COUNT(L55,L53)&lt;2,"—",L55/L53)</f>
        <v>0.35577797998180166</v>
      </c>
      <c r="M96" s="29">
        <f>IF(COUNT(M55,M53)&lt;2,"—",M55/M53)</f>
        <v>0.3711760707002039</v>
      </c>
      <c r="N96" s="29">
        <f>IF(COUNT(N55,N53)&lt;2,"—",N55/N53)</f>
        <v>0.35665399239543727</v>
      </c>
      <c r="O96" s="29">
        <f>IF(COUNT(O55,O53)&lt;2,"—",O55/O53)</f>
        <v>0.3772290809327846</v>
      </c>
      <c r="P96" s="30" t="s">
        <v>2211</v>
      </c>
      <c r="Q96" s="30" t="s">
        <v>2212</v>
      </c>
    </row>
    <row r="97" spans="1:17">
      <c r="A97" s="23" t="s">
        <v>2213</v>
      </c>
      <c r="B97" s="11" t="s">
        <v>2214</v>
      </c>
      <c r="C97" s="11" t="s">
        <v>254</v>
      </c>
      <c r="D97" s="29">
        <f>IF(COUNT(D53,D54)&lt;2,"—",D53/D54-1)</f>
        <v>0.06812447434819176</v>
      </c>
      <c r="E97" s="29">
        <f>IF(COUNT(E53,E54)&lt;2,"—",E53/E54-1)</f>
        <v>0.019638648860958365</v>
      </c>
      <c r="F97" s="29">
        <f>IF(COUNT(F53,F54)&lt;2,"—",F53/F54-1)</f>
        <v>0.030757097791798107</v>
      </c>
      <c r="G97" s="29">
        <f>IF(COUNT(G53,G54)&lt;2,"—",G53/G54-1)</f>
        <v>-0.03969359331476323</v>
      </c>
      <c r="H97" s="29">
        <f>IF(COUNT(H53,H54)&lt;2,"—",H53/H54-1)</f>
        <v>0.05905511811023622</v>
      </c>
      <c r="I97" s="29">
        <f>IF(COUNT(I53,I54)&lt;2,"—",I53/I54-1)</f>
        <v>0.13097072419106318</v>
      </c>
      <c r="J97" s="29">
        <f>IF(COUNT(J53,J54)&lt;2,"—",J53/J54-1)</f>
        <v>0.08186687069625095</v>
      </c>
      <c r="K97" s="29">
        <f>IF(COUNT(K53,K54)&lt;2,"—",K53/K54-1)</f>
        <v>-0.4191443074691806</v>
      </c>
      <c r="L97" s="29">
        <f>IF(COUNT(L53,L54)&lt;2,"—",L53/L54-1)</f>
        <v>-0.1828996282527881</v>
      </c>
      <c r="M97" s="29">
        <f>IF(COUNT(M53,M54)&lt;2,"—",M53/M54-1)</f>
        <v>0.0020435967302452314</v>
      </c>
      <c r="N97" s="29">
        <f>IF(COUNT(N53,N54)&lt;2,"—",N53/N54-1)</f>
        <v>-0.07001414427157002</v>
      </c>
      <c r="O97" s="29">
        <f>IF(COUNT(O53,O54)&lt;2,"—",O53/O54-1)</f>
        <v>0.8202247191011236</v>
      </c>
      <c r="P97" s="30" t="s">
        <v>2215</v>
      </c>
      <c r="Q97" s="30" t="s">
        <v>2101</v>
      </c>
    </row>
    <row r="98" spans="1:17">
      <c r="A98" s="23" t="s">
        <v>2216</v>
      </c>
      <c r="B98" s="11" t="s">
        <v>2217</v>
      </c>
      <c r="C98" s="11" t="s">
        <v>254</v>
      </c>
      <c r="D98" s="29">
        <f>IF(COUNT(D55,D56)&lt;2,"—",D55/D56-1)</f>
        <v>0.12</v>
      </c>
      <c r="E98" s="29">
        <f>IF(COUNT(E55,E56)&lt;2,"—",E55/E56-1)</f>
        <v>0.15335463258785942</v>
      </c>
      <c r="F98" s="29">
        <f>IF(COUNT(F55,F56)&lt;2,"—",F55/F56-1)</f>
        <v>0.17941176470588235</v>
      </c>
      <c r="G98" s="29">
        <f>IF(COUNT(G55,G56)&lt;2,"—",G55/G56-1)</f>
        <v>0.06770833333333333</v>
      </c>
      <c r="H98" s="29">
        <f>IF(COUNT(H55,H56)&lt;2,"—",H55/H56-1)</f>
        <v>0.17559523809523808</v>
      </c>
      <c r="I98" s="29">
        <f>IF(COUNT(I55,I56)&lt;2,"—",I55/I56-1)</f>
        <v>0.23545706371191136</v>
      </c>
      <c r="J98" s="29">
        <f>IF(COUNT(J55,J56)&lt;2,"—",J55/J56-1)</f>
        <v>0.14962593516209477</v>
      </c>
      <c r="K98" s="29">
        <f>IF(COUNT(K55,K56)&lt;2,"—",K55/K56-1)</f>
        <v>-0.22439024390243903</v>
      </c>
      <c r="L98" s="29">
        <f>IF(COUNT(L55,L56)&lt;2,"—",L55/L56-1)</f>
        <v>-0.010126582278481013</v>
      </c>
      <c r="M98" s="29">
        <f>IF(COUNT(M55,M56)&lt;2,"—",M55/M56-1)</f>
        <v>0.2242152466367713</v>
      </c>
      <c r="N98" s="29">
        <f>IF(COUNT(N55,N56)&lt;2,"—",N55/N56-1)</f>
        <v>0.01735357917570499</v>
      </c>
      <c r="O98" s="29">
        <f>IF(COUNT(O55,O56)&lt;2,"—",O55/O56-1)</f>
        <v>0.7295597484276729</v>
      </c>
      <c r="P98" s="30" t="s">
        <v>2218</v>
      </c>
      <c r="Q98" s="30" t="s">
        <v>2178</v>
      </c>
    </row>
    <row r="100" spans="1:17">
      <c r="A100" s="22"/>
      <c r="B100" s="22" t="s">
        <v>2222</v>
      </c>
      <c r="C100" s="22"/>
      <c r="D100" s="22"/>
      <c r="E100" s="22"/>
      <c r="F100" s="22"/>
      <c r="G100" s="22"/>
      <c r="H100" s="22"/>
      <c r="I100" s="22"/>
      <c r="J100" s="22"/>
      <c r="K100" s="22"/>
      <c r="L100" s="22"/>
      <c r="M100" s="22"/>
      <c r="N100" s="22"/>
      <c r="O100" s="22"/>
      <c r="P100" s="22"/>
      <c r="Q100" s="22"/>
    </row>
    <row r="101" spans="1:17">
      <c r="A101" s="23" t="s">
        <v>2223</v>
      </c>
      <c r="B101" s="11" t="s">
        <v>2224</v>
      </c>
      <c r="C101" s="11" t="s">
        <v>71</v>
      </c>
      <c r="D101" s="34">
        <f>IF(COUNT(D7,D9,D10)&lt;3,"—",D7-D9-D10)</f>
        <v>0.0</v>
      </c>
      <c r="E101" s="34">
        <f>IF(COUNT(E7,E9,E10)&lt;3,"—",E7-E9-E10)</f>
        <v>0.0</v>
      </c>
      <c r="F101" s="34">
        <f>IF(COUNT(F7,F9,F10)&lt;3,"—",F7-F9-F10)</f>
        <v>0.0</v>
      </c>
      <c r="G101" s="34">
        <f>IF(COUNT(G7,G9,G10)&lt;3,"—",G7-G9-G10)</f>
        <v>0.0</v>
      </c>
      <c r="H101" s="34">
        <f>IF(COUNT(H7,H9,H10)&lt;3,"—",H7-H9-H10)</f>
        <v>0.0</v>
      </c>
      <c r="I101" s="34">
        <f>IF(COUNT(I7,I9,I10)&lt;3,"—",I7-I9-I10)</f>
        <v>0.0</v>
      </c>
      <c r="J101" s="34">
        <f>IF(COUNT(J7,J9,J10)&lt;3,"—",J7-J9-J10)</f>
        <v>0.0</v>
      </c>
      <c r="K101" s="34">
        <f>IF(COUNT(K7,K9,K10)&lt;3,"—",K7-K9-K10)</f>
        <v>0.0</v>
      </c>
      <c r="L101" s="34">
        <f>IF(COUNT(L7,L9,L10)&lt;3,"—",L7-L9-L10)</f>
        <v>0.0</v>
      </c>
      <c r="M101" s="34">
        <f>IF(COUNT(M7,M9,M10)&lt;3,"—",M7-M9-M10)</f>
        <v>0.0</v>
      </c>
      <c r="N101" s="34">
        <f>IF(COUNT(N7,N9,N10)&lt;3,"—",N7-N9-N10)</f>
        <v>0.0</v>
      </c>
      <c r="O101" s="34">
        <f>IF(COUNT(O7,O9,O10)&lt;3,"—",O7-O9-O10)</f>
        <v>0.0</v>
      </c>
      <c r="P101" s="30" t="s">
        <v>2225</v>
      </c>
      <c r="Q101" s="36" t="str">
        <f>IF(AND(MAX(D101:O101)&lt;=1,MIN(D101:O101)&gt;=-1),"Đạt","Kiểm tra lại")</f>
        <v>Đạt</v>
      </c>
    </row>
    <row r="102" spans="1:17">
      <c r="A102" s="23" t="s">
        <v>2226</v>
      </c>
      <c r="B102" s="11" t="s">
        <v>2227</v>
      </c>
      <c r="C102" s="11" t="s">
        <v>71</v>
      </c>
      <c r="D102" s="34">
        <f>IF(COUNT(D11,D12,D13)&lt;3,"—",D11+D12-D13)</f>
        <v>0.0</v>
      </c>
      <c r="E102" s="34">
        <f>IF(COUNT(E11,E12,E13)&lt;3,"—",E11+E12-E13)</f>
        <v>0.0</v>
      </c>
      <c r="F102" s="34">
        <f>IF(COUNT(F11,F12,F13)&lt;3,"—",F11+F12-F13)</f>
        <v>0.0</v>
      </c>
      <c r="G102" s="34">
        <f>IF(COUNT(G11,G12,G13)&lt;3,"—",G11+G12-G13)</f>
        <v>0.0</v>
      </c>
      <c r="H102" s="34">
        <f>IF(COUNT(H11,H12,H13)&lt;3,"—",H11+H12-H13)</f>
        <v>0.0</v>
      </c>
      <c r="I102" s="34">
        <f>IF(COUNT(I11,I12,I13)&lt;3,"—",I11+I12-I13)</f>
        <v>0.0</v>
      </c>
      <c r="J102" s="34">
        <f>IF(COUNT(J11,J12,J13)&lt;3,"—",J11+J12-J13)</f>
        <v>0.0</v>
      </c>
      <c r="K102" s="34">
        <f>IF(COUNT(K11,K12,K13)&lt;3,"—",K11+K12-K13)</f>
        <v>0.0</v>
      </c>
      <c r="L102" s="34">
        <f>IF(COUNT(L11,L12,L13)&lt;3,"—",L11+L12-L13)</f>
        <v>0.0</v>
      </c>
      <c r="M102" s="34">
        <f>IF(COUNT(M11,M12,M13)&lt;3,"—",M11+M12-M13)</f>
        <v>0.0</v>
      </c>
      <c r="N102" s="34">
        <f>IF(COUNT(N11,N12,N13)&lt;3,"—",N11+N12-N13)</f>
        <v>0.0</v>
      </c>
      <c r="O102" s="34">
        <f>IF(COUNT(O11,O12,O13)&lt;3,"—",O11+O12-O13)</f>
        <v>0.0</v>
      </c>
      <c r="P102" s="30" t="s">
        <v>2228</v>
      </c>
      <c r="Q102" s="36" t="str">
        <f>IF(AND(MAX(D102:O102)&lt;=1,MIN(D102:O102)&gt;=-1),"Đạt","Kiểm tra lại")</f>
        <v>Đạt</v>
      </c>
    </row>
    <row r="103" spans="1:17">
      <c r="A103" s="23" t="s">
        <v>2229</v>
      </c>
      <c r="B103" s="11" t="s">
        <v>2230</v>
      </c>
      <c r="C103" s="11" t="s">
        <v>71</v>
      </c>
      <c r="D103" s="34">
        <f>IF(COUNT(D10,D13,D14,D15,D16)&lt;5,"—",D10-D13-D14-D15-D16)</f>
        <v>0.0</v>
      </c>
      <c r="E103" s="34">
        <f>IF(COUNT(E10,E13,E14,E15,E16)&lt;5,"—",E10-E13-E14-E15-E16)</f>
        <v>0.0</v>
      </c>
      <c r="F103" s="34">
        <f>IF(COUNT(F10,F13,F14,F15,F16)&lt;5,"—",F10-F13-F14-F15-F16)</f>
        <v>0.0</v>
      </c>
      <c r="G103" s="34">
        <f>IF(COUNT(G10,G13,G14,G15,G16)&lt;5,"—",G10-G13-G14-G15-G16)</f>
        <v>0.0</v>
      </c>
      <c r="H103" s="34">
        <f>IF(COUNT(H10,H13,H14,H15,H16)&lt;5,"—",H10-H13-H14-H15-H16)</f>
        <v>0.0</v>
      </c>
      <c r="I103" s="34">
        <f>IF(COUNT(I10,I13,I14,I15,I16)&lt;5,"—",I10-I13-I14-I15-I16)</f>
        <v>0.0</v>
      </c>
      <c r="J103" s="34">
        <f>IF(COUNT(J10,J13,J14,J15,J16)&lt;5,"—",J10-J13-J14-J15-J16)</f>
        <v>0.0</v>
      </c>
      <c r="K103" s="34">
        <f>IF(COUNT(K10,K13,K14,K15,K16)&lt;5,"—",K10-K13-K14-K15-K16)</f>
        <v>0.0</v>
      </c>
      <c r="L103" s="34">
        <f>IF(COUNT(L10,L13,L14,L15,L16)&lt;5,"—",L10-L13-L14-L15-L16)</f>
        <v>0.0</v>
      </c>
      <c r="M103" s="34">
        <f>IF(COUNT(M10,M13,M14,M15,M16)&lt;5,"—",M10-M13-M14-M15-M16)</f>
        <v>0.0</v>
      </c>
      <c r="N103" s="34">
        <f>IF(COUNT(N10,N13,N14,N15,N16)&lt;5,"—",N10-N13-N14-N15-N16)</f>
        <v>0.0</v>
      </c>
      <c r="O103" s="34">
        <f>IF(COUNT(O10,O13,O14,O15,O16)&lt;5,"—",O10-O13-O14-O15-O16)</f>
        <v>0.0</v>
      </c>
      <c r="P103" s="30" t="s">
        <v>2231</v>
      </c>
      <c r="Q103" s="36" t="str">
        <f>IF(AND(MAX(D103:O103)&lt;=2,MIN(D103:O103)&gt;=-2),"Đạt","Kiểm tra lại")</f>
        <v>Đạt</v>
      </c>
    </row>
    <row r="104" spans="1:17">
      <c r="A104" s="23" t="s">
        <v>2232</v>
      </c>
      <c r="B104" s="11" t="s">
        <v>2233</v>
      </c>
      <c r="C104" s="11" t="s">
        <v>71</v>
      </c>
      <c r="D104" s="34">
        <f>IF(COUNT(D16,D17,D18)&lt;3,"—",D16-D17-D18)</f>
        <v>0.0</v>
      </c>
      <c r="E104" s="34">
        <f>IF(COUNT(E16,E17,E18)&lt;3,"—",E16-E17-E18)</f>
        <v>0.0</v>
      </c>
      <c r="F104" s="34">
        <f>IF(COUNT(F16,F17,F18)&lt;3,"—",F16-F17-F18)</f>
        <v>0.0</v>
      </c>
      <c r="G104" s="34">
        <f>IF(COUNT(G16,G17,G18)&lt;3,"—",G16-G17-G18)</f>
        <v>0.0</v>
      </c>
      <c r="H104" s="34">
        <f>IF(COUNT(H16,H17,H18)&lt;3,"—",H16-H17-H18)</f>
        <v>0.0</v>
      </c>
      <c r="I104" s="34">
        <f>IF(COUNT(I16,I17,I18)&lt;3,"—",I16-I17-I18)</f>
        <v>0.0</v>
      </c>
      <c r="J104" s="34">
        <f>IF(COUNT(J16,J17,J18)&lt;3,"—",J16-J17-J18)</f>
        <v>0.0</v>
      </c>
      <c r="K104" s="34">
        <f>IF(COUNT(K16,K17,K18)&lt;3,"—",K16-K17-K18)</f>
        <v>0.0</v>
      </c>
      <c r="L104" s="34">
        <f>IF(COUNT(L16,L17,L18)&lt;3,"—",L16-L17-L18)</f>
        <v>0.0</v>
      </c>
      <c r="M104" s="34">
        <f>IF(COUNT(M16,M17,M18)&lt;3,"—",M16-M17-M18)</f>
        <v>0.0</v>
      </c>
      <c r="N104" s="34">
        <f>IF(COUNT(N16,N17,N18)&lt;3,"—",N16-N17-N18)</f>
        <v>0.0</v>
      </c>
      <c r="O104" s="34">
        <f>IF(COUNT(O16,O17,O18)&lt;3,"—",O16-O17-O18)</f>
        <v>0.0</v>
      </c>
      <c r="P104" s="30" t="s">
        <v>2234</v>
      </c>
      <c r="Q104" s="36" t="str">
        <f>IF(AND(MAX(D104:O104)&lt;=1,MIN(D104:O104)&gt;=-1),"Đạt","Kiểm tra lại")</f>
        <v>Đạt</v>
      </c>
    </row>
    <row r="105" spans="1:17">
      <c r="A105" s="23" t="s">
        <v>2235</v>
      </c>
      <c r="B105" s="11" t="s">
        <v>2236</v>
      </c>
      <c r="C105" s="11" t="s">
        <v>71</v>
      </c>
      <c r="D105" s="34">
        <f>IF(COUNT(D24,D26,D28,D29)&lt;4,"—",D24+D26+D28-D29)</f>
        <v>0.0</v>
      </c>
      <c r="E105" s="34">
        <f>IF(COUNT(E24,E26,E28,E29)&lt;4,"—",E24+E26+E28-E29)</f>
        <v>0.0</v>
      </c>
      <c r="F105" s="34">
        <f>IF(COUNT(F24,F26,F28,F29)&lt;4,"—",F24+F26+F28-F29)</f>
        <v>0.0</v>
      </c>
      <c r="G105" s="34">
        <f>IF(COUNT(G24,G26,G28,G29)&lt;4,"—",G24+G26+G28-G29)</f>
        <v>0.0</v>
      </c>
      <c r="H105" s="34">
        <f>IF(COUNT(H24,H26,H28,H29)&lt;4,"—",H24+H26+H28-H29)</f>
        <v>0.0</v>
      </c>
      <c r="I105" s="34">
        <f>IF(COUNT(I24,I26,I28,I29)&lt;4,"—",I24+I26+I28-I29)</f>
        <v>0.0</v>
      </c>
      <c r="J105" s="34">
        <f>IF(COUNT(J24,J26,J28,J29)&lt;4,"—",J24+J26+J28-J29)</f>
        <v>0.0</v>
      </c>
      <c r="K105" s="34">
        <f>IF(COUNT(K24,K26,K28,K29)&lt;4,"—",K24+K26+K28-K29)</f>
        <v>0.0</v>
      </c>
      <c r="L105" s="34">
        <f>IF(COUNT(L24,L26,L28,L29)&lt;4,"—",L24+L26+L28-L29)</f>
        <v>0.0</v>
      </c>
      <c r="M105" s="34">
        <f>IF(COUNT(M24,M26,M28,M29)&lt;4,"—",M24+M26+M28-M29)</f>
        <v>0.0</v>
      </c>
      <c r="N105" s="34">
        <f>IF(COUNT(N24,N26,N28,N29)&lt;4,"—",N24+N26+N28-N29)</f>
        <v>0.0</v>
      </c>
      <c r="O105" s="34">
        <f>IF(COUNT(O24,O26,O28,O29)&lt;4,"—",O24+O26+O28-O29)</f>
        <v>0.0</v>
      </c>
      <c r="P105" s="30" t="s">
        <v>2237</v>
      </c>
      <c r="Q105" s="36" t="str">
        <f>IF(AND(MAX(D105:O105)&lt;=1,MIN(D105:O105)&gt;=-1),"Đạt","Kiểm tra lại")</f>
        <v>Đạt</v>
      </c>
    </row>
    <row r="106" spans="1:17">
      <c r="A106" s="23" t="s">
        <v>2238</v>
      </c>
      <c r="B106" s="11" t="s">
        <v>2239</v>
      </c>
      <c r="C106" s="11" t="s">
        <v>71</v>
      </c>
      <c r="D106" s="34">
        <f>IF(COUNT(D29,D31,D32,D7)&lt;4,"—",D29+D31+D32-D7)</f>
        <v>0.0</v>
      </c>
      <c r="E106" s="34">
        <f>IF(COUNT(E29,E31,E32,E7)&lt;4,"—",E29+E31+E32-E7)</f>
        <v>0.0</v>
      </c>
      <c r="F106" s="34">
        <f>IF(COUNT(F29,F31,F32,F7)&lt;4,"—",F29+F31+F32-F7)</f>
        <v>0.0</v>
      </c>
      <c r="G106" s="34">
        <f>IF(COUNT(G29,G31,G32,G7)&lt;4,"—",G29+G31+G32-G7)</f>
        <v>0.0</v>
      </c>
      <c r="H106" s="34">
        <f>IF(COUNT(H29,H31,H32,H7)&lt;4,"—",H29+H31+H32-H7)</f>
        <v>0.0</v>
      </c>
      <c r="I106" s="34">
        <f>IF(COUNT(I29,I31,I32,I7)&lt;4,"—",I29+I31+I32-I7)</f>
        <v>0.0</v>
      </c>
      <c r="J106" s="34">
        <f>IF(COUNT(J29,J31,J32,J7)&lt;4,"—",J29+J31+J32-J7)</f>
        <v>0.0</v>
      </c>
      <c r="K106" s="34">
        <f>IF(COUNT(K29,K31,K32,K7)&lt;4,"—",K29+K31+K32-K7)</f>
        <v>0.0</v>
      </c>
      <c r="L106" s="34">
        <f>IF(COUNT(L29,L31,L32,L7)&lt;4,"—",L29+L31+L32-L7)</f>
        <v>0.0</v>
      </c>
      <c r="M106" s="34">
        <f>IF(COUNT(M29,M31,M32,M7)&lt;4,"—",M29+M31+M32-M7)</f>
        <v>0.0</v>
      </c>
      <c r="N106" s="34">
        <f>IF(COUNT(N29,N31,N32,N7)&lt;4,"—",N29+N31+N32-N7)</f>
        <v>0.0</v>
      </c>
      <c r="O106" s="34">
        <f>IF(COUNT(O29,O31,O32,O7)&lt;4,"—",O29+O31+O32-O7)</f>
        <v>0.0</v>
      </c>
      <c r="P106" s="30" t="s">
        <v>2240</v>
      </c>
      <c r="Q106" s="36" t="str">
        <f>IF(AND(MAX(D106:O106)&lt;=1,MIN(D106:O106)&gt;=-1),"Đạt","Kiểm tra lại")</f>
        <v>Đạt</v>
      </c>
    </row>
    <row r="107" spans="1:17">
      <c r="A107" s="23" t="s">
        <v>2241</v>
      </c>
      <c r="B107" s="11" t="s">
        <v>2242</v>
      </c>
      <c r="C107" s="11" t="s">
        <v>71</v>
      </c>
      <c r="D107" s="34">
        <f>IF(COUNT(D79,D22)&lt;2,"—",D79-D22)</f>
        <v>0.0</v>
      </c>
      <c r="E107" s="34">
        <f>IF(COUNT(E79,E22)&lt;2,"—",E79-E22)</f>
        <v>0.0</v>
      </c>
      <c r="F107" s="34">
        <f>IF(COUNT(F79,F22)&lt;2,"—",F79-F22)</f>
        <v>0.0</v>
      </c>
      <c r="G107" s="34">
        <f>IF(COUNT(G79,G22)&lt;2,"—",G79-G22)</f>
        <v>0.0</v>
      </c>
      <c r="H107" s="34">
        <f>IF(COUNT(H79,H22)&lt;2,"—",H79-H22)</f>
        <v>0.0</v>
      </c>
      <c r="I107" s="34">
        <f>IF(COUNT(I79,I22)&lt;2,"—",I79-I22)</f>
        <v>0.0</v>
      </c>
      <c r="J107" s="34">
        <f>IF(COUNT(J79,J22)&lt;2,"—",J79-J22)</f>
        <v>0.0</v>
      </c>
      <c r="K107" s="34">
        <f>IF(COUNT(K79,K22)&lt;2,"—",K79-K22)</f>
        <v>0.0</v>
      </c>
      <c r="L107" s="34">
        <f>IF(COUNT(L79,L22)&lt;2,"—",L79-L22)</f>
        <v>0.0</v>
      </c>
      <c r="M107" s="34">
        <f>IF(COUNT(M79,M22)&lt;2,"—",M79-M22)</f>
        <v>0.0</v>
      </c>
      <c r="N107" s="34">
        <f>IF(COUNT(N79,N22)&lt;2,"—",N79-N22)</f>
        <v>0.0</v>
      </c>
      <c r="O107" s="34">
        <f>IF(COUNT(O79,O22)&lt;2,"—",O79-O22)</f>
        <v>0.0</v>
      </c>
      <c r="P107" s="30" t="s">
        <v>2243</v>
      </c>
      <c r="Q107" s="36" t="str">
        <f>IF(AND(MAX(D107:O107)&lt;=1,MIN(D107:O107)&gt;=-1),"Đạt","Kiểm tra lại")</f>
        <v>Đạt</v>
      </c>
    </row>
    <row r="108" spans="1:17">
      <c r="A108" s="23" t="s">
        <v>2244</v>
      </c>
      <c r="B108" s="11" t="s">
        <v>2245</v>
      </c>
      <c r="C108" s="11" t="s">
        <v>71</v>
      </c>
      <c r="D108" s="34">
        <f>IF(COUNT(D38,D43,D48,D53,D28,D29)&lt;6,"—",D38+D43+D48+D53+D28-D29)</f>
        <v>0.0</v>
      </c>
      <c r="E108" s="34">
        <f>IF(COUNT(E38,E43,E48,E53,E28,E29)&lt;6,"—",E38+E43+E48+E53+E28-E29)</f>
        <v>0.0</v>
      </c>
      <c r="F108" s="34">
        <f>IF(COUNT(F38,F43,F48,F53,F28,F29)&lt;6,"—",F38+F43+F48+F53+F28-F29)</f>
        <v>0.0</v>
      </c>
      <c r="G108" s="34">
        <f>IF(COUNT(G38,G43,G48,G53,G28,G29)&lt;6,"—",G38+G43+G48+G53+G28-G29)</f>
        <v>0.0</v>
      </c>
      <c r="H108" s="34">
        <f>IF(COUNT(H38,H43,H48,H53,H28,H29)&lt;6,"—",H38+H43+H48+H53+H28-H29)</f>
        <v>0.0</v>
      </c>
      <c r="I108" s="34">
        <f>IF(COUNT(I38,I43,I48,I53,I28,I29)&lt;6,"—",I38+I43+I48+I53+I28-I29)</f>
        <v>0.0</v>
      </c>
      <c r="J108" s="34">
        <f>IF(COUNT(J38,J43,J48,J53,J28,J29)&lt;6,"—",J38+J43+J48+J53+J28-J29)</f>
        <v>0.0</v>
      </c>
      <c r="K108" s="34">
        <f>IF(COUNT(K38,K43,K48,K53,K28,K29)&lt;6,"—",K38+K43+K48+K53+K28-K29)</f>
        <v>0.0</v>
      </c>
      <c r="L108" s="34">
        <f>IF(COUNT(L38,L43,L48,L53,L28,L29)&lt;6,"—",L38+L43+L48+L53+L28-L29)</f>
        <v>0.0</v>
      </c>
      <c r="M108" s="34">
        <f>IF(COUNT(M38,M43,M48,M53,M28,M29)&lt;6,"—",M38+M43+M48+M53+M28-M29)</f>
        <v>0.0</v>
      </c>
      <c r="N108" s="34">
        <f>IF(COUNT(N38,N43,N48,N53,N28,N29)&lt;6,"—",N38+N43+N48+N53+N28-N29)</f>
        <v>0.0</v>
      </c>
      <c r="O108" s="34">
        <f>IF(COUNT(O38,O43,O48,O53,O28,O29)&lt;6,"—",O38+O43+O48+O53+O28-O29)</f>
        <v>0.0</v>
      </c>
      <c r="P108" s="30" t="s">
        <v>2246</v>
      </c>
      <c r="Q108" s="36" t="str">
        <f>IF(AND(MAX(D108:O108)&lt;=2,MIN(D108:O108)&gt;=-2),"Đạt","Kiểm tra lại")</f>
        <v>Đạt</v>
      </c>
    </row>
    <row r="109" spans="1:17">
      <c r="A109" s="23" t="s">
        <v>2247</v>
      </c>
      <c r="B109" s="11" t="s">
        <v>2248</v>
      </c>
      <c r="C109" s="11" t="s">
        <v>71</v>
      </c>
      <c r="D109" s="34">
        <f>IF(COUNT(D40,D45,D50,D55,D24)&lt;5,"—",D40+D45+D50+D55-D24)</f>
        <v>0.0</v>
      </c>
      <c r="E109" s="34">
        <f>IF(COUNT(E40,E45,E50,E55,E24)&lt;5,"—",E40+E45+E50+E55-E24)</f>
        <v>0.0</v>
      </c>
      <c r="F109" s="34">
        <f>IF(COUNT(F40,F45,F50,F55,F24)&lt;5,"—",F40+F45+F50+F55-F24)</f>
        <v>0.0</v>
      </c>
      <c r="G109" s="34">
        <f>IF(COUNT(G40,G45,G50,G55,G24)&lt;5,"—",G40+G45+G50+G55-G24)</f>
        <v>0.0</v>
      </c>
      <c r="H109" s="34">
        <f>IF(COUNT(H40,H45,H50,H55,H24)&lt;5,"—",H40+H45+H50+H55-H24)</f>
        <v>0.0</v>
      </c>
      <c r="I109" s="34">
        <f>IF(COUNT(I40,I45,I50,I55,I24)&lt;5,"—",I40+I45+I50+I55-I24)</f>
        <v>0.0</v>
      </c>
      <c r="J109" s="34">
        <f>IF(COUNT(J40,J45,J50,J55,J24)&lt;5,"—",J40+J45+J50+J55-J24)</f>
        <v>0.0</v>
      </c>
      <c r="K109" s="34">
        <f>IF(COUNT(K40,K45,K50,K55,K24)&lt;5,"—",K40+K45+K50+K55-K24)</f>
        <v>0.0</v>
      </c>
      <c r="L109" s="34">
        <f>IF(COUNT(L40,L45,L50,L55,L24)&lt;5,"—",L40+L45+L50+L55-L24)</f>
        <v>0.0</v>
      </c>
      <c r="M109" s="34">
        <f>IF(COUNT(M40,M45,M50,M55,M24)&lt;5,"—",M40+M45+M50+M55-M24)</f>
        <v>0.0</v>
      </c>
      <c r="N109" s="34">
        <f>IF(COUNT(N40,N45,N50,N55,N24)&lt;5,"—",N40+N45+N50+N55-N24)</f>
        <v>0.0</v>
      </c>
      <c r="O109" s="34">
        <f>IF(COUNT(O40,O45,O50,O55,O24)&lt;5,"—",O40+O45+O50+O55-O24)</f>
        <v>0.0</v>
      </c>
      <c r="P109" s="30" t="s">
        <v>2249</v>
      </c>
      <c r="Q109" s="36" t="str">
        <f>IF(AND(MAX(D109:O109)&lt;=2,MIN(D109:O109)&gt;=-2),"Đạt","Kiểm tra lại")</f>
        <v>Đạt</v>
      </c>
    </row>
    <row r="110" spans="1:17">
      <c r="A110" s="23" t="s">
        <v>2250</v>
      </c>
      <c r="B110" s="11" t="s">
        <v>2251</v>
      </c>
      <c r="C110" s="11" t="s">
        <v>71</v>
      </c>
      <c r="D110" s="34">
        <f>IF(COUNT(D42,D47,D52,D57,D26)&lt;5,"—",D42+D47+D52+D57-D26)</f>
        <v>0.0</v>
      </c>
      <c r="E110" s="34">
        <f>IF(COUNT(E42,E47,E52,E57,E26)&lt;5,"—",E42+E47+E52+E57-E26)</f>
        <v>0.0</v>
      </c>
      <c r="F110" s="34">
        <f>IF(COUNT(F42,F47,F52,F57,F26)&lt;5,"—",F42+F47+F52+F57-F26)</f>
        <v>0.0</v>
      </c>
      <c r="G110" s="34">
        <f>IF(COUNT(G42,G47,G52,G57,G26)&lt;5,"—",G42+G47+G52+G57-G26)</f>
        <v>0.0</v>
      </c>
      <c r="H110" s="34">
        <f>IF(COUNT(H42,H47,H52,H57,H26)&lt;5,"—",H42+H47+H52+H57-H26)</f>
        <v>0.0</v>
      </c>
      <c r="I110" s="34">
        <f>IF(COUNT(I42,I47,I52,I57,I26)&lt;5,"—",I42+I47+I52+I57-I26)</f>
        <v>0.0</v>
      </c>
      <c r="J110" s="34">
        <f>IF(COUNT(J42,J47,J52,J57,J26)&lt;5,"—",J42+J47+J52+J57-J26)</f>
        <v>0.0</v>
      </c>
      <c r="K110" s="34">
        <f>IF(COUNT(K42,K47,K52,K57,K26)&lt;5,"—",K42+K47+K52+K57-K26)</f>
        <v>0.0</v>
      </c>
      <c r="L110" s="34">
        <f>IF(COUNT(L42,L47,L52,L57,L26)&lt;5,"—",L42+L47+L52+L57-L26)</f>
        <v>0.0</v>
      </c>
      <c r="M110" s="34">
        <f>IF(COUNT(M42,M47,M52,M57,M26)&lt;5,"—",M42+M47+M52+M57-M26)</f>
        <v>0.0</v>
      </c>
      <c r="N110" s="34">
        <f>IF(COUNT(N42,N47,N52,N57,N26)&lt;5,"—",N42+N47+N52+N57-N26)</f>
        <v>0.0</v>
      </c>
      <c r="O110" s="34">
        <f>IF(COUNT(O42,O47,O52,O57,O26)&lt;5,"—",O42+O47+O52+O57-O26)</f>
        <v>0.0</v>
      </c>
      <c r="P110" s="30" t="s">
        <v>2252</v>
      </c>
      <c r="Q110" s="36" t="str">
        <f>IF(AND(MAX(D110:O110)&lt;=2,MIN(D110:O110)&gt;=-2),"Đạt","Kiểm tra lại")</f>
        <v>Đạt</v>
      </c>
    </row>
    <row r="111" spans="1:17">
      <c r="A111" s="23" t="s">
        <v>2253</v>
      </c>
      <c r="B111" s="11" t="s">
        <v>2254</v>
      </c>
      <c r="C111" s="11" t="s">
        <v>71</v>
      </c>
      <c r="D111" s="34">
        <f>IF(COUNT(D40,D42,D38)&lt;3,"—",D40+D42-D38)</f>
        <v>0.0</v>
      </c>
      <c r="E111" s="34">
        <f>IF(COUNT(E40,E42,E38)&lt;3,"—",E40+E42-E38)</f>
        <v>0.0</v>
      </c>
      <c r="F111" s="34">
        <f>IF(COUNT(F40,F42,F38)&lt;3,"—",F40+F42-F38)</f>
        <v>0.0</v>
      </c>
      <c r="G111" s="34">
        <f>IF(COUNT(G40,G42,G38)&lt;3,"—",G40+G42-G38)</f>
        <v>0.0</v>
      </c>
      <c r="H111" s="34">
        <f>IF(COUNT(H40,H42,H38)&lt;3,"—",H40+H42-H38)</f>
        <v>0.0</v>
      </c>
      <c r="I111" s="34">
        <f>IF(COUNT(I40,I42,I38)&lt;3,"—",I40+I42-I38)</f>
        <v>0.0</v>
      </c>
      <c r="J111" s="34">
        <f>IF(COUNT(J40,J42,J38)&lt;3,"—",J40+J42-J38)</f>
        <v>0.0</v>
      </c>
      <c r="K111" s="34">
        <f>IF(COUNT(K40,K42,K38)&lt;3,"—",K40+K42-K38)</f>
        <v>0.0</v>
      </c>
      <c r="L111" s="34">
        <f>IF(COUNT(L40,L42,L38)&lt;3,"—",L40+L42-L38)</f>
        <v>0.0</v>
      </c>
      <c r="M111" s="34">
        <f>IF(COUNT(M40,M42,M38)&lt;3,"—",M40+M42-M38)</f>
        <v>0.0</v>
      </c>
      <c r="N111" s="34">
        <f>IF(COUNT(N40,N42,N38)&lt;3,"—",N40+N42-N38)</f>
        <v>0.0</v>
      </c>
      <c r="O111" s="34">
        <f>IF(COUNT(O40,O42,O38)&lt;3,"—",O40+O42-O38)</f>
        <v>0.0</v>
      </c>
      <c r="P111" s="30" t="s">
        <v>2255</v>
      </c>
      <c r="Q111" s="36" t="str">
        <f>IF(AND(MAX(D111:O111)&lt;=1,MIN(D111:O111)&gt;=-1),"Đạt","Kiểm tra lại")</f>
        <v>Đạt</v>
      </c>
    </row>
    <row r="112" spans="1:17">
      <c r="A112" s="23" t="s">
        <v>2256</v>
      </c>
      <c r="B112" s="11" t="s">
        <v>2257</v>
      </c>
      <c r="C112" s="11" t="s">
        <v>71</v>
      </c>
      <c r="D112" s="34">
        <f>IF(COUNT(D45,D47,D43)&lt;3,"—",D45+D47-D43)</f>
        <v>0.0</v>
      </c>
      <c r="E112" s="34">
        <f>IF(COUNT(E45,E47,E43)&lt;3,"—",E45+E47-E43)</f>
        <v>0.0</v>
      </c>
      <c r="F112" s="34">
        <f>IF(COUNT(F45,F47,F43)&lt;3,"—",F45+F47-F43)</f>
        <v>0.0</v>
      </c>
      <c r="G112" s="34">
        <f>IF(COUNT(G45,G47,G43)&lt;3,"—",G45+G47-G43)</f>
        <v>0.0</v>
      </c>
      <c r="H112" s="34">
        <f>IF(COUNT(H45,H47,H43)&lt;3,"—",H45+H47-H43)</f>
        <v>0.0</v>
      </c>
      <c r="I112" s="34">
        <f>IF(COUNT(I45,I47,I43)&lt;3,"—",I45+I47-I43)</f>
        <v>0.0</v>
      </c>
      <c r="J112" s="34">
        <f>IF(COUNT(J45,J47,J43)&lt;3,"—",J45+J47-J43)</f>
        <v>0.0</v>
      </c>
      <c r="K112" s="34">
        <f>IF(COUNT(K45,K47,K43)&lt;3,"—",K45+K47-K43)</f>
        <v>0.0</v>
      </c>
      <c r="L112" s="34">
        <f>IF(COUNT(L45,L47,L43)&lt;3,"—",L45+L47-L43)</f>
        <v>0.0</v>
      </c>
      <c r="M112" s="34">
        <f>IF(COUNT(M45,M47,M43)&lt;3,"—",M45+M47-M43)</f>
        <v>0.0</v>
      </c>
      <c r="N112" s="34">
        <f>IF(COUNT(N45,N47,N43)&lt;3,"—",N45+N47-N43)</f>
        <v>0.0</v>
      </c>
      <c r="O112" s="34">
        <f>IF(COUNT(O45,O47,O43)&lt;3,"—",O45+O47-O43)</f>
        <v>0.0</v>
      </c>
      <c r="P112" s="30" t="s">
        <v>2258</v>
      </c>
      <c r="Q112" s="36" t="str">
        <f>IF(AND(MAX(D112:O112)&lt;=1,MIN(D112:O112)&gt;=-1),"Đạt","Kiểm tra lại")</f>
        <v>Đạt</v>
      </c>
    </row>
    <row r="113" spans="1:17">
      <c r="A113" s="23" t="s">
        <v>2259</v>
      </c>
      <c r="B113" s="11" t="s">
        <v>2260</v>
      </c>
      <c r="C113" s="11" t="s">
        <v>71</v>
      </c>
      <c r="D113" s="34">
        <f>IF(COUNT(D50,D52,D48)&lt;3,"—",D50+D52-D48)</f>
        <v>0.0</v>
      </c>
      <c r="E113" s="34">
        <f>IF(COUNT(E50,E52,E48)&lt;3,"—",E50+E52-E48)</f>
        <v>0.0</v>
      </c>
      <c r="F113" s="34">
        <f>IF(COUNT(F50,F52,F48)&lt;3,"—",F50+F52-F48)</f>
        <v>0.0</v>
      </c>
      <c r="G113" s="34">
        <f>IF(COUNT(G50,G52,G48)&lt;3,"—",G50+G52-G48)</f>
        <v>0.0</v>
      </c>
      <c r="H113" s="34">
        <f>IF(COUNT(H50,H52,H48)&lt;3,"—",H50+H52-H48)</f>
        <v>0.0</v>
      </c>
      <c r="I113" s="34">
        <f>IF(COUNT(I50,I52,I48)&lt;3,"—",I50+I52-I48)</f>
        <v>0.0</v>
      </c>
      <c r="J113" s="34">
        <f>IF(COUNT(J50,J52,J48)&lt;3,"—",J50+J52-J48)</f>
        <v>0.0</v>
      </c>
      <c r="K113" s="34">
        <f>IF(COUNT(K50,K52,K48)&lt;3,"—",K50+K52-K48)</f>
        <v>0.0</v>
      </c>
      <c r="L113" s="34">
        <f>IF(COUNT(L50,L52,L48)&lt;3,"—",L50+L52-L48)</f>
        <v>0.0</v>
      </c>
      <c r="M113" s="34">
        <f>IF(COUNT(M50,M52,M48)&lt;3,"—",M50+M52-M48)</f>
        <v>0.0</v>
      </c>
      <c r="N113" s="34">
        <f>IF(COUNT(N50,N52,N48)&lt;3,"—",N50+N52-N48)</f>
        <v>0.0</v>
      </c>
      <c r="O113" s="34">
        <f>IF(COUNT(O50,O52,O48)&lt;3,"—",O50+O52-O48)</f>
        <v>0.0</v>
      </c>
      <c r="P113" s="30" t="s">
        <v>2261</v>
      </c>
      <c r="Q113" s="36" t="str">
        <f>IF(AND(MAX(D113:O113)&lt;=1,MIN(D113:O113)&gt;=-1),"Đạt","Kiểm tra lại")</f>
        <v>Đạt</v>
      </c>
    </row>
    <row r="114" spans="1:17">
      <c r="A114" s="23" t="s">
        <v>2262</v>
      </c>
      <c r="B114" s="11" t="s">
        <v>2263</v>
      </c>
      <c r="C114" s="11" t="s">
        <v>71</v>
      </c>
      <c r="D114" s="34">
        <f>IF(COUNT(D55,D57,D53)&lt;3,"—",D55+D57-D53)</f>
        <v>0.0</v>
      </c>
      <c r="E114" s="34">
        <f>IF(COUNT(E55,E57,E53)&lt;3,"—",E55+E57-E53)</f>
        <v>0.0</v>
      </c>
      <c r="F114" s="34">
        <f>IF(COUNT(F55,F57,F53)&lt;3,"—",F55+F57-F53)</f>
        <v>0.0</v>
      </c>
      <c r="G114" s="34">
        <f>IF(COUNT(G55,G57,G53)&lt;3,"—",G55+G57-G53)</f>
        <v>0.0</v>
      </c>
      <c r="H114" s="34">
        <f>IF(COUNT(H55,H57,H53)&lt;3,"—",H55+H57-H53)</f>
        <v>0.0</v>
      </c>
      <c r="I114" s="34">
        <f>IF(COUNT(I55,I57,I53)&lt;3,"—",I55+I57-I53)</f>
        <v>0.0</v>
      </c>
      <c r="J114" s="34">
        <f>IF(COUNT(J55,J57,J53)&lt;3,"—",J55+J57-J53)</f>
        <v>0.0</v>
      </c>
      <c r="K114" s="34">
        <f>IF(COUNT(K55,K57,K53)&lt;3,"—",K55+K57-K53)</f>
        <v>0.0</v>
      </c>
      <c r="L114" s="34">
        <f>IF(COUNT(L55,L57,L53)&lt;3,"—",L55+L57-L53)</f>
        <v>0.0</v>
      </c>
      <c r="M114" s="34">
        <f>IF(COUNT(M55,M57,M53)&lt;3,"—",M55+M57-M53)</f>
        <v>0.0</v>
      </c>
      <c r="N114" s="34">
        <f>IF(COUNT(N55,N57,N53)&lt;3,"—",N55+N57-N53)</f>
        <v>0.0</v>
      </c>
      <c r="O114" s="34">
        <f>IF(COUNT(O55,O57,O53)&lt;3,"—",O55+O57-O53)</f>
        <v>0.0</v>
      </c>
      <c r="P114" s="30" t="s">
        <v>2264</v>
      </c>
      <c r="Q114" s="36" t="str">
        <f>IF(AND(MAX(D114:O114)&lt;=1,MIN(D114:O114)&gt;=-1),"Đạt","Kiểm tra lại")</f>
        <v>Đạt</v>
      </c>
    </row>
    <row r="116" spans="1:17">
      <c r="A116" s="22"/>
      <c r="B116" s="22" t="s">
        <v>2312</v>
      </c>
      <c r="C116" s="22"/>
      <c r="D116" s="22"/>
      <c r="E116" s="22"/>
      <c r="F116" s="22"/>
      <c r="G116" s="22"/>
      <c r="H116" s="22"/>
      <c r="I116" s="22"/>
      <c r="J116" s="22"/>
      <c r="K116" s="22"/>
      <c r="L116" s="22"/>
      <c r="M116" s="22"/>
      <c r="N116" s="22"/>
      <c r="O116" s="22"/>
      <c r="P116" s="22"/>
      <c r="Q116" s="22"/>
    </row>
    <row r="117" spans="1:17">
      <c r="A117" s="23" t="s">
        <v>2266</v>
      </c>
      <c r="B117" s="11" t="s">
        <v>2267</v>
      </c>
      <c r="C117" s="11" t="s">
        <v>2104</v>
      </c>
      <c r="D117" s="37">
        <f>IF(COUNT(D73,D23)&lt;2,"—",(D73-D23)*100)</f>
        <v>-0.3197353914002205</v>
      </c>
      <c r="E117" s="37">
        <f>IF(COUNT(E73,E23)&lt;2,"—",(E73-E23)*100)</f>
        <v>-0.4138414776712649</v>
      </c>
      <c r="F117" s="37">
        <f>IF(COUNT(F73,F23)&lt;2,"—",(F73-F23)*100)</f>
        <v>-0.020926090828138913</v>
      </c>
      <c r="G117" s="37">
        <f>IF(COUNT(G73,G23)&lt;2,"—",(G73-G23)*100)</f>
        <v>0.035141485340688526</v>
      </c>
      <c r="H117" s="37">
        <f>IF(COUNT(H73,H23)&lt;2,"—",(H73-H23)*100)</f>
        <v>0.15721753116204262</v>
      </c>
      <c r="I117" s="37">
        <f>IF(COUNT(I73,I23)&lt;2,"—",(I73-I23)*100)</f>
        <v>0.15574994666097716</v>
      </c>
      <c r="J117" s="37">
        <f>IF(COUNT(J73,J23)&lt;2,"—",(J73-J23)*100)</f>
        <v>0.12953906981583602</v>
      </c>
      <c r="K117" s="37">
        <f>IF(COUNT(K73,K23)&lt;2,"—",(K73-K23)*100)</f>
        <v>-0.010604870384917517</v>
      </c>
      <c r="L117" s="37">
        <f>IF(COUNT(L73,L23)&lt;2,"—",(L73-L23)*100)</f>
        <v>0.3808630393996248</v>
      </c>
      <c r="M117" s="37">
        <f>IF(COUNT(M73,M23)&lt;2,"—",(M73-M23)*100)</f>
        <v>-0.11950416424559365</v>
      </c>
      <c r="N117" s="37">
        <f>IF(COUNT(N73,N23)&lt;2,"—",(N73-N23)*100)</f>
        <v>-0.49604117181314333</v>
      </c>
      <c r="O117" s="37">
        <f>IF(COUNT(O73,O23)&lt;2,"—",(O73-O23)*100)</f>
        <v>-0.46697291303659116</v>
      </c>
      <c r="P117" s="30" t="s">
        <v>2268</v>
      </c>
      <c r="Q117" s="36" t="str">
        <f>IF(AND(MAX(D117:O117)&lt;=1,MIN(D117:O117)&gt;=-1),"Đạt","Kiểm tra lại")</f>
        <v>Đạt</v>
      </c>
    </row>
    <row r="118" spans="1:17">
      <c r="A118" s="23" t="s">
        <v>2269</v>
      </c>
      <c r="B118" s="11" t="s">
        <v>2270</v>
      </c>
      <c r="C118" s="11" t="s">
        <v>2104</v>
      </c>
      <c r="D118" s="37">
        <f>IF(COUNT(D64,D35)&lt;2,"—",(D64-D35)*100)</f>
        <v>0.46548323471400394</v>
      </c>
      <c r="E118" s="37">
        <f>IF(COUNT(E64,E35)&lt;2,"—",(E64-E35)*100)</f>
        <v>-0.030595813204508857</v>
      </c>
      <c r="F118" s="37">
        <f>IF(COUNT(F64,F35)&lt;2,"—",(F64-F35)*100)</f>
        <v>-0.4036767522022214</v>
      </c>
      <c r="G118" s="37" t="str">
        <f>IF(COUNT(G64,G35)&lt;2,"—",(G64-G35)*100)</f>
        <v>—</v>
      </c>
      <c r="H118" s="37">
        <f>IF(COUNT(H64,H35)&lt;2,"—",(H64-H35)*100)</f>
        <v>-0.07506138197123817</v>
      </c>
      <c r="I118" s="37">
        <f>IF(COUNT(I64,I35)&lt;2,"—",(I64-I35)*100)</f>
        <v>0.012363122571529495</v>
      </c>
      <c r="J118" s="37">
        <f>IF(COUNT(J64,J35)&lt;2,"—",(J64-J35)*100)</f>
        <v>0.1598111935266352</v>
      </c>
      <c r="K118" s="37" t="str">
        <f>IF(COUNT(K64,K35)&lt;2,"—",(K64-K35)*100)</f>
        <v>—</v>
      </c>
      <c r="L118" s="37">
        <f>IF(COUNT(L64,L35)&lt;2,"—",(L64-L35)*100)</f>
        <v>0.3768472906403941</v>
      </c>
      <c r="M118" s="37">
        <f>IF(COUNT(M64,M35)&lt;2,"—",(M64-M35)*100)</f>
        <v>0.371007371007371</v>
      </c>
      <c r="N118" s="37">
        <f>IF(COUNT(N64,N35)&lt;2,"—",(N64-N35)*100)</f>
        <v>-0.10312405216863815</v>
      </c>
      <c r="O118" s="37">
        <f>IF(COUNT(O64,O35)&lt;2,"—",(O64-O35)*100)</f>
        <v>-0.31499418829910886</v>
      </c>
      <c r="P118" s="30" t="s">
        <v>2271</v>
      </c>
      <c r="Q118" s="36" t="str">
        <f>IF(AND(MAX(D118:O118)&lt;=1,MIN(D118:O118)&gt;=-1),"Đạt","Kiểm tra lại")</f>
        <v>Đạt</v>
      </c>
    </row>
    <row r="119" spans="1:17">
      <c r="A119" s="23" t="s">
        <v>2272</v>
      </c>
      <c r="B119" s="11" t="s">
        <v>2273</v>
      </c>
      <c r="C119" s="11" t="s">
        <v>2104</v>
      </c>
      <c r="D119" s="37">
        <f>IF(COUNT(D65,D36)&lt;2,"—",(D65-D36)*100)</f>
        <v>-0.37645107794361526</v>
      </c>
      <c r="E119" s="37">
        <f>IF(COUNT(E65,E36)&lt;2,"—",(E65-E36)*100)</f>
        <v>0.47397406288861255</v>
      </c>
      <c r="F119" s="37">
        <f>IF(COUNT(F65,F36)&lt;2,"—",(F65-F36)*100)</f>
        <v>0.3044516459150606</v>
      </c>
      <c r="G119" s="37" t="str">
        <f>IF(COUNT(G65,G36)&lt;2,"—",(G65-G36)*100)</f>
        <v>—</v>
      </c>
      <c r="H119" s="37">
        <f>IF(COUNT(H65,H36)&lt;2,"—",(H65-H36)*100)</f>
        <v>0.45801526717557256</v>
      </c>
      <c r="I119" s="37">
        <f>IF(COUNT(I65,I36)&lt;2,"—",(I65-I36)*100)</f>
        <v>-0.2698984605306256</v>
      </c>
      <c r="J119" s="37">
        <f>IF(COUNT(J65,J36)&lt;2,"—",(J65-J36)*100)</f>
        <v>0.21898283122772916</v>
      </c>
      <c r="K119" s="37" t="str">
        <f>IF(COUNT(K65,K36)&lt;2,"—",(K65-K36)*100)</f>
        <v>—</v>
      </c>
      <c r="L119" s="37">
        <f>IF(COUNT(L65,L36)&lt;2,"—",(L65-L36)*100)</f>
        <v>0.01373867290266004</v>
      </c>
      <c r="M119" s="37">
        <f>IF(COUNT(M65,M36)&lt;2,"—",(M65-M36)*100)</f>
        <v>-0.356339312861052</v>
      </c>
      <c r="N119" s="37">
        <f>IF(COUNT(N65,N36)&lt;2,"—",(N65-N36)*100)</f>
        <v>0.12486135319283789</v>
      </c>
      <c r="O119" s="37" t="str">
        <f>IF(COUNT(O65,O36)&lt;2,"—",(O65-O36)*100)</f>
        <v>—</v>
      </c>
      <c r="P119" s="30" t="s">
        <v>2274</v>
      </c>
      <c r="Q119" s="36" t="str">
        <f>IF(AND(MAX(D119:O119)&lt;=1,MIN(D119:O119)&gt;=-1),"Đạt","Kiểm tra lại")</f>
        <v>Đạt</v>
      </c>
    </row>
    <row r="120" spans="1:17">
      <c r="A120" s="23" t="s">
        <v>2275</v>
      </c>
      <c r="B120" s="11" t="s">
        <v>2276</v>
      </c>
      <c r="C120" s="11" t="s">
        <v>2104</v>
      </c>
      <c r="D120" s="37">
        <f>IF(COUNT(D66,D37)&lt;2,"—",(D66-D37)*100)</f>
        <v>-0.30867792661619103</v>
      </c>
      <c r="E120" s="37">
        <f>IF(COUNT(E66,E37)&lt;2,"—",(E66-E37)*100)</f>
        <v>-0.04424778761061947</v>
      </c>
      <c r="F120" s="37">
        <f>IF(COUNT(F66,F37)&lt;2,"—",(F66-F37)*100)</f>
        <v>-0.3131253678634491</v>
      </c>
      <c r="G120" s="37">
        <f>IF(COUNT(G66,G37)&lt;2,"—",(G66-G37)*100)</f>
        <v>-0.2745711511489913</v>
      </c>
      <c r="H120" s="37">
        <f>IF(COUNT(H66,H37)&lt;2,"—",(H66-H37)*100)</f>
        <v>0.21036423489434003</v>
      </c>
      <c r="I120" s="37">
        <f>IF(COUNT(I66,I37)&lt;2,"—",(I66-I37)*100)</f>
        <v>0.038005812653699976</v>
      </c>
      <c r="J120" s="37">
        <f>IF(COUNT(J66,J37)&lt;2,"—",(J66-J37)*100)</f>
        <v>0.11587232181897683</v>
      </c>
      <c r="K120" s="37">
        <f>IF(COUNT(K66,K37)&lt;2,"—",(K66-K37)*100)</f>
        <v>-0.06531369115071597</v>
      </c>
      <c r="L120" s="37">
        <f>IF(COUNT(L66,L37)&lt;2,"—",(L66-L37)*100)</f>
        <v>0.22741679873217116</v>
      </c>
      <c r="M120" s="37">
        <f>IF(COUNT(M66,M37)&lt;2,"—",(M66-M37)*100)</f>
        <v>0.11214953271028037</v>
      </c>
      <c r="N120" s="37">
        <f>IF(COUNT(N66,N37)&lt;2,"—",(N66-N37)*100)</f>
        <v>-0.3673044925124792</v>
      </c>
      <c r="O120" s="37">
        <f>IF(COUNT(O66,O37)&lt;2,"—",(O66-O37)*100)</f>
        <v>-0.3745841650033267</v>
      </c>
      <c r="P120" s="30" t="s">
        <v>2277</v>
      </c>
      <c r="Q120" s="36" t="str">
        <f>IF(AND(MAX(D120:O120)&lt;=1,MIN(D120:O120)&gt;=-1),"Đạt","Kiểm tra lại")</f>
        <v>Đạt</v>
      </c>
    </row>
    <row r="121" spans="1:17">
      <c r="A121" s="23" t="s">
        <v>2278</v>
      </c>
      <c r="B121" s="11" t="s">
        <v>2279</v>
      </c>
      <c r="C121" s="11" t="s">
        <v>2104</v>
      </c>
      <c r="D121" s="37">
        <f>IF(COUNT(D61,D34)&lt;2,"—",(D61-D34)*100)</f>
        <v>0.2750345120526707</v>
      </c>
      <c r="E121" s="37">
        <f>IF(COUNT(E61,E34)&lt;2,"—",(E61-E34)*100)</f>
        <v>-0.3545718756986363</v>
      </c>
      <c r="F121" s="37">
        <f>IF(COUNT(F61,F34)&lt;2,"—",(F61-F34)*100)</f>
        <v>0.4223874070835155</v>
      </c>
      <c r="G121" s="37" t="str">
        <f>IF(COUNT(G61,G34)&lt;2,"—",(G61-G34)*100)</f>
        <v>—</v>
      </c>
      <c r="H121" s="37">
        <f>IF(COUNT(H61,H34)&lt;2,"—",(H61-H34)*100)</f>
        <v>0.17115689381933438</v>
      </c>
      <c r="I121" s="37">
        <f>IF(COUNT(I61,I34)&lt;2,"—",(I61-I34)*100)</f>
        <v>0.07598537180008126</v>
      </c>
      <c r="J121" s="37">
        <f>IF(COUNT(J61,J34)&lt;2,"—",(J61-J34)*100)</f>
        <v>0.2866056572379368</v>
      </c>
      <c r="K121" s="37" t="str">
        <f>IF(COUNT(K61,K34)&lt;2,"—",(K61-K34)*100)</f>
        <v>—</v>
      </c>
      <c r="L121" s="37">
        <f>IF(COUNT(L61,L34)&lt;2,"—",(L61-L34)*100)</f>
        <v>0.4344180475144739</v>
      </c>
      <c r="M121" s="37">
        <f>IF(COUNT(M61,M34)&lt;2,"—",(M61-M34)*100)</f>
        <v>0.12661763336747042</v>
      </c>
      <c r="N121" s="37">
        <f>IF(COUNT(N61,N34)&lt;2,"—",(N61-N34)*100)</f>
        <v>0.4481735393430881</v>
      </c>
      <c r="O121" s="37" t="str">
        <f>IF(COUNT(O61,O34)&lt;2,"—",(O61-O34)*100)</f>
        <v>—</v>
      </c>
      <c r="P121" s="30" t="s">
        <v>2280</v>
      </c>
      <c r="Q121" s="36" t="str">
        <f>IF(AND(MAX(D121:O121)&lt;=1,MIN(D121:O121)&gt;=-1),"Đạt","Kiểm tra lại")</f>
        <v>Đạt</v>
      </c>
    </row>
  </sheetData>
  <conditionalFormatting sqref="Q5:Q122">
    <cfRule type="cellIs" dxfId="4" priority="1" operator="equal">
      <formula>"Kiểm tra lại"</formula>
    </cfRule>
  </conditionalFormatting>
  <pageMargins left="0.7" right="0.7" top="0.75" bottom="0.75" header="0.3" footer="0.3"/>
  <pageSetup paperSize="9" fitToHeight="0" orientation="landscape"/>
  <headerFooter>
    <oddFooter>&amp;C&amp;8Trang &amp;P/&amp;N</oddFooter>
  </headerFooter>
</worksheet>
</file>

<file path=xl/worksheets/sheet7.xml><?xml version="1.0" encoding="utf-8"?>
<worksheet xmlns="http://schemas.openxmlformats.org/spreadsheetml/2006/main" xmlns:r="http://schemas.openxmlformats.org/officeDocument/2006/relationships">
  <sheetPr>
    <pageSetUpPr fitToPage="1"/>
  </sheetPr>
  <dimension ref="A1:H93"/>
  <sheetViews>
    <sheetView showGridLines="0" workbookViewId="0"/>
  </sheetViews>
  <sheetFormatPr defaultRowHeight="15"/>
  <cols>
    <col min="1" max="1" width="24.7109375" customWidth="1"/>
    <col min="2" max="2" width="34.7109375" customWidth="1"/>
    <col min="3" max="3" width="60.7109375" customWidth="1"/>
    <col min="4" max="4" width="42.7109375" customWidth="1"/>
    <col min="5" max="5" width="14.7109375" customWidth="1"/>
    <col min="6" max="6" width="24.7109375" customWidth="1"/>
    <col min="7" max="7" width="22.7109375" customWidth="1"/>
    <col min="8" max="8" width="28.7109375" customWidth="1"/>
  </cols>
  <sheetData>
    <row r="1" spans="1:8">
      <c r="A1" s="7" t="s">
        <v>2313</v>
      </c>
    </row>
    <row r="3" spans="1:8">
      <c r="A3" s="39" t="s">
        <v>2314</v>
      </c>
    </row>
    <row r="4" spans="1:8">
      <c r="A4" s="9" t="s">
        <v>2315</v>
      </c>
      <c r="B4" s="21" t="s">
        <v>2316</v>
      </c>
      <c r="C4" s="21" t="s">
        <v>2317</v>
      </c>
      <c r="D4" s="21" t="s">
        <v>2318</v>
      </c>
      <c r="E4" s="21" t="s">
        <v>65</v>
      </c>
      <c r="F4" s="21" t="s">
        <v>66</v>
      </c>
      <c r="G4" s="21" t="s">
        <v>2319</v>
      </c>
      <c r="H4" s="21" t="s">
        <v>2320</v>
      </c>
    </row>
    <row r="5" spans="1:8">
      <c r="A5" s="5" t="s">
        <v>2321</v>
      </c>
      <c r="B5" s="30" t="s">
        <v>2322</v>
      </c>
      <c r="C5" s="40" t="s">
        <v>2323</v>
      </c>
      <c r="D5" s="40" t="s">
        <v>2324</v>
      </c>
      <c r="E5" s="30" t="s">
        <v>86</v>
      </c>
      <c r="F5" s="30" t="s">
        <v>87</v>
      </c>
      <c r="G5" s="30" t="s">
        <v>2325</v>
      </c>
      <c r="H5" s="30" t="s">
        <v>2326</v>
      </c>
    </row>
    <row r="6" spans="1:8">
      <c r="A6" s="5" t="s">
        <v>2327</v>
      </c>
      <c r="B6" s="30" t="s">
        <v>2328</v>
      </c>
      <c r="C6" s="40" t="s">
        <v>2323</v>
      </c>
      <c r="D6" s="40" t="s">
        <v>2324</v>
      </c>
      <c r="E6" s="30" t="s">
        <v>455</v>
      </c>
      <c r="F6" s="30" t="s">
        <v>456</v>
      </c>
      <c r="G6" s="30" t="s">
        <v>2329</v>
      </c>
      <c r="H6" s="30" t="s">
        <v>2326</v>
      </c>
    </row>
    <row r="7" spans="1:8">
      <c r="A7" s="5" t="s">
        <v>2330</v>
      </c>
      <c r="B7" s="30" t="s">
        <v>2331</v>
      </c>
      <c r="C7" s="40" t="s">
        <v>2323</v>
      </c>
      <c r="D7" s="40" t="s">
        <v>2324</v>
      </c>
      <c r="E7" s="30" t="s">
        <v>464</v>
      </c>
      <c r="F7" s="30" t="s">
        <v>465</v>
      </c>
      <c r="G7" s="30" t="s">
        <v>2329</v>
      </c>
      <c r="H7" s="30" t="s">
        <v>2326</v>
      </c>
    </row>
    <row r="8" spans="1:8">
      <c r="A8" s="5" t="s">
        <v>2332</v>
      </c>
      <c r="B8" s="30" t="s">
        <v>2333</v>
      </c>
      <c r="C8" s="40" t="s">
        <v>2323</v>
      </c>
      <c r="D8" s="40" t="s">
        <v>2324</v>
      </c>
      <c r="E8" s="30" t="s">
        <v>473</v>
      </c>
      <c r="F8" s="30" t="s">
        <v>474</v>
      </c>
      <c r="G8" s="30" t="s">
        <v>2329</v>
      </c>
      <c r="H8" s="30" t="s">
        <v>2326</v>
      </c>
    </row>
    <row r="9" spans="1:8">
      <c r="A9" s="5" t="s">
        <v>2334</v>
      </c>
      <c r="B9" s="30" t="s">
        <v>2335</v>
      </c>
      <c r="C9" s="40" t="s">
        <v>2323</v>
      </c>
      <c r="D9" s="40" t="s">
        <v>2324</v>
      </c>
      <c r="E9" s="30" t="s">
        <v>96</v>
      </c>
      <c r="F9" s="30" t="s">
        <v>97</v>
      </c>
      <c r="G9" s="30" t="s">
        <v>2325</v>
      </c>
      <c r="H9" s="30" t="s">
        <v>2326</v>
      </c>
    </row>
    <row r="10" spans="1:8">
      <c r="A10" s="5" t="s">
        <v>2336</v>
      </c>
      <c r="B10" s="30" t="s">
        <v>2337</v>
      </c>
      <c r="C10" s="40" t="s">
        <v>2323</v>
      </c>
      <c r="D10" s="40" t="s">
        <v>2324</v>
      </c>
      <c r="E10" s="30" t="s">
        <v>493</v>
      </c>
      <c r="F10" s="30" t="s">
        <v>494</v>
      </c>
      <c r="G10" s="30" t="s">
        <v>2329</v>
      </c>
      <c r="H10" s="30" t="s">
        <v>2326</v>
      </c>
    </row>
    <row r="11" spans="1:8">
      <c r="A11" s="5" t="s">
        <v>2338</v>
      </c>
      <c r="B11" s="30" t="s">
        <v>2339</v>
      </c>
      <c r="C11" s="40" t="s">
        <v>2323</v>
      </c>
      <c r="D11" s="40" t="s">
        <v>2324</v>
      </c>
      <c r="E11" s="30" t="s">
        <v>502</v>
      </c>
      <c r="F11" s="30" t="s">
        <v>503</v>
      </c>
      <c r="G11" s="30" t="s">
        <v>2329</v>
      </c>
      <c r="H11" s="30" t="s">
        <v>2326</v>
      </c>
    </row>
    <row r="12" spans="1:8">
      <c r="A12" s="5" t="s">
        <v>2340</v>
      </c>
      <c r="B12" s="30" t="s">
        <v>2341</v>
      </c>
      <c r="C12" s="40" t="s">
        <v>2323</v>
      </c>
      <c r="D12" s="40" t="s">
        <v>2324</v>
      </c>
      <c r="E12" s="30" t="s">
        <v>511</v>
      </c>
      <c r="F12" s="30" t="s">
        <v>512</v>
      </c>
      <c r="G12" s="30" t="s">
        <v>2329</v>
      </c>
      <c r="H12" s="30" t="s">
        <v>2326</v>
      </c>
    </row>
    <row r="13" spans="1:8">
      <c r="A13" s="5" t="s">
        <v>2342</v>
      </c>
      <c r="B13" s="30" t="s">
        <v>2343</v>
      </c>
      <c r="C13" s="40" t="s">
        <v>2323</v>
      </c>
      <c r="D13" s="40" t="s">
        <v>2324</v>
      </c>
      <c r="E13" s="30" t="s">
        <v>105</v>
      </c>
      <c r="F13" s="30" t="s">
        <v>106</v>
      </c>
      <c r="G13" s="30" t="s">
        <v>2325</v>
      </c>
      <c r="H13" s="30" t="s">
        <v>2326</v>
      </c>
    </row>
    <row r="14" spans="1:8">
      <c r="A14" s="5" t="s">
        <v>2344</v>
      </c>
      <c r="B14" s="30" t="s">
        <v>2345</v>
      </c>
      <c r="C14" s="40" t="s">
        <v>2323</v>
      </c>
      <c r="D14" s="40" t="s">
        <v>2324</v>
      </c>
      <c r="E14" s="30" t="s">
        <v>529</v>
      </c>
      <c r="F14" s="30" t="s">
        <v>530</v>
      </c>
      <c r="G14" s="30" t="s">
        <v>2329</v>
      </c>
      <c r="H14" s="30" t="s">
        <v>2326</v>
      </c>
    </row>
    <row r="15" spans="1:8">
      <c r="A15" s="5" t="s">
        <v>2346</v>
      </c>
      <c r="B15" s="30" t="s">
        <v>2347</v>
      </c>
      <c r="C15" s="40" t="s">
        <v>2323</v>
      </c>
      <c r="D15" s="40" t="s">
        <v>2324</v>
      </c>
      <c r="E15" s="30" t="s">
        <v>538</v>
      </c>
      <c r="F15" s="30" t="s">
        <v>539</v>
      </c>
      <c r="G15" s="30" t="s">
        <v>2329</v>
      </c>
      <c r="H15" s="30" t="s">
        <v>2326</v>
      </c>
    </row>
    <row r="16" spans="1:8">
      <c r="A16" s="5" t="s">
        <v>2348</v>
      </c>
      <c r="B16" s="30" t="s">
        <v>2349</v>
      </c>
      <c r="C16" s="40" t="s">
        <v>2323</v>
      </c>
      <c r="D16" s="40" t="s">
        <v>2324</v>
      </c>
      <c r="E16" s="30" t="s">
        <v>547</v>
      </c>
      <c r="F16" s="30" t="s">
        <v>548</v>
      </c>
      <c r="G16" s="30" t="s">
        <v>2329</v>
      </c>
      <c r="H16" s="30" t="s">
        <v>2326</v>
      </c>
    </row>
    <row r="17" spans="1:8">
      <c r="A17" s="5" t="s">
        <v>2350</v>
      </c>
      <c r="B17" s="30" t="s">
        <v>2351</v>
      </c>
      <c r="C17" s="40" t="s">
        <v>2323</v>
      </c>
      <c r="D17" s="40" t="s">
        <v>2324</v>
      </c>
      <c r="E17" s="30" t="s">
        <v>944</v>
      </c>
      <c r="F17" s="30" t="s">
        <v>945</v>
      </c>
      <c r="G17" s="30" t="s">
        <v>2352</v>
      </c>
      <c r="H17" s="30" t="s">
        <v>2353</v>
      </c>
    </row>
    <row r="18" spans="1:8">
      <c r="A18" s="5" t="s">
        <v>2354</v>
      </c>
      <c r="B18" s="30" t="s">
        <v>2355</v>
      </c>
      <c r="C18" s="40" t="s">
        <v>2323</v>
      </c>
      <c r="D18" s="40" t="s">
        <v>2324</v>
      </c>
      <c r="E18" s="30" t="s">
        <v>959</v>
      </c>
      <c r="F18" s="30" t="s">
        <v>960</v>
      </c>
      <c r="G18" s="30" t="s">
        <v>2352</v>
      </c>
      <c r="H18" s="30" t="s">
        <v>2353</v>
      </c>
    </row>
    <row r="19" spans="1:8">
      <c r="A19" s="5" t="s">
        <v>2356</v>
      </c>
      <c r="B19" s="30" t="s">
        <v>2357</v>
      </c>
      <c r="C19" s="40" t="s">
        <v>2323</v>
      </c>
      <c r="D19" s="40" t="s">
        <v>2324</v>
      </c>
      <c r="E19" s="30" t="s">
        <v>974</v>
      </c>
      <c r="F19" s="30" t="s">
        <v>975</v>
      </c>
      <c r="G19" s="30" t="s">
        <v>2352</v>
      </c>
      <c r="H19" s="30" t="s">
        <v>2353</v>
      </c>
    </row>
    <row r="20" spans="1:8">
      <c r="A20" s="5" t="s">
        <v>2358</v>
      </c>
      <c r="B20" s="30" t="s">
        <v>2359</v>
      </c>
      <c r="C20" s="40" t="s">
        <v>2323</v>
      </c>
      <c r="D20" s="40" t="s">
        <v>2324</v>
      </c>
      <c r="E20" s="30" t="s">
        <v>2360</v>
      </c>
      <c r="F20" s="30" t="s">
        <v>2361</v>
      </c>
      <c r="G20" s="30" t="s">
        <v>2329</v>
      </c>
      <c r="H20" s="30" t="s">
        <v>2362</v>
      </c>
    </row>
    <row r="21" spans="1:8">
      <c r="A21" s="5" t="s">
        <v>2363</v>
      </c>
      <c r="B21" s="30" t="s">
        <v>2364</v>
      </c>
      <c r="C21" s="40" t="s">
        <v>2323</v>
      </c>
      <c r="D21" s="40" t="s">
        <v>2324</v>
      </c>
      <c r="E21" s="30" t="s">
        <v>2365</v>
      </c>
      <c r="F21" s="30" t="s">
        <v>2366</v>
      </c>
      <c r="G21" s="30" t="s">
        <v>2329</v>
      </c>
      <c r="H21" s="30" t="s">
        <v>2362</v>
      </c>
    </row>
    <row r="22" spans="1:8">
      <c r="A22" s="5" t="s">
        <v>2367</v>
      </c>
      <c r="B22" s="30" t="s">
        <v>2368</v>
      </c>
      <c r="C22" s="40" t="s">
        <v>2323</v>
      </c>
      <c r="D22" s="40" t="s">
        <v>2324</v>
      </c>
      <c r="E22" s="30" t="s">
        <v>2369</v>
      </c>
      <c r="F22" s="30" t="s">
        <v>2370</v>
      </c>
      <c r="G22" s="30" t="s">
        <v>2329</v>
      </c>
      <c r="H22" s="30" t="s">
        <v>2362</v>
      </c>
    </row>
    <row r="23" spans="1:8">
      <c r="A23" s="5" t="s">
        <v>2371</v>
      </c>
      <c r="B23" s="30" t="s">
        <v>2372</v>
      </c>
      <c r="C23" s="40" t="s">
        <v>2323</v>
      </c>
      <c r="D23" s="40" t="s">
        <v>2324</v>
      </c>
      <c r="E23" s="30" t="s">
        <v>2373</v>
      </c>
      <c r="F23" s="30" t="s">
        <v>2374</v>
      </c>
      <c r="G23" s="30" t="s">
        <v>2325</v>
      </c>
      <c r="H23" s="30" t="s">
        <v>2362</v>
      </c>
    </row>
    <row r="24" spans="1:8">
      <c r="A24" s="5" t="s">
        <v>2375</v>
      </c>
      <c r="B24" s="30" t="s">
        <v>2376</v>
      </c>
      <c r="C24" s="40" t="s">
        <v>2323</v>
      </c>
      <c r="D24" s="40" t="s">
        <v>2324</v>
      </c>
      <c r="E24" s="30" t="s">
        <v>2377</v>
      </c>
      <c r="F24" s="30" t="s">
        <v>2378</v>
      </c>
      <c r="G24" s="30" t="s">
        <v>2325</v>
      </c>
      <c r="H24" s="30" t="s">
        <v>2362</v>
      </c>
    </row>
    <row r="26" spans="1:8">
      <c r="A26" s="39" t="s">
        <v>2379</v>
      </c>
    </row>
    <row r="27" spans="1:8">
      <c r="A27" s="9" t="s">
        <v>2380</v>
      </c>
      <c r="B27" s="21" t="s">
        <v>2381</v>
      </c>
      <c r="C27" s="21" t="s">
        <v>2382</v>
      </c>
      <c r="D27" s="21" t="s">
        <v>2383</v>
      </c>
    </row>
    <row r="28" spans="1:8">
      <c r="A28" s="5" t="s">
        <v>2384</v>
      </c>
      <c r="B28" s="30" t="s">
        <v>2385</v>
      </c>
      <c r="C28" s="30" t="s">
        <v>2386</v>
      </c>
      <c r="D28" s="30" t="s">
        <v>82</v>
      </c>
    </row>
    <row r="29" spans="1:8">
      <c r="A29" s="5" t="s">
        <v>2387</v>
      </c>
      <c r="B29" s="30" t="s">
        <v>2388</v>
      </c>
      <c r="C29" s="30" t="s">
        <v>2389</v>
      </c>
      <c r="D29" s="30" t="s">
        <v>2390</v>
      </c>
    </row>
    <row r="30" spans="1:8">
      <c r="A30" s="5" t="s">
        <v>2391</v>
      </c>
      <c r="B30" s="30" t="s">
        <v>2392</v>
      </c>
      <c r="C30" s="30" t="s">
        <v>2393</v>
      </c>
      <c r="D30" s="30" t="s">
        <v>2394</v>
      </c>
    </row>
    <row r="31" spans="1:8">
      <c r="A31" s="5" t="s">
        <v>2352</v>
      </c>
      <c r="B31" s="30" t="s">
        <v>2395</v>
      </c>
      <c r="C31" s="30" t="s">
        <v>2396</v>
      </c>
      <c r="D31" s="30" t="s">
        <v>2397</v>
      </c>
    </row>
    <row r="32" spans="1:8">
      <c r="A32" s="5" t="s">
        <v>2398</v>
      </c>
      <c r="B32" s="30" t="s">
        <v>2399</v>
      </c>
      <c r="C32" s="30" t="s">
        <v>2400</v>
      </c>
      <c r="D32" s="30" t="s">
        <v>2401</v>
      </c>
    </row>
    <row r="33" spans="1:4">
      <c r="A33" s="5" t="s">
        <v>13</v>
      </c>
      <c r="B33" s="30" t="s">
        <v>2402</v>
      </c>
      <c r="C33" s="30" t="s">
        <v>2403</v>
      </c>
      <c r="D33" s="30" t="s">
        <v>2404</v>
      </c>
    </row>
    <row r="34" spans="1:4">
      <c r="A34" s="5" t="s">
        <v>2405</v>
      </c>
      <c r="B34" s="30" t="s">
        <v>2406</v>
      </c>
      <c r="C34" s="30" t="s">
        <v>2407</v>
      </c>
      <c r="D34" s="30" t="s">
        <v>2408</v>
      </c>
    </row>
    <row r="35" spans="1:4">
      <c r="A35" s="5" t="s">
        <v>2409</v>
      </c>
      <c r="B35" s="30" t="s">
        <v>2410</v>
      </c>
      <c r="C35" s="30" t="s">
        <v>2411</v>
      </c>
      <c r="D35" s="30" t="s">
        <v>2412</v>
      </c>
    </row>
    <row r="36" spans="1:4">
      <c r="A36" s="5" t="s">
        <v>2413</v>
      </c>
      <c r="B36" s="30" t="s">
        <v>2414</v>
      </c>
      <c r="C36" s="30" t="s">
        <v>2415</v>
      </c>
      <c r="D36" s="30" t="s">
        <v>2416</v>
      </c>
    </row>
    <row r="37" spans="1:4">
      <c r="A37" s="5" t="s">
        <v>74</v>
      </c>
      <c r="B37" s="30" t="s">
        <v>2417</v>
      </c>
      <c r="C37" s="30" t="s">
        <v>2418</v>
      </c>
      <c r="D37" s="30" t="s">
        <v>2419</v>
      </c>
    </row>
    <row r="38" spans="1:4">
      <c r="A38" s="5" t="s">
        <v>282</v>
      </c>
      <c r="B38" s="30" t="s">
        <v>282</v>
      </c>
      <c r="C38" s="30" t="s">
        <v>2420</v>
      </c>
      <c r="D38" s="30" t="s">
        <v>2421</v>
      </c>
    </row>
    <row r="39" spans="1:4">
      <c r="A39" s="5" t="s">
        <v>283</v>
      </c>
      <c r="B39" s="30" t="s">
        <v>2422</v>
      </c>
      <c r="C39" s="30" t="s">
        <v>2423</v>
      </c>
      <c r="D39" s="30" t="s">
        <v>2424</v>
      </c>
    </row>
    <row r="40" spans="1:4">
      <c r="A40" s="5" t="s">
        <v>2425</v>
      </c>
      <c r="B40" s="30" t="s">
        <v>2426</v>
      </c>
      <c r="C40" s="30" t="s">
        <v>2427</v>
      </c>
      <c r="D40" s="30" t="s">
        <v>2428</v>
      </c>
    </row>
    <row r="41" spans="1:4">
      <c r="A41" s="5" t="s">
        <v>2429</v>
      </c>
      <c r="B41" s="30" t="s">
        <v>75</v>
      </c>
      <c r="C41" s="30" t="s">
        <v>2430</v>
      </c>
      <c r="D41" s="30" t="s">
        <v>2431</v>
      </c>
    </row>
    <row r="42" spans="1:4">
      <c r="A42" s="5" t="s">
        <v>296</v>
      </c>
      <c r="B42" s="30" t="s">
        <v>2432</v>
      </c>
      <c r="C42" s="30" t="s">
        <v>2433</v>
      </c>
      <c r="D42" s="30" t="s">
        <v>2434</v>
      </c>
    </row>
    <row r="43" spans="1:4">
      <c r="A43" s="5" t="s">
        <v>308</v>
      </c>
      <c r="B43" s="30" t="s">
        <v>308</v>
      </c>
      <c r="C43" s="30" t="s">
        <v>2435</v>
      </c>
      <c r="D43" s="30" t="s">
        <v>2436</v>
      </c>
    </row>
    <row r="44" spans="1:4">
      <c r="A44" s="5" t="s">
        <v>2437</v>
      </c>
      <c r="B44" s="30" t="s">
        <v>2438</v>
      </c>
      <c r="C44" s="30" t="s">
        <v>2439</v>
      </c>
      <c r="D44" s="30" t="s">
        <v>2440</v>
      </c>
    </row>
    <row r="45" spans="1:4">
      <c r="A45" s="5" t="s">
        <v>332</v>
      </c>
      <c r="B45" s="30" t="s">
        <v>332</v>
      </c>
      <c r="C45" s="30" t="s">
        <v>2441</v>
      </c>
      <c r="D45" s="30" t="s">
        <v>2442</v>
      </c>
    </row>
    <row r="46" spans="1:4">
      <c r="A46" s="5" t="s">
        <v>344</v>
      </c>
      <c r="B46" s="30" t="s">
        <v>344</v>
      </c>
      <c r="C46" s="30" t="s">
        <v>2443</v>
      </c>
      <c r="D46" s="30" t="s">
        <v>2444</v>
      </c>
    </row>
    <row r="47" spans="1:4">
      <c r="A47" s="5" t="s">
        <v>2124</v>
      </c>
      <c r="B47" s="30" t="s">
        <v>2445</v>
      </c>
      <c r="C47" s="30" t="s">
        <v>2446</v>
      </c>
      <c r="D47" s="30" t="s">
        <v>2447</v>
      </c>
    </row>
    <row r="48" spans="1:4">
      <c r="A48" s="5" t="s">
        <v>2448</v>
      </c>
      <c r="B48" s="30" t="s">
        <v>156</v>
      </c>
      <c r="C48" s="30" t="s">
        <v>2449</v>
      </c>
      <c r="D48" s="30" t="s">
        <v>2450</v>
      </c>
    </row>
    <row r="49" spans="1:4">
      <c r="A49" s="5" t="s">
        <v>2451</v>
      </c>
      <c r="B49" s="30" t="s">
        <v>2452</v>
      </c>
      <c r="C49" s="30" t="s">
        <v>2453</v>
      </c>
      <c r="D49" s="30" t="s">
        <v>2454</v>
      </c>
    </row>
    <row r="50" spans="1:4">
      <c r="A50" s="5" t="s">
        <v>2455</v>
      </c>
      <c r="B50" s="30" t="s">
        <v>2456</v>
      </c>
      <c r="C50" s="30" t="s">
        <v>2457</v>
      </c>
      <c r="D50" s="30" t="s">
        <v>2458</v>
      </c>
    </row>
    <row r="51" spans="1:4">
      <c r="A51" s="5" t="s">
        <v>2459</v>
      </c>
      <c r="B51" s="30" t="s">
        <v>2460</v>
      </c>
      <c r="C51" s="30" t="s">
        <v>2461</v>
      </c>
      <c r="D51" s="30" t="s">
        <v>2462</v>
      </c>
    </row>
    <row r="52" spans="1:4">
      <c r="A52" s="5" t="s">
        <v>2463</v>
      </c>
      <c r="B52" s="30" t="s">
        <v>2464</v>
      </c>
      <c r="C52" s="30" t="s">
        <v>2465</v>
      </c>
      <c r="D52" s="30" t="s">
        <v>2466</v>
      </c>
    </row>
    <row r="53" spans="1:4">
      <c r="A53" s="5" t="s">
        <v>66</v>
      </c>
      <c r="B53" s="30" t="s">
        <v>2467</v>
      </c>
      <c r="C53" s="30" t="s">
        <v>2468</v>
      </c>
      <c r="D53" s="30" t="s">
        <v>2469</v>
      </c>
    </row>
    <row r="54" spans="1:4">
      <c r="A54" s="5" t="s">
        <v>2470</v>
      </c>
      <c r="B54" s="30" t="s">
        <v>2471</v>
      </c>
      <c r="C54" s="30" t="s">
        <v>2472</v>
      </c>
      <c r="D54" s="30" t="s">
        <v>2473</v>
      </c>
    </row>
    <row r="55" spans="1:4">
      <c r="A55" s="5" t="s">
        <v>2474</v>
      </c>
      <c r="B55" s="30" t="s">
        <v>2475</v>
      </c>
      <c r="C55" s="30" t="s">
        <v>2476</v>
      </c>
      <c r="D55" s="30" t="s">
        <v>2477</v>
      </c>
    </row>
    <row r="57" spans="1:4">
      <c r="A57" s="39" t="s">
        <v>2478</v>
      </c>
    </row>
    <row r="58" spans="1:4">
      <c r="A58" s="9" t="s">
        <v>2479</v>
      </c>
      <c r="B58" s="21" t="s">
        <v>15</v>
      </c>
      <c r="C58" s="21" t="s">
        <v>2480</v>
      </c>
      <c r="D58" s="21" t="s">
        <v>2481</v>
      </c>
    </row>
    <row r="59" spans="1:4">
      <c r="A59" s="5" t="s">
        <v>2482</v>
      </c>
      <c r="B59" s="30" t="s">
        <v>2483</v>
      </c>
      <c r="C59" s="30" t="s">
        <v>2484</v>
      </c>
      <c r="D59" s="30" t="s">
        <v>2485</v>
      </c>
    </row>
    <row r="60" spans="1:4">
      <c r="A60" s="5" t="s">
        <v>2486</v>
      </c>
      <c r="B60" s="30" t="s">
        <v>2487</v>
      </c>
      <c r="C60" s="30" t="s">
        <v>2488</v>
      </c>
      <c r="D60" s="30" t="s">
        <v>2489</v>
      </c>
    </row>
    <row r="61" spans="1:4">
      <c r="A61" s="5" t="s">
        <v>2490</v>
      </c>
      <c r="B61" s="30" t="s">
        <v>2491</v>
      </c>
      <c r="C61" s="30" t="s">
        <v>2492</v>
      </c>
      <c r="D61" s="30" t="s">
        <v>2493</v>
      </c>
    </row>
    <row r="62" spans="1:4">
      <c r="A62" s="5" t="s">
        <v>2459</v>
      </c>
      <c r="B62" s="30" t="s">
        <v>2494</v>
      </c>
      <c r="C62" s="30" t="s">
        <v>2495</v>
      </c>
      <c r="D62" s="30" t="s">
        <v>2496</v>
      </c>
    </row>
    <row r="63" spans="1:4">
      <c r="A63" s="5" t="s">
        <v>2497</v>
      </c>
      <c r="B63" s="30" t="s">
        <v>2498</v>
      </c>
      <c r="C63" s="30" t="s">
        <v>2499</v>
      </c>
      <c r="D63" s="30" t="s">
        <v>2500</v>
      </c>
    </row>
    <row r="64" spans="1:4">
      <c r="A64" s="5" t="s">
        <v>2501</v>
      </c>
      <c r="B64" s="30" t="s">
        <v>2502</v>
      </c>
      <c r="C64" s="30" t="s">
        <v>2503</v>
      </c>
      <c r="D64" s="30" t="s">
        <v>2504</v>
      </c>
    </row>
    <row r="66" spans="1:4">
      <c r="A66" s="39" t="s">
        <v>2505</v>
      </c>
    </row>
    <row r="67" spans="1:4">
      <c r="A67" s="9" t="s">
        <v>2506</v>
      </c>
      <c r="B67" s="21" t="s">
        <v>2507</v>
      </c>
      <c r="C67" s="21" t="s">
        <v>2508</v>
      </c>
      <c r="D67" s="21" t="s">
        <v>2509</v>
      </c>
    </row>
    <row r="68" spans="1:4">
      <c r="A68" s="5" t="s">
        <v>2510</v>
      </c>
      <c r="B68" s="30" t="s">
        <v>2511</v>
      </c>
      <c r="C68" s="30" t="s">
        <v>2512</v>
      </c>
      <c r="D68" s="30" t="s">
        <v>2513</v>
      </c>
    </row>
    <row r="70" spans="1:4">
      <c r="A70" s="39" t="s">
        <v>2514</v>
      </c>
    </row>
    <row r="71" spans="1:4">
      <c r="A71" s="9" t="s">
        <v>2515</v>
      </c>
      <c r="B71" s="21" t="s">
        <v>2516</v>
      </c>
      <c r="C71" s="21" t="s">
        <v>2517</v>
      </c>
      <c r="D71" s="21" t="s">
        <v>2518</v>
      </c>
    </row>
    <row r="72" spans="1:4">
      <c r="A72" s="5" t="s">
        <v>73</v>
      </c>
      <c r="B72" s="30" t="s">
        <v>2519</v>
      </c>
      <c r="C72" s="30" t="s">
        <v>2520</v>
      </c>
      <c r="D72" s="30">
        <v>613</v>
      </c>
    </row>
    <row r="73" spans="1:4">
      <c r="A73" s="5" t="s">
        <v>1233</v>
      </c>
      <c r="B73" s="30" t="s">
        <v>2521</v>
      </c>
      <c r="C73" s="30" t="s">
        <v>2522</v>
      </c>
      <c r="D73" s="30">
        <v>14</v>
      </c>
    </row>
    <row r="75" spans="1:4">
      <c r="A75" s="39" t="s">
        <v>2523</v>
      </c>
    </row>
    <row r="76" spans="1:4">
      <c r="A76" s="9" t="s">
        <v>2506</v>
      </c>
      <c r="B76" s="21" t="s">
        <v>2507</v>
      </c>
      <c r="C76" s="21" t="s">
        <v>2508</v>
      </c>
      <c r="D76" s="21" t="s">
        <v>2524</v>
      </c>
    </row>
    <row r="77" spans="1:4">
      <c r="A77" s="5" t="s">
        <v>2525</v>
      </c>
      <c r="B77" s="30" t="s">
        <v>2526</v>
      </c>
      <c r="C77" s="30" t="s">
        <v>2527</v>
      </c>
      <c r="D77" s="30" t="s">
        <v>2528</v>
      </c>
    </row>
    <row r="78" spans="1:4">
      <c r="A78" s="5" t="s">
        <v>2529</v>
      </c>
      <c r="B78" s="30" t="s">
        <v>2530</v>
      </c>
      <c r="C78" s="30" t="s">
        <v>2531</v>
      </c>
      <c r="D78" s="30" t="s">
        <v>2528</v>
      </c>
    </row>
    <row r="79" spans="1:4">
      <c r="A79" s="5" t="s">
        <v>2532</v>
      </c>
      <c r="B79" s="30" t="s">
        <v>2533</v>
      </c>
      <c r="C79" s="30" t="s">
        <v>2534</v>
      </c>
      <c r="D79" s="30" t="s">
        <v>2528</v>
      </c>
    </row>
    <row r="80" spans="1:4">
      <c r="A80" s="5" t="s">
        <v>2535</v>
      </c>
      <c r="B80" s="30" t="s">
        <v>2536</v>
      </c>
      <c r="C80" s="30" t="s">
        <v>2537</v>
      </c>
      <c r="D80" s="30" t="s">
        <v>2528</v>
      </c>
    </row>
    <row r="81" spans="1:4">
      <c r="A81" s="5" t="s">
        <v>2538</v>
      </c>
      <c r="B81" s="30" t="s">
        <v>2530</v>
      </c>
      <c r="C81" s="30" t="s">
        <v>2539</v>
      </c>
      <c r="D81" s="30" t="s">
        <v>2528</v>
      </c>
    </row>
    <row r="82" spans="1:4">
      <c r="A82" s="5" t="s">
        <v>2540</v>
      </c>
      <c r="B82" s="30" t="s">
        <v>2541</v>
      </c>
      <c r="C82" s="30" t="s">
        <v>2542</v>
      </c>
      <c r="D82" s="30" t="s">
        <v>2528</v>
      </c>
    </row>
    <row r="83" spans="1:4">
      <c r="A83" s="5" t="s">
        <v>2543</v>
      </c>
      <c r="B83" s="30" t="s">
        <v>2544</v>
      </c>
      <c r="C83" s="30" t="s">
        <v>2545</v>
      </c>
      <c r="D83" s="30" t="s">
        <v>2528</v>
      </c>
    </row>
    <row r="85" spans="1:4">
      <c r="A85" s="39" t="s">
        <v>2546</v>
      </c>
    </row>
    <row r="86" spans="1:4">
      <c r="A86" s="9" t="s">
        <v>3</v>
      </c>
      <c r="B86" s="21" t="s">
        <v>2547</v>
      </c>
      <c r="C86" s="21" t="s">
        <v>2548</v>
      </c>
      <c r="D86" s="21" t="s">
        <v>2549</v>
      </c>
    </row>
    <row r="87" spans="1:4">
      <c r="A87" s="5" t="s">
        <v>2550</v>
      </c>
      <c r="B87" s="30" t="s">
        <v>2551</v>
      </c>
      <c r="C87" s="30" t="s">
        <v>2552</v>
      </c>
      <c r="D87" s="30" t="s">
        <v>2553</v>
      </c>
    </row>
    <row r="88" spans="1:4">
      <c r="A88" s="5" t="s">
        <v>2554</v>
      </c>
      <c r="B88" s="30" t="s">
        <v>2555</v>
      </c>
      <c r="C88" s="30" t="s">
        <v>2556</v>
      </c>
      <c r="D88" s="30" t="s">
        <v>2557</v>
      </c>
    </row>
    <row r="89" spans="1:4">
      <c r="A89" s="5" t="s">
        <v>2554</v>
      </c>
      <c r="B89" s="30" t="s">
        <v>2558</v>
      </c>
      <c r="C89" s="30" t="s">
        <v>2559</v>
      </c>
      <c r="D89" s="30" t="s">
        <v>2560</v>
      </c>
    </row>
    <row r="90" spans="1:4">
      <c r="A90" s="5" t="s">
        <v>2554</v>
      </c>
      <c r="B90" s="30" t="s">
        <v>2558</v>
      </c>
      <c r="C90" s="30" t="s">
        <v>2561</v>
      </c>
      <c r="D90" s="30" t="s">
        <v>2562</v>
      </c>
    </row>
    <row r="91" spans="1:4">
      <c r="A91" s="5" t="s">
        <v>2507</v>
      </c>
      <c r="B91" s="30" t="s">
        <v>2563</v>
      </c>
      <c r="C91" s="30" t="s">
        <v>2564</v>
      </c>
      <c r="D91" s="30" t="s">
        <v>2565</v>
      </c>
    </row>
    <row r="92" spans="1:4">
      <c r="A92" s="5" t="s">
        <v>2566</v>
      </c>
      <c r="B92" s="30" t="s">
        <v>2567</v>
      </c>
      <c r="C92" s="30" t="s">
        <v>2568</v>
      </c>
      <c r="D92" s="30" t="s">
        <v>2569</v>
      </c>
    </row>
    <row r="93" spans="1:4">
      <c r="A93" s="5" t="s">
        <v>2570</v>
      </c>
      <c r="B93" s="30" t="s">
        <v>2567</v>
      </c>
      <c r="C93" s="30" t="s">
        <v>2571</v>
      </c>
      <c r="D93" s="30" t="s">
        <v>2572</v>
      </c>
    </row>
  </sheetData>
  <hyperlinks>
    <hyperlink ref="C5" r:id="rId1" tooltip="https://www.sec.gov/Archives/edgar/data/320187/000032018719000051/nke-531201910k.htm"/>
    <hyperlink ref="D5" r:id="rId2" tooltip="https://investors.nike.com/sec-filings/all-sec-filings/content/0000320187-19-000051/nke-531201910k.htm"/>
    <hyperlink ref="C6" r:id="rId3" tooltip="https://www.sec.gov/Archives/edgar/data/320187/000032018718000213/nke-08312018x10q.htm"/>
    <hyperlink ref="D6" r:id="rId4" tooltip="https://investors.nike.com/sec-filings/all-sec-filings/content/0000320187-18-000213/nke-08312018x10q.htm"/>
    <hyperlink ref="C7" r:id="rId5" tooltip="https://www.sec.gov/Archives/edgar/data/320187/000032018719000007/nke-11302018x10q.htm"/>
    <hyperlink ref="D7" r:id="rId6" tooltip="https://investors.nike.com/sec-filings/all-sec-filings/content/0000320187-19-000007/nke-11302018x10q.htm"/>
    <hyperlink ref="C8" r:id="rId7" tooltip="https://www.sec.gov/Archives/edgar/data/320187/000032018719000030/nke-02282019x10q.htm"/>
    <hyperlink ref="D8" r:id="rId8" tooltip="https://investors.nike.com/sec-filings/all-sec-filings/content/0000320187-19-000030/nke-02282019x10q.htm"/>
    <hyperlink ref="C9" r:id="rId9" tooltip="https://www.sec.gov/Archives/edgar/data/320187/000032018720000047/nke-531202010k.htm"/>
    <hyperlink ref="D9" r:id="rId10" tooltip="https://investors.nike.com/sec-filings/all-sec-filings/content/0000320187-20-000047/nke-531202010k.htm"/>
    <hyperlink ref="C10" r:id="rId11" tooltip="https://www.sec.gov/Archives/edgar/data/320187/000032018719000071/nke-831201910q.htm"/>
    <hyperlink ref="D10" r:id="rId12" tooltip="https://investors.nike.com/sec-filings/all-sec-filings/content/0000320187-19-000071/nke-831201910q.htm"/>
    <hyperlink ref="C11" r:id="rId13" tooltip="https://www.sec.gov/Archives/edgar/data/320187/000032018720000004/nke-1130201910q.htm"/>
    <hyperlink ref="D11" r:id="rId14" tooltip="https://investors.nike.com/sec-filings/all-sec-filings/content/0000320187-20-000004/nke-1130201910q.htm"/>
    <hyperlink ref="C12" r:id="rId15" tooltip="https://www.sec.gov/Archives/edgar/data/320187/000032018720000018/nke-229202010q.htm"/>
    <hyperlink ref="D12" r:id="rId16" tooltip="https://investors.nike.com/sec-filings/all-sec-filings/content/0000320187-20-000018/nke-229202010q.htm"/>
    <hyperlink ref="C13" r:id="rId17" tooltip="https://www.sec.gov/Archives/edgar/data/320187/000032018721000028/nke-20210531.htm"/>
    <hyperlink ref="D13" r:id="rId18" tooltip="https://investors.nike.com/sec-filings/all-sec-filings/content/0000320187-21-000028/nke-20210531.htm"/>
    <hyperlink ref="C14" r:id="rId19" tooltip="https://www.sec.gov/Archives/edgar/data/320187/000032018720000061/nke-20200831.htm"/>
    <hyperlink ref="D14" r:id="rId20" tooltip="https://investors.nike.com/sec-filings/all-sec-filings/content/0000320187-20-000061/nke-20200831.htm"/>
    <hyperlink ref="C15" r:id="rId21" tooltip="https://www.sec.gov/Archives/edgar/data/320187/000032018721000003/nke-20201130.htm"/>
    <hyperlink ref="D15" r:id="rId22" tooltip="https://investors.nike.com/sec-filings/all-sec-filings/content/0000320187-21-000003/nke-20201130.htm"/>
    <hyperlink ref="C16" r:id="rId23" tooltip="https://www.sec.gov/Archives/edgar/data/320187/000032018721000012/nke-20210228.htm"/>
    <hyperlink ref="D16" r:id="rId24" tooltip="https://investors.nike.com/sec-filings/all-sec-filings/content/0000320187-21-000012/nke-20210228.htm"/>
    <hyperlink ref="C17" r:id="rId25" tooltip="https://www.sec.gov/Archives/edgar/data/320187/000032018719000044/q4fy19exhibit991er.htm"/>
    <hyperlink ref="D17" r:id="rId26" tooltip="https://investors.nike.com/sec-filings/all-sec-filings/content/0000320187-19-000044/q4fy19exhibit991er.htm"/>
    <hyperlink ref="C18" r:id="rId27" tooltip="https://www.sec.gov/Archives/edgar/data/320187/000032018720000033/q4fy20exhibit991er.htm"/>
    <hyperlink ref="D18" r:id="rId28" tooltip="https://investors.nike.com/sec-filings/all-sec-filings/content/0000320187-20-000033/q4fy20exhibit991er.htm"/>
    <hyperlink ref="C19" r:id="rId29" tooltip="https://www.sec.gov/Archives/edgar/data/320187/000032018721000025/q4fy21exhibit991er.htm"/>
    <hyperlink ref="D19" r:id="rId30" tooltip="https://investors.nike.com/sec-filings/all-sec-filings/content/0000320187-21-000025/q4fy21exhibit991er.htm"/>
    <hyperlink ref="C20" r:id="rId31" tooltip="https://www.sec.gov/Archives/edgar/data/320187/000032018721000045/nke-20210831.htm"/>
    <hyperlink ref="D20" r:id="rId32" tooltip="https://investors.nike.com/sec-filings/all-sec-filings/content/0000320187-21-000045/nke-20210831.htm"/>
    <hyperlink ref="C21" r:id="rId33" tooltip="https://www.sec.gov/Archives/edgar/data/320187/000032018722000004/nke-20211130.htm"/>
    <hyperlink ref="D21" r:id="rId34" tooltip="https://investors.nike.com/sec-filings/all-sec-filings/content/0000320187-22-000004/nke-20211130.htm"/>
    <hyperlink ref="C22" r:id="rId35" tooltip="https://www.sec.gov/Archives/edgar/data/320187/000032018722000017/nke-20220228.htm"/>
    <hyperlink ref="D22" r:id="rId36" tooltip="https://investors.nike.com/sec-filings/all-sec-filings/content/0000320187-22-000017/nke-20220228.htm"/>
    <hyperlink ref="C23" r:id="rId37" tooltip="https://www.sec.gov/Archives/edgar/data/320187/000032018722000038/nke-20220531.htm"/>
    <hyperlink ref="D23" r:id="rId38" tooltip="https://investors.nike.com/sec-filings/all-sec-filings/content/0000320187-22-000038/nke-20220531.htm"/>
    <hyperlink ref="C24" r:id="rId39" tooltip="https://www.sec.gov/Archives/edgar/data/320187/000032018723000039/nke-20230531.htm"/>
    <hyperlink ref="D24" r:id="rId40" tooltip="https://investors.nike.com/sec-filings/all-sec-filings/content/0000320187-23-000039/nke-20230531.htm"/>
  </hyperlinks>
  <pageMargins left="0.7" right="0.7" top="0.75" bottom="0.75" header="0.3" footer="0.3"/>
  <pageSetup paperSize="9" fitToHeight="0" orientation="landscape"/>
  <headerFooter>
    <oddFooter>&amp;C&amp;8Trang &amp;P/&amp;N</oddFooter>
  </headerFooter>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7</vt:i4>
      </vt:variant>
      <vt:variant>
        <vt:lpstr>Named Ranges</vt:lpstr>
      </vt:variant>
      <vt:variant>
        <vt:i4>10</vt:i4>
      </vt:variant>
    </vt:vector>
  </HeadingPairs>
  <TitlesOfParts>
    <vt:vector size="17" baseType="lpstr">
      <vt:lpstr>01 Tổng quan</vt:lpstr>
      <vt:lpstr>02 Số liệu năm</vt:lpstr>
      <vt:lpstr>03 Số liệu quý</vt:lpstr>
      <vt:lpstr>04 Khu vực</vt:lpstr>
      <vt:lpstr>05 KPI năm</vt:lpstr>
      <vt:lpstr>06 KPI quý</vt:lpstr>
      <vt:lpstr>07 Nguồn và định nghĩa</vt:lpstr>
      <vt:lpstr>'02 Số liệu năm'!Print_Area</vt:lpstr>
      <vt:lpstr>'03 Số liệu quý'!Print_Area</vt:lpstr>
      <vt:lpstr>'04 Khu vực'!Print_Area</vt:lpstr>
      <vt:lpstr>'05 KPI năm'!Print_Area</vt:lpstr>
      <vt:lpstr>'06 KPI quý'!Print_Area</vt:lpstr>
      <vt:lpstr>'02 Số liệu năm'!Print_Titles</vt:lpstr>
      <vt:lpstr>'03 Số liệu quý'!Print_Titles</vt:lpstr>
      <vt:lpstr>'04 Khu vực'!Print_Titles</vt:lpstr>
      <vt:lpstr>'05 KPI năm'!Print_Titles</vt:lpstr>
      <vt:lpstr>'06 KPI quý'!Print_Titles</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NIKE Financial Dataset FY2019–FY2021</dc:title>
  <dc:subject>Dữ liệu tài chính NIKE, Inc. từ Form 10-K, 10-Q và thông cáo kết quả quý 4 (Form 8-K)</dc:subject>
  <dc:creator>Huyền Trang</dc:creator>
  <dc:description>Nguồn: NIKE, Inc. Form 10-K, 10-Q và thông cáo kết quả quý 4 (Form 8-K), FY2019–FY2021 (SEC EDGAR).</dc:description>
  <cp:lastModifiedBy>Huyền Trang</cp:lastModifiedBy>
  <dcterms:created xsi:type="dcterms:W3CDTF">2026-10-25T16:14:27Z</dcterms:created>
  <dcterms:modified xsi:type="dcterms:W3CDTF">2026-10-25T16:14:27Z</dcterms:modified>
</cp:coreProperties>
</file>