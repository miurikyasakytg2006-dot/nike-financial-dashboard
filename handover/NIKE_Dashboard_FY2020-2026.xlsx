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defaultThemeVersion="124226"/>
  <mc:AlternateContent xmlns:mc="http://schemas.openxmlformats.org/markup-compatibility/2006">
    <mc:Choice Requires="x15">
      <x15ac:absPath xmlns:x15ac="http://schemas.microsoft.com/office/spreadsheetml/2010/11/ac" url="D:\HuyenTrang\doi-moi-sang-tao\nike-financial-dashboard\handover\"/>
    </mc:Choice>
  </mc:AlternateContent>
  <xr:revisionPtr revIDLastSave="0" documentId="13_ncr:1_{8899FF96-FE6C-4D55-B6B5-73081F50DBE4}" xr6:coauthVersionLast="47" xr6:coauthVersionMax="47" xr10:uidLastSave="{00000000-0000-0000-0000-000000000000}"/>
  <bookViews>
    <workbookView xWindow="3800" yWindow="3800" windowWidth="18660" windowHeight="11710" xr2:uid="{00000000-000D-0000-FFFF-FFFF00000000}"/>
  </bookViews>
  <sheets>
    <sheet name="Chiến lược phân phối" sheetId="1" r:id="rId1"/>
    <sheet name="Kết quả tài chính" sheetId="2" r:id="rId2"/>
    <sheet name="Nguồn và phương pháp" sheetId="3" r:id="rId3"/>
    <sheet name="Dữ liệu biểu đồ" sheetId="4" state="hidden" r:id="rId4"/>
  </sheets>
  <definedNames>
    <definedName name="Slicer_Cơ_sở_tính_tăng_trưởng">#N/A</definedName>
    <definedName name="Slicer_Năm_tài_chính">#N/A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4" l="1"/>
  <c r="C25" i="4"/>
  <c r="C24" i="4"/>
  <c r="C23" i="4"/>
  <c r="C22" i="4"/>
  <c r="C21" i="4"/>
  <c r="C20" i="4"/>
  <c r="L61" i="2"/>
  <c r="K61" i="2"/>
  <c r="J61" i="2"/>
  <c r="I61" i="2"/>
  <c r="H61" i="2"/>
  <c r="G61" i="2"/>
  <c r="F61" i="2"/>
  <c r="L82" i="1"/>
  <c r="K82" i="1"/>
  <c r="J82" i="1"/>
  <c r="I82" i="1"/>
  <c r="H82" i="1"/>
  <c r="G82" i="1"/>
  <c r="F82" i="1"/>
  <c r="L96" i="2" l="1"/>
  <c r="L81" i="2"/>
  <c r="L88" i="2"/>
  <c r="L86" i="2"/>
  <c r="L99" i="2"/>
  <c r="L78" i="2"/>
  <c r="L83" i="2"/>
  <c r="L80" i="2"/>
  <c r="L92" i="2"/>
  <c r="L79" i="2"/>
  <c r="L77" i="2"/>
  <c r="L75" i="2"/>
  <c r="L93" i="2"/>
  <c r="L84" i="2"/>
  <c r="L97" i="2"/>
  <c r="L95" i="2"/>
  <c r="L74" i="2"/>
  <c r="L91" i="2"/>
  <c r="L87" i="2"/>
  <c r="L90" i="2"/>
  <c r="L82" i="2"/>
  <c r="L76" i="2"/>
  <c r="L89" i="2"/>
  <c r="K92" i="2"/>
  <c r="K76" i="2"/>
  <c r="K90" i="2"/>
  <c r="K78" i="2"/>
  <c r="K80" i="2"/>
  <c r="K96" i="2"/>
  <c r="K93" i="2"/>
  <c r="K87" i="2"/>
  <c r="K82" i="2"/>
  <c r="K84" i="2"/>
  <c r="K77" i="2"/>
  <c r="K83" i="2"/>
  <c r="K91" i="2"/>
  <c r="K97" i="2"/>
  <c r="K79" i="2"/>
  <c r="K89" i="2"/>
  <c r="K74" i="2"/>
  <c r="K99" i="2"/>
  <c r="K88" i="2"/>
  <c r="K86" i="2"/>
  <c r="K75" i="2"/>
  <c r="K81" i="2"/>
  <c r="K95" i="2"/>
  <c r="J86" i="2"/>
  <c r="J93" i="2"/>
  <c r="J95" i="2"/>
  <c r="J84" i="2"/>
  <c r="J87" i="2"/>
  <c r="J90" i="2"/>
  <c r="J77" i="2"/>
  <c r="J78" i="2"/>
  <c r="J97" i="2"/>
  <c r="J99" i="2"/>
  <c r="J88" i="2"/>
  <c r="J96" i="2"/>
  <c r="J81" i="2"/>
  <c r="J89" i="2"/>
  <c r="J80" i="2"/>
  <c r="J79" i="2"/>
  <c r="J82" i="2"/>
  <c r="J92" i="2"/>
  <c r="J91" i="2"/>
  <c r="J74" i="2"/>
  <c r="J83" i="2"/>
  <c r="J76" i="2"/>
  <c r="J75" i="2"/>
  <c r="I83" i="2"/>
  <c r="I78" i="2"/>
  <c r="I77" i="2"/>
  <c r="I75" i="2"/>
  <c r="I97" i="2"/>
  <c r="I86" i="2"/>
  <c r="I93" i="2"/>
  <c r="I91" i="2"/>
  <c r="I90" i="2"/>
  <c r="I89" i="2"/>
  <c r="I87" i="2"/>
  <c r="I100" i="2"/>
  <c r="I84" i="2"/>
  <c r="I82" i="2"/>
  <c r="I81" i="2"/>
  <c r="I80" i="2"/>
  <c r="I79" i="2"/>
  <c r="I74" i="2"/>
  <c r="I96" i="2"/>
  <c r="I95" i="2"/>
  <c r="I92" i="2"/>
  <c r="I99" i="2"/>
  <c r="I76" i="2"/>
  <c r="I88" i="2"/>
  <c r="H96" i="2"/>
  <c r="H89" i="2"/>
  <c r="H83" i="2"/>
  <c r="H79" i="2"/>
  <c r="H76" i="2"/>
  <c r="H100" i="2"/>
  <c r="H95" i="2"/>
  <c r="H99" i="2"/>
  <c r="H91" i="2"/>
  <c r="H92" i="2"/>
  <c r="H75" i="2"/>
  <c r="H80" i="2"/>
  <c r="H81" i="2"/>
  <c r="H93" i="2"/>
  <c r="H84" i="2"/>
  <c r="H77" i="2"/>
  <c r="H90" i="2"/>
  <c r="H78" i="2"/>
  <c r="H86" i="2"/>
  <c r="H97" i="2"/>
  <c r="H82" i="2"/>
  <c r="H88" i="2"/>
  <c r="H87" i="2"/>
  <c r="G90" i="2"/>
  <c r="G91" i="2"/>
  <c r="G97" i="2"/>
  <c r="G96" i="2"/>
  <c r="G75" i="2"/>
  <c r="G76" i="2"/>
  <c r="G95" i="2"/>
  <c r="G79" i="2"/>
  <c r="G80" i="2"/>
  <c r="G89" i="2"/>
  <c r="G77" i="2"/>
  <c r="G82" i="2"/>
  <c r="G84" i="2"/>
  <c r="G87" i="2"/>
  <c r="G81" i="2"/>
  <c r="G88" i="2"/>
  <c r="G83" i="2"/>
  <c r="G93" i="2"/>
  <c r="G99" i="2"/>
  <c r="G78" i="2"/>
  <c r="G100" i="2"/>
  <c r="G86" i="2"/>
  <c r="F87" i="2"/>
  <c r="F88" i="2"/>
  <c r="F83" i="2"/>
  <c r="F97" i="2"/>
  <c r="F81" i="2"/>
  <c r="F99" i="2"/>
  <c r="F93" i="2"/>
  <c r="F91" i="2"/>
  <c r="F95" i="2"/>
  <c r="F100" i="2"/>
  <c r="F96" i="2"/>
  <c r="F78" i="2"/>
  <c r="F80" i="2"/>
  <c r="F77" i="2"/>
  <c r="F90" i="2"/>
  <c r="F86" i="2"/>
  <c r="F89" i="2"/>
  <c r="F79" i="2"/>
  <c r="F76" i="2"/>
  <c r="F84" i="2"/>
  <c r="F75" i="2"/>
  <c r="F82" i="2"/>
  <c r="C31" i="4"/>
  <c r="C28" i="4"/>
  <c r="I13" i="2" s="1"/>
  <c r="C27" i="4"/>
  <c r="I13" i="1" s="1"/>
  <c r="C30" i="4"/>
  <c r="C29" i="4"/>
  <c r="H41" i="1" s="1"/>
  <c r="M11" i="4"/>
  <c r="L11" i="4"/>
  <c r="M10" i="4"/>
  <c r="L10" i="4"/>
  <c r="M9" i="4"/>
  <c r="L9" i="4"/>
  <c r="M8" i="4"/>
  <c r="L8" i="4"/>
  <c r="M7" i="4"/>
  <c r="L7" i="4"/>
  <c r="M6" i="4"/>
  <c r="L6" i="4"/>
  <c r="M5" i="4"/>
  <c r="L5" i="4"/>
  <c r="L103" i="2"/>
  <c r="L66" i="2"/>
  <c r="L71" i="2"/>
  <c r="L73" i="2"/>
  <c r="L67" i="2"/>
  <c r="L68" i="2"/>
  <c r="L69" i="2"/>
  <c r="L102" i="2"/>
  <c r="L100" i="2"/>
  <c r="L63" i="2"/>
  <c r="L64" i="2"/>
  <c r="L65" i="2"/>
  <c r="L72" i="2"/>
  <c r="L70" i="2"/>
  <c r="L101" i="2"/>
  <c r="K103" i="2"/>
  <c r="K72" i="2"/>
  <c r="K69" i="2"/>
  <c r="K71" i="2"/>
  <c r="K100" i="2"/>
  <c r="K70" i="2"/>
  <c r="K102" i="2"/>
  <c r="K68" i="2"/>
  <c r="K67" i="2"/>
  <c r="K66" i="2"/>
  <c r="K65" i="2"/>
  <c r="K73" i="2"/>
  <c r="K101" i="2"/>
  <c r="K64" i="2"/>
  <c r="K63" i="2"/>
  <c r="J103" i="2"/>
  <c r="J69" i="2"/>
  <c r="J68" i="2"/>
  <c r="J102" i="2"/>
  <c r="J67" i="2"/>
  <c r="J101" i="2"/>
  <c r="J63" i="2"/>
  <c r="J71" i="2"/>
  <c r="J100" i="2"/>
  <c r="J64" i="2"/>
  <c r="J65" i="2"/>
  <c r="J73" i="2"/>
  <c r="J70" i="2"/>
  <c r="J66" i="2"/>
  <c r="J72" i="2"/>
  <c r="I103" i="2"/>
  <c r="I69" i="2"/>
  <c r="I102" i="2"/>
  <c r="I63" i="2"/>
  <c r="I72" i="2"/>
  <c r="I101" i="2"/>
  <c r="I68" i="2"/>
  <c r="I64" i="2"/>
  <c r="I65" i="2"/>
  <c r="I73" i="2"/>
  <c r="I70" i="2"/>
  <c r="I71" i="2"/>
  <c r="I66" i="2"/>
  <c r="I67" i="2"/>
  <c r="H103" i="2"/>
  <c r="H73" i="2"/>
  <c r="H63" i="2"/>
  <c r="H102" i="2"/>
  <c r="H74" i="2"/>
  <c r="H101" i="2"/>
  <c r="H70" i="2"/>
  <c r="H69" i="2"/>
  <c r="H72" i="2"/>
  <c r="H68" i="2"/>
  <c r="H71" i="2"/>
  <c r="H67" i="2"/>
  <c r="H66" i="2"/>
  <c r="H65" i="2"/>
  <c r="H64" i="2"/>
  <c r="G103" i="2"/>
  <c r="G67" i="2"/>
  <c r="G72" i="2"/>
  <c r="G71" i="2"/>
  <c r="G70" i="2"/>
  <c r="G66" i="2"/>
  <c r="G74" i="2"/>
  <c r="G68" i="2"/>
  <c r="G65" i="2"/>
  <c r="G73" i="2"/>
  <c r="G92" i="2"/>
  <c r="G69" i="2"/>
  <c r="G64" i="2"/>
  <c r="G101" i="2"/>
  <c r="G102" i="2"/>
  <c r="G63" i="2"/>
  <c r="F103" i="2"/>
  <c r="F67" i="2"/>
  <c r="F70" i="2"/>
  <c r="F69" i="2"/>
  <c r="F66" i="2"/>
  <c r="F73" i="2"/>
  <c r="F71" i="2"/>
  <c r="F102" i="2"/>
  <c r="F65" i="2"/>
  <c r="F72" i="2"/>
  <c r="F92" i="2"/>
  <c r="F64" i="2"/>
  <c r="F74" i="2"/>
  <c r="F101" i="2"/>
  <c r="F68" i="2"/>
  <c r="F63" i="2"/>
  <c r="L108" i="1"/>
  <c r="L96" i="1"/>
  <c r="L95" i="1"/>
  <c r="L94" i="1"/>
  <c r="L88" i="1"/>
  <c r="L93" i="1"/>
  <c r="L91" i="1"/>
  <c r="L107" i="1"/>
  <c r="L90" i="1"/>
  <c r="L89" i="1"/>
  <c r="L87" i="1"/>
  <c r="L86" i="1"/>
  <c r="L85" i="1"/>
  <c r="L84" i="1"/>
  <c r="L106" i="1"/>
  <c r="L104" i="1"/>
  <c r="L103" i="1"/>
  <c r="L102" i="1"/>
  <c r="L101" i="1"/>
  <c r="L100" i="1"/>
  <c r="L99" i="1"/>
  <c r="L98" i="1"/>
  <c r="K108" i="1"/>
  <c r="K100" i="1"/>
  <c r="K102" i="1"/>
  <c r="K103" i="1"/>
  <c r="K101" i="1"/>
  <c r="K87" i="1"/>
  <c r="K107" i="1"/>
  <c r="K99" i="1"/>
  <c r="K86" i="1"/>
  <c r="K95" i="1"/>
  <c r="K88" i="1"/>
  <c r="K89" i="1"/>
  <c r="K94" i="1"/>
  <c r="K106" i="1"/>
  <c r="K93" i="1"/>
  <c r="K90" i="1"/>
  <c r="K98" i="1"/>
  <c r="K91" i="1"/>
  <c r="K104" i="1"/>
  <c r="K96" i="1"/>
  <c r="K85" i="1"/>
  <c r="K84" i="1"/>
  <c r="J95" i="1"/>
  <c r="J93" i="1"/>
  <c r="J94" i="1"/>
  <c r="J108" i="1"/>
  <c r="J90" i="1"/>
  <c r="J101" i="1"/>
  <c r="J99" i="1"/>
  <c r="J89" i="1"/>
  <c r="J104" i="1"/>
  <c r="J106" i="1"/>
  <c r="J87" i="1"/>
  <c r="J107" i="1"/>
  <c r="J91" i="1"/>
  <c r="J103" i="1"/>
  <c r="J88" i="1"/>
  <c r="J96" i="1"/>
  <c r="J98" i="1"/>
  <c r="J86" i="1"/>
  <c r="J102" i="1"/>
  <c r="J85" i="1"/>
  <c r="J100" i="1"/>
  <c r="J84" i="1"/>
  <c r="I98" i="1"/>
  <c r="I104" i="1"/>
  <c r="I91" i="1"/>
  <c r="I108" i="1"/>
  <c r="I88" i="1"/>
  <c r="I106" i="1"/>
  <c r="I99" i="1"/>
  <c r="I96" i="1"/>
  <c r="I94" i="1"/>
  <c r="I102" i="1"/>
  <c r="I93" i="1"/>
  <c r="I87" i="1"/>
  <c r="I103" i="1"/>
  <c r="I89" i="1"/>
  <c r="I95" i="1"/>
  <c r="I86" i="1"/>
  <c r="I101" i="1"/>
  <c r="I90" i="1"/>
  <c r="I85" i="1"/>
  <c r="I100" i="1"/>
  <c r="I107" i="1"/>
  <c r="I84" i="1"/>
  <c r="H94" i="1"/>
  <c r="H93" i="1"/>
  <c r="H91" i="1"/>
  <c r="H90" i="1"/>
  <c r="H89" i="1"/>
  <c r="H88" i="1"/>
  <c r="H108" i="1"/>
  <c r="H87" i="1"/>
  <c r="H107" i="1"/>
  <c r="H102" i="1"/>
  <c r="H106" i="1"/>
  <c r="H101" i="1"/>
  <c r="H86" i="1"/>
  <c r="H103" i="1"/>
  <c r="H100" i="1"/>
  <c r="H99" i="1"/>
  <c r="H98" i="1"/>
  <c r="H85" i="1"/>
  <c r="H96" i="1"/>
  <c r="H95" i="1"/>
  <c r="H104" i="1"/>
  <c r="H84" i="1"/>
  <c r="G90" i="1"/>
  <c r="G108" i="1"/>
  <c r="G100" i="1"/>
  <c r="G106" i="1"/>
  <c r="G95" i="1"/>
  <c r="G101" i="1"/>
  <c r="G88" i="1"/>
  <c r="G89" i="1"/>
  <c r="G87" i="1"/>
  <c r="G107" i="1"/>
  <c r="G102" i="1"/>
  <c r="G94" i="1"/>
  <c r="G93" i="1"/>
  <c r="G96" i="1"/>
  <c r="G86" i="1"/>
  <c r="G98" i="1"/>
  <c r="G91" i="1"/>
  <c r="G99" i="1"/>
  <c r="G85" i="1"/>
  <c r="G103" i="1"/>
  <c r="G104" i="1"/>
  <c r="G84" i="1"/>
  <c r="F87" i="1"/>
  <c r="F90" i="1"/>
  <c r="F93" i="1"/>
  <c r="F104" i="1"/>
  <c r="F101" i="1"/>
  <c r="F98" i="1"/>
  <c r="F95" i="1"/>
  <c r="F86" i="1"/>
  <c r="F89" i="1"/>
  <c r="F94" i="1"/>
  <c r="F102" i="1"/>
  <c r="F103" i="1"/>
  <c r="F99" i="1"/>
  <c r="F107" i="1"/>
  <c r="F85" i="1"/>
  <c r="F88" i="1"/>
  <c r="F91" i="1"/>
  <c r="F106" i="1"/>
  <c r="F100" i="1"/>
  <c r="F108" i="1"/>
  <c r="F96" i="1"/>
  <c r="F84" i="1"/>
  <c r="H59" i="1" l="1"/>
  <c r="B38" i="1"/>
  <c r="B59" i="1"/>
  <c r="B78" i="1"/>
  <c r="B34" i="2"/>
  <c r="F34" i="2"/>
  <c r="J34" i="2"/>
  <c r="B51" i="2"/>
  <c r="F51" i="2"/>
  <c r="J51" i="2"/>
</calcChain>
</file>

<file path=xl/sharedStrings.xml><?xml version="1.0" encoding="utf-8"?>
<sst xmlns="http://schemas.openxmlformats.org/spreadsheetml/2006/main" count="1010" uniqueCount="548">
  <si>
    <t>Dữ liệu cho biểu đồ và tóm tắt</t>
  </si>
  <si>
    <t>Lấy từ site/data/nike-financials.json (cùng dữ liệu với dashboard web). Slicer “Năm tài chính” lọc bảng tblNam; biểu đồ và tóm tắt chỉ dùng các năm đang hiện. Không sửa sheet này.</t>
  </si>
  <si>
    <t>Năm tài chính</t>
  </si>
  <si>
    <t>Năm</t>
  </si>
  <si>
    <t>Tỷ trọng NIKE Direct</t>
  </si>
  <si>
    <t>Tỷ trọng bán buôn</t>
  </si>
  <si>
    <t>Tỷ trọng Global Brand Divisions</t>
  </si>
  <si>
    <t>NIKE Direct (tỷ USD)</t>
  </si>
  <si>
    <t>Bán buôn (tỷ USD)</t>
  </si>
  <si>
    <t>Tăng trưởng NIKE Direct theo báo cáo</t>
  </si>
  <si>
    <t>Tăng trưởng bán buôn theo báo cáo</t>
  </si>
  <si>
    <t>Tăng trưởng NIKE Direct loại trừ tỷ giá</t>
  </si>
  <si>
    <t>Tăng trưởng bán buôn loại trừ tỷ giá</t>
  </si>
  <si>
    <t>NIKE Direct (biểu đồ tăng trưởng)</t>
  </si>
  <si>
    <t>Bán buôn (biểu đồ tăng trưởng)</t>
  </si>
  <si>
    <t>NIKE Brand Digital (tỷ USD)</t>
  </si>
  <si>
    <t>Doanh thu NIKE, Inc. (tỷ USD)</t>
  </si>
  <si>
    <t>Biên lợi nhuận gộp</t>
  </si>
  <si>
    <t>Vận hành chung / doanh thu</t>
  </si>
  <si>
    <t>Tạo nhu cầu / doanh thu</t>
  </si>
  <si>
    <t>Tổng SG&amp;A / doanh thu</t>
  </si>
  <si>
    <t>Biên EBIT</t>
  </si>
  <si>
    <t>Hàng tồn kho (tỷ USD)</t>
  </si>
  <si>
    <t>Số ngày tồn kho bình quân</t>
  </si>
  <si>
    <t>Tỷ trọng NIKE Direct (chữ)</t>
  </si>
  <si>
    <t>Tỷ trọng bán buôn (chữ)</t>
  </si>
  <si>
    <t>NIKE Direct (chữ)</t>
  </si>
  <si>
    <t>Bán buôn (chữ)</t>
  </si>
  <si>
    <t>Doanh thu (chữ)</t>
  </si>
  <si>
    <t>Biên lợi nhuận gộp (chữ)</t>
  </si>
  <si>
    <t>Biên EBIT (chữ)</t>
  </si>
  <si>
    <t>Hàng tồn kho (chữ)</t>
  </si>
  <si>
    <t>FY2020</t>
  </si>
  <si>
    <t>34,8%</t>
  </si>
  <si>
    <t>65,1%</t>
  </si>
  <si>
    <t>12,4</t>
  </si>
  <si>
    <t>23,2</t>
  </si>
  <si>
    <t>37,4</t>
  </si>
  <si>
    <t>43,4%</t>
  </si>
  <si>
    <t>8,0%</t>
  </si>
  <si>
    <t>7,4</t>
  </si>
  <si>
    <t>FY2021</t>
  </si>
  <si>
    <t>38,7%</t>
  </si>
  <si>
    <t>61,2%</t>
  </si>
  <si>
    <t>16,4</t>
  </si>
  <si>
    <t>25,9</t>
  </si>
  <si>
    <t>44,5</t>
  </si>
  <si>
    <t>44,8%</t>
  </si>
  <si>
    <t>15,5%</t>
  </si>
  <si>
    <t>6,9</t>
  </si>
  <si>
    <t>FY2022</t>
  </si>
  <si>
    <t>42,1%</t>
  </si>
  <si>
    <t>57,6%</t>
  </si>
  <si>
    <t>18,7</t>
  </si>
  <si>
    <t>25,6</t>
  </si>
  <si>
    <t>46,7</t>
  </si>
  <si>
    <t>46,0%</t>
  </si>
  <si>
    <t>14,7%</t>
  </si>
  <si>
    <t>8,4</t>
  </si>
  <si>
    <t>FY2023</t>
  </si>
  <si>
    <t>43,7%</t>
  </si>
  <si>
    <t>56,2%</t>
  </si>
  <si>
    <t>21,3</t>
  </si>
  <si>
    <t>27,4</t>
  </si>
  <si>
    <t>51,2</t>
  </si>
  <si>
    <t>43,5%</t>
  </si>
  <si>
    <t>12,1%</t>
  </si>
  <si>
    <t>8,5</t>
  </si>
  <si>
    <t>FY2024</t>
  </si>
  <si>
    <t>43,6%</t>
  </si>
  <si>
    <t>56,3%</t>
  </si>
  <si>
    <t>21,5</t>
  </si>
  <si>
    <t>27,8</t>
  </si>
  <si>
    <t>51,4</t>
  </si>
  <si>
    <t>44,6%</t>
  </si>
  <si>
    <t>12,7%</t>
  </si>
  <si>
    <t>7,5</t>
  </si>
  <si>
    <t>FY2025</t>
  </si>
  <si>
    <t>42,0%</t>
  </si>
  <si>
    <t>57,9%</t>
  </si>
  <si>
    <t>18,8</t>
  </si>
  <si>
    <t>46,3</t>
  </si>
  <si>
    <t>42,7%</t>
  </si>
  <si>
    <t>8,2%</t>
  </si>
  <si>
    <t>FY2026</t>
  </si>
  <si>
    <t>39,2%</t>
  </si>
  <si>
    <t>60,7%</t>
  </si>
  <si>
    <t>17,7</t>
  </si>
  <si>
    <t>27,5</t>
  </si>
  <si>
    <t>46,4</t>
  </si>
  <si>
    <t>42,9%</t>
  </si>
  <si>
    <t>8,3%</t>
  </si>
  <si>
    <t>Cơ sở tính tăng trưởng</t>
  </si>
  <si>
    <t>Theo báo cáo</t>
  </si>
  <si>
    <t>Loại trừ tỷ giá</t>
  </si>
  <si>
    <t>Biến phụ cho tóm tắt</t>
  </si>
  <si>
    <t>Cơ sở tăng trưởng</t>
  </si>
  <si>
    <t>Năm đầu</t>
  </si>
  <si>
    <t>Năm cuối</t>
  </si>
  <si>
    <t>Số năm</t>
  </si>
  <si>
    <t>Năm tỷ trọng Direct cao nhất</t>
  </si>
  <si>
    <t>Năm tỷ trọng Direct thấp nhất</t>
  </si>
  <si>
    <t>Năm biên EBIT cao nhất</t>
  </si>
  <si>
    <t>channels</t>
  </si>
  <si>
    <t>performance</t>
  </si>
  <si>
    <t>growth_sub</t>
  </si>
  <si>
    <t>growth_source</t>
  </si>
  <si>
    <t>reports</t>
  </si>
  <si>
    <t>Văn bản cho bảng số liệu (định dạng như dashboard web)</t>
  </si>
  <si>
    <t>Bảng</t>
  </si>
  <si>
    <t>Mã</t>
  </si>
  <si>
    <t>Liên kết FY2020</t>
  </si>
  <si>
    <t>Liên kết FY2021</t>
  </si>
  <si>
    <t>Liên kết FY2022</t>
  </si>
  <si>
    <t>Liên kết FY2023</t>
  </si>
  <si>
    <t>Liên kết FY2024</t>
  </si>
  <si>
    <t>Liên kết FY2025</t>
  </si>
  <si>
    <t>Liên kết FY2026</t>
  </si>
  <si>
    <t>Chiến lược phân phối</t>
  </si>
  <si>
    <t>nike_direct_revenue</t>
  </si>
  <si>
    <t>12.382</t>
  </si>
  <si>
    <t>16.370</t>
  </si>
  <si>
    <t>18.726</t>
  </si>
  <si>
    <t>21.308</t>
  </si>
  <si>
    <t>21.519</t>
  </si>
  <si>
    <t>18.783</t>
  </si>
  <si>
    <t>17.720</t>
  </si>
  <si>
    <t>https://www.sec.gov/Archives/edgar/data/320187/000032018720000047/nke-531202010k.htm</t>
  </si>
  <si>
    <t>https://www.sec.gov/Archives/edgar/data/320187/000032018721000028/nke-20210531.htm</t>
  </si>
  <si>
    <t>https://www.sec.gov/Archives/edgar/data/320187/000032018722000038/nke-20220531.htm</t>
  </si>
  <si>
    <t>https://www.sec.gov/Archives/edgar/data/320187/000032018723000039/nke-20230531.htm</t>
  </si>
  <si>
    <t>https://www.sec.gov/Archives/edgar/data/320187/000032018724000044/nke-20240531.htm</t>
  </si>
  <si>
    <t>https://www.sec.gov/Archives/edgar/data/320187/000032018725000047/nke-20250531.htm</t>
  </si>
  <si>
    <t>https://www.sec.gov/Archives/edgar/data/320187/000032018726000088/nke-20260531.htm</t>
  </si>
  <si>
    <t>nike_direct_revenue (trang)</t>
  </si>
  <si>
    <t>tr. 88</t>
  </si>
  <si>
    <t>tr. 86</t>
  </si>
  <si>
    <t>tr. 85</t>
  </si>
  <si>
    <t>tr. 83</t>
  </si>
  <si>
    <t>tr. 84</t>
  </si>
  <si>
    <t>tr. 82</t>
  </si>
  <si>
    <t>nike_brand_wholesale_revenue</t>
  </si>
  <si>
    <t>23.156</t>
  </si>
  <si>
    <t>25.898</t>
  </si>
  <si>
    <t>25.608</t>
  </si>
  <si>
    <t>27.397</t>
  </si>
  <si>
    <t>27.758</t>
  </si>
  <si>
    <t>25.883</t>
  </si>
  <si>
    <t>27.453</t>
  </si>
  <si>
    <t>nike_brand_wholesale_revenue (trang)</t>
  </si>
  <si>
    <t>global_brand_divisions_revenue</t>
  </si>
  <si>
    <t>30</t>
  </si>
  <si>
    <t>25</t>
  </si>
  <si>
    <t>102</t>
  </si>
  <si>
    <t>58</t>
  </si>
  <si>
    <t>45</t>
  </si>
  <si>
    <t>48</t>
  </si>
  <si>
    <t>49</t>
  </si>
  <si>
    <t>global_brand_divisions_revenue (trang)</t>
  </si>
  <si>
    <t>nike_brand_revenue</t>
  </si>
  <si>
    <t>35.568</t>
  </si>
  <si>
    <t>42.293</t>
  </si>
  <si>
    <t>44.436</t>
  </si>
  <si>
    <t>48.763</t>
  </si>
  <si>
    <t>49.322</t>
  </si>
  <si>
    <t>44.714</t>
  </si>
  <si>
    <t>45.222</t>
  </si>
  <si>
    <t>nike_brand_revenue (trang)</t>
  </si>
  <si>
    <t>direct_share</t>
  </si>
  <si>
    <t>direct_share (trang)</t>
  </si>
  <si>
    <t>wholesale_share</t>
  </si>
  <si>
    <t>wholesale_share (trang)</t>
  </si>
  <si>
    <t>nike_direct_share_stated</t>
  </si>
  <si>
    <t>35%</t>
  </si>
  <si>
    <t>39%</t>
  </si>
  <si>
    <t>42%</t>
  </si>
  <si>
    <t>44%</t>
  </si>
  <si>
    <t>Không công bố</t>
  </si>
  <si>
    <t>nike_direct_share_stated (trang)</t>
  </si>
  <si>
    <t>tr. 32</t>
  </si>
  <si>
    <t>tr. 33</t>
  </si>
  <si>
    <t>tr. 28</t>
  </si>
  <si>
    <t>tr. 30</t>
  </si>
  <si>
    <t>tr. 29</t>
  </si>
  <si>
    <t>direct_growth</t>
  </si>
  <si>
    <t>+5,4%</t>
  </si>
  <si>
    <t>+32,2%</t>
  </si>
  <si>
    <t>+14,4%</t>
  </si>
  <si>
    <t>+13,8%</t>
  </si>
  <si>
    <t>+1,0%</t>
  </si>
  <si>
    <t>−12,7%</t>
  </si>
  <si>
    <t>−5,7%</t>
  </si>
  <si>
    <t>direct_growth (trang)</t>
  </si>
  <si>
    <t>nike_direct_pct_change_cn</t>
  </si>
  <si>
    <t>+8%</t>
  </si>
  <si>
    <t>+30%</t>
  </si>
  <si>
    <t>+15%</t>
  </si>
  <si>
    <t>+20%</t>
  </si>
  <si>
    <t>+1%</t>
  </si>
  <si>
    <t>−12%</t>
  </si>
  <si>
    <t>−8%</t>
  </si>
  <si>
    <t>nike_direct_pct_change_cn (trang)</t>
  </si>
  <si>
    <t>tr. 31</t>
  </si>
  <si>
    <t>tr. 34</t>
  </si>
  <si>
    <t>wholesale_growth</t>
  </si>
  <si>
    <t>−8,9%</t>
  </si>
  <si>
    <t>+11,8%</t>
  </si>
  <si>
    <t>−1,1%</t>
  </si>
  <si>
    <t>+7,0%</t>
  </si>
  <si>
    <t>+1,3%</t>
  </si>
  <si>
    <t>−6,8%</t>
  </si>
  <si>
    <t>+6,1%</t>
  </si>
  <si>
    <t>wholesale_growth (trang)</t>
  </si>
  <si>
    <t>nike_brand_wholesale_pct_change_cn</t>
  </si>
  <si>
    <t>−7%</t>
  </si>
  <si>
    <t>+10%</t>
  </si>
  <si>
    <t>−1%</t>
  </si>
  <si>
    <t>+14%</t>
  </si>
  <si>
    <t>+2%</t>
  </si>
  <si>
    <t>−6%</t>
  </si>
  <si>
    <t>+4%</t>
  </si>
  <si>
    <t>nike_brand_wholesale_pct_change_cn (trang)</t>
  </si>
  <si>
    <t>nike_brand_growth</t>
  </si>
  <si>
    <t>−4,4%</t>
  </si>
  <si>
    <t>+18,9%</t>
  </si>
  <si>
    <t>+5,1%</t>
  </si>
  <si>
    <t>+9,7%</t>
  </si>
  <si>
    <t>+1,1%</t>
  </si>
  <si>
    <t>−9,3%</t>
  </si>
  <si>
    <t>nike_brand_growth (trang)</t>
  </si>
  <si>
    <t>nike_brand_digital_sales</t>
  </si>
  <si>
    <t>5,5</t>
  </si>
  <si>
    <t>9,1</t>
  </si>
  <si>
    <t>10,7</t>
  </si>
  <si>
    <t>12,6</t>
  </si>
  <si>
    <t>12,1</t>
  </si>
  <si>
    <t>9,6</t>
  </si>
  <si>
    <t>8,6</t>
  </si>
  <si>
    <t>nike_brand_digital_sales (trang)</t>
  </si>
  <si>
    <t>tr. 35</t>
  </si>
  <si>
    <t>digital_share_of_direct</t>
  </si>
  <si>
    <t>56%</t>
  </si>
  <si>
    <t>57%</t>
  </si>
  <si>
    <t>59%</t>
  </si>
  <si>
    <t>51%</t>
  </si>
  <si>
    <t>49%</t>
  </si>
  <si>
    <t>digital_share_of_direct (trang)</t>
  </si>
  <si>
    <t>Kết quả tài chính</t>
  </si>
  <si>
    <t>revenues</t>
  </si>
  <si>
    <t>37.403</t>
  </si>
  <si>
    <t>44.538</t>
  </si>
  <si>
    <t>46.710</t>
  </si>
  <si>
    <t>51.217</t>
  </si>
  <si>
    <t>51.362</t>
  </si>
  <si>
    <t>46.309</t>
  </si>
  <si>
    <t>46.398</t>
  </si>
  <si>
    <t>revenues (trang)</t>
  </si>
  <si>
    <t>tr. 56</t>
  </si>
  <si>
    <t>tr. 57</t>
  </si>
  <si>
    <t>tr. 55</t>
  </si>
  <si>
    <t>cost_of_sales</t>
  </si>
  <si>
    <t>21.162</t>
  </si>
  <si>
    <t>24.576</t>
  </si>
  <si>
    <t>25.231</t>
  </si>
  <si>
    <t>28.925</t>
  </si>
  <si>
    <t>28.475</t>
  </si>
  <si>
    <t>26.519</t>
  </si>
  <si>
    <t>26.487</t>
  </si>
  <si>
    <t>cost_of_sales (trang)</t>
  </si>
  <si>
    <t>gross_profit</t>
  </si>
  <si>
    <t>16.241</t>
  </si>
  <si>
    <t>19.962</t>
  </si>
  <si>
    <t>21.479</t>
  </si>
  <si>
    <t>22.292</t>
  </si>
  <si>
    <t>22.887</t>
  </si>
  <si>
    <t>19.790</t>
  </si>
  <si>
    <t>19.911</t>
  </si>
  <si>
    <t>gross_profit (trang)</t>
  </si>
  <si>
    <t>demand_creation_expense</t>
  </si>
  <si>
    <t>3.592</t>
  </si>
  <si>
    <t>3.114</t>
  </si>
  <si>
    <t>3.850</t>
  </si>
  <si>
    <t>4.060</t>
  </si>
  <si>
    <t>4.285</t>
  </si>
  <si>
    <t>4.689</t>
  </si>
  <si>
    <t>4.754</t>
  </si>
  <si>
    <t>demand_creation_expense (trang)</t>
  </si>
  <si>
    <t>operating_overhead_expense</t>
  </si>
  <si>
    <t>9.534</t>
  </si>
  <si>
    <t>9.911</t>
  </si>
  <si>
    <t>10.954</t>
  </si>
  <si>
    <t>12.317</t>
  </si>
  <si>
    <t>12.291</t>
  </si>
  <si>
    <t>11.399</t>
  </si>
  <si>
    <t>11.360</t>
  </si>
  <si>
    <t>operating_overhead_expense (trang)</t>
  </si>
  <si>
    <t>total_selling_admin_expense</t>
  </si>
  <si>
    <t>13.126</t>
  </si>
  <si>
    <t>13.025</t>
  </si>
  <si>
    <t>14.804</t>
  </si>
  <si>
    <t>16.377</t>
  </si>
  <si>
    <t>16.576</t>
  </si>
  <si>
    <t>16.088</t>
  </si>
  <si>
    <t>16.114</t>
  </si>
  <si>
    <t>total_selling_admin_expense (trang)</t>
  </si>
  <si>
    <t>interest_expense_net</t>
  </si>
  <si>
    <t>89</t>
  </si>
  <si>
    <t>262</t>
  </si>
  <si>
    <t>205</t>
  </si>
  <si>
    <t>(6)</t>
  </si>
  <si>
    <t>(161)</t>
  </si>
  <si>
    <t>(107)</t>
  </si>
  <si>
    <t>(50)</t>
  </si>
  <si>
    <t>interest_expense_net (trang)</t>
  </si>
  <si>
    <t>other_expense_net</t>
  </si>
  <si>
    <t>139</t>
  </si>
  <si>
    <t>14</t>
  </si>
  <si>
    <t>(181)</t>
  </si>
  <si>
    <t>(280)</t>
  </si>
  <si>
    <t>(228)</t>
  </si>
  <si>
    <t>(76)</t>
  </si>
  <si>
    <t>(53)</t>
  </si>
  <si>
    <t>other_expense_net (trang)</t>
  </si>
  <si>
    <t>income_before_taxes</t>
  </si>
  <si>
    <t>2.887</t>
  </si>
  <si>
    <t>6.661</t>
  </si>
  <si>
    <t>6.651</t>
  </si>
  <si>
    <t>6.201</t>
  </si>
  <si>
    <t>6.700</t>
  </si>
  <si>
    <t>3.885</t>
  </si>
  <si>
    <t>3.900</t>
  </si>
  <si>
    <t>income_before_taxes (trang)</t>
  </si>
  <si>
    <t>income_tax_expense</t>
  </si>
  <si>
    <t>348</t>
  </si>
  <si>
    <t>934</t>
  </si>
  <si>
    <t>605</t>
  </si>
  <si>
    <t>1.131</t>
  </si>
  <si>
    <t>1.000</t>
  </si>
  <si>
    <t>666</t>
  </si>
  <si>
    <t>792</t>
  </si>
  <si>
    <t>income_tax_expense (trang)</t>
  </si>
  <si>
    <t>net_income</t>
  </si>
  <si>
    <t>2.539</t>
  </si>
  <si>
    <t>5.727</t>
  </si>
  <si>
    <t>6.046</t>
  </si>
  <si>
    <t>5.070</t>
  </si>
  <si>
    <t>5.700</t>
  </si>
  <si>
    <t>3.219</t>
  </si>
  <si>
    <t>3.108</t>
  </si>
  <si>
    <t>net_income (trang)</t>
  </si>
  <si>
    <t>revenue_growth</t>
  </si>
  <si>
    <t>+19,1%</t>
  </si>
  <si>
    <t>+4,9%</t>
  </si>
  <si>
    <t>+9,6%</t>
  </si>
  <si>
    <t>+0,3%</t>
  </si>
  <si>
    <t>−9,8%</t>
  </si>
  <si>
    <t>+0,2%</t>
  </si>
  <si>
    <t>revenue_growth (trang)</t>
  </si>
  <si>
    <t>revenues_pct_change_cn</t>
  </si>
  <si>
    <t>−2%</t>
  </si>
  <si>
    <t>+17%</t>
  </si>
  <si>
    <t>+6%</t>
  </si>
  <si>
    <t>+16%</t>
  </si>
  <si>
    <t>−9%</t>
  </si>
  <si>
    <t>revenues_pct_change_cn (trang)</t>
  </si>
  <si>
    <t>gross_margin</t>
  </si>
  <si>
    <t>gross_margin (trang)</t>
  </si>
  <si>
    <t>sga_ratio</t>
  </si>
  <si>
    <t>35,1%</t>
  </si>
  <si>
    <t>29,2%</t>
  </si>
  <si>
    <t>31,7%</t>
  </si>
  <si>
    <t>32,0%</t>
  </si>
  <si>
    <t>32,3%</t>
  </si>
  <si>
    <t>34,7%</t>
  </si>
  <si>
    <t>sga_ratio (trang)</t>
  </si>
  <si>
    <t>demand_creation_ratio</t>
  </si>
  <si>
    <t>9,6%</t>
  </si>
  <si>
    <t>7,0%</t>
  </si>
  <si>
    <t>7,9%</t>
  </si>
  <si>
    <t>10,1%</t>
  </si>
  <si>
    <t>10,2%</t>
  </si>
  <si>
    <t>demand_creation_ratio (trang)</t>
  </si>
  <si>
    <t>operating_overhead_ratio</t>
  </si>
  <si>
    <t>25,5%</t>
  </si>
  <si>
    <t>22,3%</t>
  </si>
  <si>
    <t>23,5%</t>
  </si>
  <si>
    <t>24,0%</t>
  </si>
  <si>
    <t>23,9%</t>
  </si>
  <si>
    <t>24,6%</t>
  </si>
  <si>
    <t>24,5%</t>
  </si>
  <si>
    <t>operating_overhead_ratio (trang)</t>
  </si>
  <si>
    <t>net_income_margin</t>
  </si>
  <si>
    <t>6,8%</t>
  </si>
  <si>
    <t>12,9%</t>
  </si>
  <si>
    <t>9,9%</t>
  </si>
  <si>
    <t>11,1%</t>
  </si>
  <si>
    <t>6,7%</t>
  </si>
  <si>
    <t>net_income_margin (trang)</t>
  </si>
  <si>
    <t>ebit_reported</t>
  </si>
  <si>
    <t>2.976</t>
  </si>
  <si>
    <t>6.923</t>
  </si>
  <si>
    <t>6.856</t>
  </si>
  <si>
    <t>6.195</t>
  </si>
  <si>
    <t>6.539</t>
  </si>
  <si>
    <t>3.778</t>
  </si>
  <si>
    <t>ebit_reported (trang)</t>
  </si>
  <si>
    <t>tr. 36</t>
  </si>
  <si>
    <t>tr. 38</t>
  </si>
  <si>
    <t>tr. 37</t>
  </si>
  <si>
    <t>ebit_margin</t>
  </si>
  <si>
    <t>ebit_margin (trang)</t>
  </si>
  <si>
    <t>inventories</t>
  </si>
  <si>
    <t>7.367</t>
  </si>
  <si>
    <t>6.854</t>
  </si>
  <si>
    <t>8.420</t>
  </si>
  <si>
    <t>8.454</t>
  </si>
  <si>
    <t>7.519</t>
  </si>
  <si>
    <t>7.489</t>
  </si>
  <si>
    <t>7.501</t>
  </si>
  <si>
    <t>inventories (trang)</t>
  </si>
  <si>
    <t>tr. 58</t>
  </si>
  <si>
    <t>tr. 59</t>
  </si>
  <si>
    <t>inventory_growth</t>
  </si>
  <si>
    <t>+31,0%</t>
  </si>
  <si>
    <t>−7,0%</t>
  </si>
  <si>
    <t>+22,8%</t>
  </si>
  <si>
    <t>+0,4%</t>
  </si>
  <si>
    <t>−11,1%</t>
  </si>
  <si>
    <t>−0,4%</t>
  </si>
  <si>
    <t>inventory_growth (trang)</t>
  </si>
  <si>
    <t>inventory_turnover</t>
  </si>
  <si>
    <t>3,26</t>
  </si>
  <si>
    <t>3,46</t>
  </si>
  <si>
    <t>3,30</t>
  </si>
  <si>
    <t>3,43</t>
  </si>
  <si>
    <t>3,57</t>
  </si>
  <si>
    <t>3,53</t>
  </si>
  <si>
    <t>inventory_turnover (trang)</t>
  </si>
  <si>
    <t>days_inventory</t>
  </si>
  <si>
    <t>112,0</t>
  </si>
  <si>
    <t>105,6</t>
  </si>
  <si>
    <t>110,5</t>
  </si>
  <si>
    <t>106,5</t>
  </si>
  <si>
    <t>102,4</t>
  </si>
  <si>
    <t>103,3</t>
  </si>
  <si>
    <t>days_inventory (trang)</t>
  </si>
  <si>
    <t>Phân phối và kết quả tài chính của NIKE, FY2020–FY2026</t>
  </si>
  <si>
    <t>Số liệu lấy từ báo cáo thường niên Form 10‑K mà NIKE, Inc. nộp cho Ủy ban Chứng khoán Mỹ (SEC). Năm tài chính của NIKE kết thúc ngày 31/5.</t>
  </si>
  <si>
    <t>Tải bộ dữ liệu Excel</t>
  </si>
  <si>
    <t>Nguồn và phương pháp</t>
  </si>
  <si>
    <t>Mở dashboard web</t>
  </si>
  <si>
    <t>Bấm một năm để lọc, giữ Ctrl để chọn nhiều năm. Bấm nút xóa lọc ở góc slicer để xem lại đủ 7 năm.</t>
  </si>
  <si>
    <t>Cơ cấu doanh thu giữa NIKE Direct và bán buôn đã thay đổi thế nào trong FY2020–FY2026?</t>
  </si>
  <si>
    <t>Tóm tắt theo khoảng năm đang chọn</t>
  </si>
  <si>
    <t>Cơ cấu doanh thu NIKE Brand theo kênh</t>
  </si>
  <si>
    <t>Tỷ trọng trong tổng doanh thu NIKE Brand (%), do nhóm tự tính từ số liệu 10‑K.</t>
  </si>
  <si>
    <t>Doanh thu theo kênh</t>
  </si>
  <si>
    <t>Tỷ USD, phạm vi NIKE Brand. Số do NIKE công bố.</t>
  </si>
  <si>
    <t>Tăng trưởng so với năm trước</t>
  </si>
  <si>
    <t>NIKE Brand Digital trong NIKE Direct</t>
  </si>
  <si>
    <t>Tỷ USD. Digital là một phần của NIKE Direct (cùng với cửa hàng do NIKE sở hữu).</t>
  </si>
  <si>
    <r>
      <rPr>
        <b/>
        <sz val="12"/>
        <color rgb="FF15191E"/>
        <rFont val="Arial"/>
        <family val="2"/>
      </rPr>
      <t xml:space="preserve">Cách đọc số liệu kênh
</t>
    </r>
    <r>
      <rPr>
        <b/>
        <sz val="10"/>
        <color rgb="FF15191E"/>
        <rFont val="Arial"/>
        <family val="2"/>
      </rPr>
      <t xml:space="preserve">NIKE Brand, không phải NIKE, Inc.
</t>
    </r>
    <r>
      <rPr>
        <sz val="10"/>
        <color rgb="FF3B4350"/>
        <rFont val="Arial"/>
        <family val="2"/>
      </rPr>
      <t xml:space="preserve">Tỷ trọng các kênh được tính trên tổng doanh thu NIKE Brand. Converse (có kênh bán trực tiếp riêng) và Corporate không nằm trong các con số này.
</t>
    </r>
    <r>
      <rPr>
        <b/>
        <sz val="10"/>
        <color rgb="FF15191E"/>
        <rFont val="Arial"/>
        <family val="2"/>
      </rPr>
      <t xml:space="preserve">
NIKE Direct gồm cửa hàng và Digital
</t>
    </r>
    <r>
      <rPr>
        <sz val="10"/>
        <color rgb="FF3B4350"/>
        <rFont val="Arial"/>
        <family val="2"/>
      </rPr>
      <t xml:space="preserve">NIKE chỉ công bố doanh số Digital trong phần MD&amp;A và làm tròn đến 0,1 tỷ USD. Trong 10‑K FY2024, số FY2023 được trình bày lại từ 12,6 xuống 12,4 tỷ USD, nên khi so FY2024 (12,1 tỷ USD) với năm trước cần dùng số 12,4 để cùng cách phân loại.
</t>
    </r>
    <r>
      <rPr>
        <b/>
        <sz val="10"/>
        <color rgb="FF15191E"/>
        <rFont val="Arial"/>
        <family val="2"/>
      </rPr>
      <t xml:space="preserve">
Theo báo cáo và loại trừ tỷ giá
</t>
    </r>
    <r>
      <rPr>
        <sz val="10"/>
        <color rgb="FF3B4350"/>
        <rFont val="Arial"/>
        <family val="2"/>
      </rPr>
      <t xml:space="preserve">Tăng trưởng theo báo cáo được tính từ doanh thu năm nay và số năm trước trong cùng 10‑K. Tăng trưởng loại trừ tỷ giá là chỉ tiêu non‑GAAP do NIKE tính, nhóm không tự tính lại được.
</t>
    </r>
    <r>
      <rPr>
        <b/>
        <sz val="10"/>
        <color rgb="FF15191E"/>
        <rFont val="Arial"/>
        <family val="2"/>
      </rPr>
      <t xml:space="preserve">
Doanh thu không phải lợi nhuận
</t>
    </r>
    <r>
      <rPr>
        <sz val="10"/>
        <color rgb="FF3B4350"/>
        <rFont val="Arial"/>
        <family val="2"/>
      </rPr>
      <t xml:space="preserve">NIKE không công bố lợi nhuận hay chi phí riêng của từng kênh, nên trang này không so sánh khả năng sinh lời giữa các kênh.
</t>
    </r>
  </si>
  <si>
    <t>Bảng số liệu kênh phân phối</t>
  </si>
  <si>
    <t>Số NIKE công bố có số trang 10‑K ở dòng nhỏ ngay dưới (bấm vào số trang để mở báo cáo trên SEC). Số in nghiêng là số nhóm tự tính.</t>
  </si>
  <si>
    <t>Chỉ tiêu</t>
  </si>
  <si>
    <t>Đơn vị</t>
  </si>
  <si>
    <t>Doanh thu NIKE Brand</t>
  </si>
  <si>
    <t>NIKE Direct</t>
  </si>
  <si>
    <t>triệu USD</t>
  </si>
  <si>
    <t>Bán buôn (Wholesale)</t>
  </si>
  <si>
    <t>Global Brand Divisions</t>
  </si>
  <si>
    <t>Tổng doanh thu NIKE Brand</t>
  </si>
  <si>
    <t>Cơ cấu theo kênh</t>
  </si>
  <si>
    <t>%</t>
  </si>
  <si>
    <t>Tỷ trọng NIKE Direct do NIKE nêu (xấp xỉ)</t>
  </si>
  <si>
    <t>NIKE Direct, theo báo cáo</t>
  </si>
  <si>
    <t>NIKE Direct, loại trừ tỷ giá (non‑GAAP)</t>
  </si>
  <si>
    <t>Bán buôn, theo báo cáo</t>
  </si>
  <si>
    <t>Bán buôn, loại trừ tỷ giá (non‑GAAP)</t>
  </si>
  <si>
    <t>NIKE Brand, theo báo cáo</t>
  </si>
  <si>
    <t>NIKE Brand Digital (một phần của NIKE Direct)</t>
  </si>
  <si>
    <t>Doanh số Digital</t>
  </si>
  <si>
    <t>tỷ USD</t>
  </si>
  <si>
    <t>Digital trong NIKE Direct (xấp xỉ)</t>
  </si>
  <si>
    <t>Kết quả tài chính hợp nhất của NIKE biến động ra sao trong cùng giai đoạn?</t>
  </si>
  <si>
    <t>Doanh thu</t>
  </si>
  <si>
    <t>Tỷ USD, NIKE, Inc.</t>
  </si>
  <si>
    <t>% doanh thu, NIKE, Inc. Trục tung không bắt đầu từ 0.</t>
  </si>
  <si>
    <t>Chi phí bán hàng và quản lý</t>
  </si>
  <si>
    <t>% doanh thu, NIKE, Inc. Hai phần cộng lại bằng tổng SG&amp;A.</t>
  </si>
  <si>
    <t>Biên EBIT (non‑GAAP)</t>
  </si>
  <si>
    <t>% doanh thu, NIKE, Inc.</t>
  </si>
  <si>
    <t>Hàng tồn kho cuối kỳ</t>
  </si>
  <si>
    <t>Tỷ USD, số dư tại 31/5, NIKE, Inc.</t>
  </si>
  <si>
    <t>Ngày. Trục tung không bắt đầu từ 0.</t>
  </si>
  <si>
    <t>Lưu ý kế toán</t>
  </si>
  <si>
    <r>
      <rPr>
        <b/>
        <sz val="10"/>
        <color rgb="FF15191E"/>
        <rFont val="Arial"/>
        <family val="2"/>
      </rPr>
      <t xml:space="preserve">Không có dòng “operating income”
</t>
    </r>
    <r>
      <rPr>
        <sz val="10"/>
        <color rgb="FF3B4350"/>
        <rFont val="Arial"/>
        <family val="2"/>
      </rPr>
      <t>Báo cáo kết quả kinh doanh của NIKE không có dòng tổng phụ này: ngay sau tổng chi phí bán hàng và quản lý là chi phí (thu nhập) lãi thuần, chi phí (thu nhập) khác thuần, rồi đến lợi nhuận trước thuế. EBIT (lợi nhuận sau thuế + chi phí lãi thuần + thuế) là chỉ tiêu non‑GAAP do NIKE tự định nghĩa, và vẫn bao gồm khoản chi phí (thu nhập) khác thuần.</t>
    </r>
  </si>
  <si>
    <r>
      <rPr>
        <b/>
        <sz val="10"/>
        <color rgb="FF15191E"/>
        <rFont val="Arial"/>
        <family val="2"/>
      </rPr>
      <t xml:space="preserve">Chi phí là số hợp nhất
</t>
    </r>
    <r>
      <rPr>
        <sz val="10"/>
        <color rgb="FF3B4350"/>
        <rFont val="Arial"/>
        <family val="2"/>
      </rPr>
      <t>SG&amp;A không được NIKE phân bổ cho NIKE Direct hay bán buôn, nên các tỷ lệ chi phí và biên lợi nhuận ở đây là của toàn NIKE, Inc.</t>
    </r>
  </si>
  <si>
    <r>
      <rPr>
        <b/>
        <sz val="10"/>
        <color rgb="FF15191E"/>
        <rFont val="Arial"/>
        <family val="2"/>
      </rPr>
      <t xml:space="preserve">Số dư và số phát sinh
</t>
    </r>
    <r>
      <rPr>
        <sz val="10"/>
        <color rgb="FF3B4350"/>
        <rFont val="Arial"/>
        <family val="2"/>
      </rPr>
      <t>Hàng tồn kho là số dư tại 31/5. Số ngày tồn kho = 365 × hàng tồn kho bình quân đầu và cuối kỳ / giá vốn hàng bán.</t>
    </r>
  </si>
  <si>
    <t>Bảng số liệu kết quả tài chính (NIKE, Inc.)</t>
  </si>
  <si>
    <t>Đơn vị triệu USD, trừ khi ghi khác. Số âm để trong ngoặc đơn. Số NIKE công bố có số trang 10‑K ở dòng nhỏ ngay dưới (bấm vào số trang để mở báo cáo trên SEC). Số in nghiêng là số nhóm tự tính.</t>
  </si>
  <si>
    <t>Báo cáo kết quả kinh doanh</t>
  </si>
  <si>
    <t>Giá vốn hàng bán</t>
  </si>
  <si>
    <t>Lợi nhuận gộp</t>
  </si>
  <si>
    <t>Chi phí tạo nhu cầu</t>
  </si>
  <si>
    <t>Chi phí vận hành chung</t>
  </si>
  <si>
    <t>Tổng chi phí bán hàng và quản lý</t>
  </si>
  <si>
    <t>Chi phí (thu nhập) lãi thuần</t>
  </si>
  <si>
    <t>Chi phí (thu nhập) khác thuần</t>
  </si>
  <si>
    <t>Lợi nhuận trước thuế</t>
  </si>
  <si>
    <t>Chi phí thuế thu nhập</t>
  </si>
  <si>
    <t>Lợi nhuận sau thuế</t>
  </si>
  <si>
    <t>Tỷ lệ trên doanh thu và tăng trưởng</t>
  </si>
  <si>
    <t>Tăng trưởng doanh thu, theo báo cáo</t>
  </si>
  <si>
    <t>Tăng trưởng doanh thu, loại trừ tỷ giá (non‑GAAP)</t>
  </si>
  <si>
    <t>Chi phí bán hàng và quản lý / doanh thu</t>
  </si>
  <si>
    <t>Trong đó: tạo nhu cầu / doanh thu</t>
  </si>
  <si>
    <t>Trong đó: vận hành chung / doanh thu</t>
  </si>
  <si>
    <t>Biên lợi nhuận sau thuế</t>
  </si>
  <si>
    <t>EBIT (non‑GAAP, định nghĩa của NIKE)</t>
  </si>
  <si>
    <t>EBIT do NIKE công bố</t>
  </si>
  <si>
    <t>Hàng tồn kho</t>
  </si>
  <si>
    <t>Hàng tồn kho tại 31/5</t>
  </si>
  <si>
    <t>Thay đổi so với đầu kỳ</t>
  </si>
  <si>
    <t>Vòng quay hàng tồn kho</t>
  </si>
  <si>
    <t>lần</t>
  </si>
  <si>
    <t>ngày</t>
  </si>
  <si>
    <t>Báo cáo Form 10‑K (SEC EDGAR)</t>
  </si>
  <si>
    <t>Form 10‑K FY2020, nộp ngày 24/07/2020, số 0000320187-20-000047</t>
  </si>
  <si>
    <t>Form 10‑K FY2021, nộp ngày 20/07/2021, số 0000320187-21-000028</t>
  </si>
  <si>
    <t>Form 10‑K FY2022, nộp ngày 21/07/2022, số 0000320187-22-000038</t>
  </si>
  <si>
    <t>Form 10‑K FY2023, nộp ngày 20/07/2023, số 0000320187-23-000039</t>
  </si>
  <si>
    <t>Form 10‑K FY2024, nộp ngày 25/07/2024, số 0000320187-24-000044</t>
  </si>
  <si>
    <t>Form 10‑K FY2025, nộp ngày 17/07/2025, số 0000320187-25-000047</t>
  </si>
  <si>
    <t>Form 10‑K FY2026, nộp ngày 15/07/2026, số 0000320187-26-000088</t>
  </si>
  <si>
    <t>Phương pháp</t>
  </si>
  <si>
    <t>–  Số liệu của mỗi năm tài chính được lấy từ báo cáo 10‑K của chính năm đó. Mỗi báo cáo đều in kèm số của năm trước để so sánh, và tăng trưởng được tính với chính số năm trước này, giống cách NIKE tự tính. Ví dụ: tăng trưởng doanh thu FY2026 tính với doanh thu FY2025 in trong 10‑K FY2026.</t>
  </si>
  <si>
    <t>–  Các số trên báo cáo tài chính được lấy từ dữ liệu XBRL đi kèm mỗi báo cáo 10‑K, sau đó đối chiếu với dữ liệu XBRL do SEC công bố và với các bảng trong phần MD&amp;A.</t>
  </si>
  <si>
    <t>–  Các chỉ tiêu chỉ có trong phần MD&amp;A (tăng trưởng loại trừ tỷ giá, doanh số Digital) không có dữ liệu XBRL để đối chiếu, nên được đọc lại thêm một lần ngay trên trang 10‑K. Ảnh chụp từng chỗ có ở trang “Đối chiếu 35 số” trên dashboard web.</t>
  </si>
  <si>
    <t>–  Các chỉ số do nhóm tự tính dùng đúng công thức ở sheet 04 của bộ dữ liệu Excel. Mỗi lần cập nhật đều kiểm tra lại các phép cộng trừ, chẳng hạn doanh thu trừ giá vốn phải bằng lợi nhuận gộp.</t>
  </si>
  <si>
    <t>–  Số liệu nào NIKE không công bố thì ghi “Không công bố”, không điền số 0.</t>
  </si>
  <si>
    <t>Tình trạng dữ liệu</t>
  </si>
  <si>
    <t>203 số liệu báo cáo: 202 khớp nguồn chính thức, 1 không được NIKE công bố. Dữ liệu trích xuất ngày 23/10/2026.</t>
  </si>
  <si>
    <t>Sản phẩm học tập của sinh viên, không liên quan đến NIKE, Inc.</t>
  </si>
  <si>
    <t>Liên kết</t>
  </si>
  <si>
    <t>Dashboard web</t>
  </si>
  <si>
    <t>Bộ dữ liệu Excel (đầy đủ nguồn từng số)</t>
  </si>
  <si>
    <t>Đối chiếu 35 số trên trang 10‑K (ảnh chụp)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</si>
</sst>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FY&quot;0"/>
    <numFmt numFmtId="165" formatCode="0.0%"/>
    <numFmt numFmtId="166" formatCode="0.000"/>
  </numFmts>
  <fonts count="26" x14ac:knownFonts="1">
    <font>
      <sz val="10"/>
      <color theme="1"/>
      <name val="Arial"/>
      <family val="2"/>
    </font>
    <font>
      <b/>
      <sz val="22"/>
      <color rgb="FF15191E"/>
      <name val="Cambria"/>
      <family val="2"/>
    </font>
    <font>
      <u/>
      <sz val="10"/>
      <color rgb="FF1F4E9A"/>
      <name val="Arial"/>
      <family val="2"/>
    </font>
    <font>
      <sz val="11"/>
      <color rgb="FF3B4350"/>
      <name val="Arial"/>
      <family val="2"/>
    </font>
    <font>
      <b/>
      <sz val="11"/>
      <color rgb="FF15191E"/>
      <name val="Arial"/>
      <family val="2"/>
    </font>
    <font>
      <sz val="11"/>
      <color rgb="FF5B6472"/>
      <name val="Arial"/>
      <family val="2"/>
    </font>
    <font>
      <sz val="10"/>
      <color rgb="FF3B4350"/>
      <name val="Arial"/>
      <family val="2"/>
    </font>
    <font>
      <sz val="9"/>
      <color rgb="FF5B6472"/>
      <name val="Arial"/>
      <family val="2"/>
    </font>
    <font>
      <b/>
      <sz val="17"/>
      <color rgb="FF15191E"/>
      <name val="Cambria"/>
      <family val="2"/>
    </font>
    <font>
      <sz val="11.5"/>
      <color rgb="FF15191E"/>
      <name val="Arial"/>
      <family val="2"/>
    </font>
    <font>
      <b/>
      <sz val="12"/>
      <color rgb="FF15191E"/>
      <name val="Arial"/>
      <family val="2"/>
    </font>
    <font>
      <sz val="9.5"/>
      <color rgb="FF5B6472"/>
      <name val="Arial"/>
      <family val="2"/>
    </font>
    <font>
      <sz val="8.5"/>
      <color rgb="FF5B6472"/>
      <name val="Arial"/>
      <family val="2"/>
    </font>
    <font>
      <b/>
      <sz val="13"/>
      <color rgb="FF15191E"/>
      <name val="Arial"/>
      <family val="2"/>
    </font>
    <font>
      <b/>
      <sz val="10"/>
      <color rgb="FF15191E"/>
      <name val="Arial"/>
      <family val="2"/>
    </font>
    <font>
      <sz val="10"/>
      <color rgb="FF15191E"/>
      <name val="Arial"/>
      <family val="2"/>
    </font>
    <font>
      <sz val="10"/>
      <color rgb="FF5B6472"/>
      <name val="Arial"/>
      <family val="2"/>
    </font>
    <font>
      <sz val="10"/>
      <color rgb="FF15191E"/>
      <name val="Arial"/>
      <family val="2"/>
    </font>
    <font>
      <sz val="8"/>
      <color rgb="FF5B6472"/>
      <name val="Arial"/>
      <family val="2"/>
    </font>
    <font>
      <sz val="8"/>
      <color rgb="FF6F7784"/>
      <name val="Arial"/>
      <family val="2"/>
    </font>
    <font>
      <b/>
      <sz val="10"/>
      <color rgb="FF15191E"/>
      <name val="Arial"/>
      <family val="2"/>
    </font>
    <font>
      <i/>
      <sz val="10"/>
      <color rgb="FF3B4350"/>
      <name val="Arial"/>
      <family val="2"/>
    </font>
    <font>
      <b/>
      <sz val="20"/>
      <color rgb="FF15191E"/>
      <name val="Cambria"/>
      <family val="2"/>
    </font>
    <font>
      <b/>
      <sz val="14"/>
      <color rgb="FF15191E"/>
      <name val="Arial"/>
      <family val="2"/>
    </font>
    <font>
      <b/>
      <sz val="10"/>
      <color rgb="FF3B4350"/>
      <name val="Arial"/>
      <family val="2"/>
    </font>
    <font>
      <u/>
      <sz val="11"/>
      <color theme="10"/>
      <name val="Calibri"/>
      <family val="2"/>
    </font>
  </fonts>
  <fills count="3">
    <fill>
      <patternFill patternType="none"/>
    </fill>
    <fill>
      <patternFill patternType="gray125"/>
    </fill>
    <fill>
      <patternFill patternType="solid">
        <fgColor rgb="FFF4F5F7"/>
        <bgColor indexed="64"/>
      </patternFill>
    </fill>
  </fills>
  <borders count="7">
    <border>
      <left/>
      <right/>
      <top/>
      <bottom/>
      <diagonal/>
    </border>
    <border>
      <left/>
      <right/>
      <top style="thin">
        <color rgb="FFD9DDE3"/>
      </top>
      <bottom style="thick">
        <color rgb="FF15191E"/>
      </bottom>
      <diagonal/>
    </border>
    <border>
      <left/>
      <right/>
      <top style="thin">
        <color rgb="FFD9DDE3"/>
      </top>
      <bottom style="thin">
        <color rgb="FFD9DDE3"/>
      </bottom>
      <diagonal/>
    </border>
    <border>
      <left/>
      <right/>
      <top/>
      <bottom style="thin">
        <color rgb="FFD9DDE3"/>
      </bottom>
      <diagonal/>
    </border>
    <border>
      <left/>
      <right/>
      <top/>
      <bottom style="thin">
        <color rgb="FF3B4350"/>
      </bottom>
      <diagonal/>
    </border>
    <border>
      <left/>
      <right/>
      <top/>
      <bottom style="thin">
        <color rgb="FFE6E9EE"/>
      </bottom>
      <diagonal/>
    </border>
    <border>
      <left/>
      <right/>
      <top style="thin">
        <color rgb="FF3B4350"/>
      </top>
      <bottom/>
      <diagonal/>
    </border>
  </borders>
  <cellStyleXfs count="2">
    <xf numFmtId="0" fontId="0" fillId="0" borderId="0"/>
    <xf numFmtId="0" fontId="25" fillId="0" borderId="0" applyNumberFormat="0" applyFill="0" applyBorder="0" applyAlignment="0" applyProtection="0">
      <alignment vertical="top"/>
      <protection locked="0"/>
    </xf>
  </cellStyleXfs>
  <cellXfs count="47">
    <xf numFmtId="0" fontId="0" fillId="0" borderId="0" xfId="0"/>
    <xf numFmtId="0" fontId="2" fillId="0" borderId="0" xfId="0" applyFont="1" applyAlignment="1">
      <alignment horizontal="right" vertical="top"/>
    </xf>
    <xf numFmtId="0" fontId="6" fillId="2" borderId="2" xfId="0" applyFont="1" applyFill="1" applyBorder="1" applyAlignment="1">
      <alignment vertical="center"/>
    </xf>
    <xf numFmtId="0" fontId="7" fillId="0" borderId="0" xfId="0" applyFont="1" applyAlignment="1">
      <alignment vertical="top"/>
    </xf>
    <xf numFmtId="0" fontId="6" fillId="0" borderId="3" xfId="0" applyFont="1" applyBorder="1" applyAlignment="1">
      <alignment vertical="top"/>
    </xf>
    <xf numFmtId="0" fontId="6" fillId="0" borderId="0" xfId="0" applyFont="1" applyAlignment="1">
      <alignment vertical="top" wrapText="1"/>
    </xf>
    <xf numFmtId="0" fontId="14" fillId="0" borderId="4" xfId="0" applyFont="1" applyBorder="1"/>
    <xf numFmtId="164" fontId="14" fillId="0" borderId="4" xfId="0" applyNumberFormat="1" applyFont="1" applyBorder="1" applyAlignment="1">
      <alignment horizontal="right"/>
    </xf>
    <xf numFmtId="0" fontId="16" fillId="0" borderId="0" xfId="0" applyFont="1" applyAlignment="1">
      <alignment vertical="center"/>
    </xf>
    <xf numFmtId="0" fontId="17" fillId="0" borderId="0" xfId="0" applyFont="1" applyAlignment="1">
      <alignment horizontal="right" vertical="center"/>
    </xf>
    <xf numFmtId="0" fontId="6" fillId="0" borderId="0" xfId="0" applyFont="1" applyAlignment="1">
      <alignment vertical="top"/>
    </xf>
    <xf numFmtId="0" fontId="18" fillId="0" borderId="5" xfId="0" applyFont="1" applyBorder="1" applyAlignment="1">
      <alignment vertical="top"/>
    </xf>
    <xf numFmtId="0" fontId="19" fillId="0" borderId="5" xfId="0" applyFont="1" applyBorder="1" applyAlignment="1">
      <alignment horizontal="right" vertical="top"/>
    </xf>
    <xf numFmtId="0" fontId="16" fillId="0" borderId="6" xfId="0" applyFont="1" applyBorder="1" applyAlignment="1">
      <alignment vertical="center"/>
    </xf>
    <xf numFmtId="0" fontId="20" fillId="0" borderId="6" xfId="0" applyFont="1" applyBorder="1" applyAlignment="1">
      <alignment horizontal="right" vertical="center"/>
    </xf>
    <xf numFmtId="0" fontId="6" fillId="0" borderId="6" xfId="0" applyFont="1" applyBorder="1" applyAlignment="1">
      <alignment vertical="top"/>
    </xf>
    <xf numFmtId="0" fontId="16" fillId="0" borderId="5" xfId="0" applyFont="1" applyBorder="1" applyAlignment="1">
      <alignment vertical="center"/>
    </xf>
    <xf numFmtId="0" fontId="21" fillId="0" borderId="5" xfId="0" applyFont="1" applyBorder="1" applyAlignment="1">
      <alignment horizontal="right" vertical="center"/>
    </xf>
    <xf numFmtId="0" fontId="6" fillId="0" borderId="5" xfId="0" applyFont="1" applyBorder="1" applyAlignment="1">
      <alignment vertical="top"/>
    </xf>
    <xf numFmtId="0" fontId="22" fillId="0" borderId="0" xfId="0" applyFont="1" applyAlignment="1">
      <alignment vertical="top"/>
    </xf>
    <xf numFmtId="0" fontId="4" fillId="0" borderId="3" xfId="0" applyFont="1" applyBorder="1" applyAlignment="1">
      <alignment vertical="top"/>
    </xf>
    <xf numFmtId="0" fontId="2" fillId="0" borderId="0" xfId="0" applyFont="1" applyAlignment="1">
      <alignment vertical="top"/>
    </xf>
    <xf numFmtId="0" fontId="23" fillId="0" borderId="0" xfId="0" applyFont="1" applyAlignment="1">
      <alignment vertical="top"/>
    </xf>
    <xf numFmtId="0" fontId="16" fillId="0" borderId="0" xfId="0" applyFont="1" applyAlignment="1">
      <alignment vertical="top"/>
    </xf>
    <xf numFmtId="165" fontId="6" fillId="0" borderId="0" xfId="0" applyNumberFormat="1" applyFont="1" applyAlignment="1">
      <alignment vertical="top"/>
    </xf>
    <xf numFmtId="166" fontId="6" fillId="0" borderId="0" xfId="0" applyNumberFormat="1" applyFont="1" applyAlignment="1">
      <alignment vertical="top"/>
    </xf>
    <xf numFmtId="0" fontId="24" fillId="0" borderId="0" xfId="0" applyFont="1" applyAlignment="1">
      <alignment vertical="top"/>
    </xf>
    <xf numFmtId="0" fontId="25" fillId="0" borderId="0" xfId="1" applyAlignment="1" applyProtection="1"/>
    <xf numFmtId="0" fontId="1" fillId="0" borderId="0" xfId="0" applyFont="1" applyAlignment="1">
      <alignment vertical="top"/>
    </xf>
    <xf numFmtId="0" fontId="3" fillId="0" borderId="0" xfId="0" applyFont="1" applyAlignment="1">
      <alignment vertical="top" wrapText="1"/>
    </xf>
    <xf numFmtId="0" fontId="4" fillId="2" borderId="1" xfId="0" applyFont="1" applyFill="1" applyBorder="1" applyAlignment="1">
      <alignment horizontal="center" vertical="center"/>
    </xf>
    <xf numFmtId="0" fontId="5" fillId="2" borderId="2" xfId="0" applyFont="1" applyFill="1" applyBorder="1" applyAlignment="1">
      <alignment horizontal="center" vertical="center"/>
    </xf>
    <xf numFmtId="0" fontId="7" fillId="0" borderId="0" xfId="0" applyFont="1" applyAlignment="1">
      <alignment vertical="center" wrapText="1"/>
    </xf>
    <xf numFmtId="0" fontId="8" fillId="0" borderId="0" xfId="0" applyFont="1" applyAlignment="1">
      <alignment vertical="top" wrapText="1"/>
    </xf>
    <xf numFmtId="0" fontId="7" fillId="0" borderId="0" xfId="0" applyFont="1" applyAlignment="1">
      <alignment vertical="top"/>
    </xf>
    <xf numFmtId="0" fontId="9" fillId="0" borderId="0" xfId="0" applyFont="1" applyAlignment="1">
      <alignment vertical="top" wrapText="1"/>
    </xf>
    <xf numFmtId="0" fontId="10" fillId="0" borderId="0" xfId="0" applyFont="1" applyAlignment="1">
      <alignment vertical="top"/>
    </xf>
    <xf numFmtId="0" fontId="11" fillId="0" borderId="0" xfId="0" applyFont="1" applyAlignment="1">
      <alignment vertical="top" wrapText="1"/>
    </xf>
    <xf numFmtId="0" fontId="12" fillId="0" borderId="0" xfId="0" applyFont="1" applyAlignment="1">
      <alignment vertical="top" wrapText="1"/>
    </xf>
    <xf numFmtId="0" fontId="6" fillId="0" borderId="0" xfId="0" applyFont="1" applyAlignment="1">
      <alignment vertical="top" wrapText="1"/>
    </xf>
    <xf numFmtId="0" fontId="13" fillId="0" borderId="0" xfId="0" applyFont="1" applyAlignment="1">
      <alignment vertical="top"/>
    </xf>
    <xf numFmtId="0" fontId="14" fillId="0" borderId="4" xfId="0" applyFont="1" applyBorder="1"/>
    <xf numFmtId="0" fontId="14" fillId="2" borderId="0" xfId="0" applyFont="1" applyFill="1" applyAlignment="1">
      <alignment vertical="center"/>
    </xf>
    <xf numFmtId="0" fontId="15" fillId="0" borderId="0" xfId="0" applyFont="1" applyAlignment="1">
      <alignment vertical="center"/>
    </xf>
    <xf numFmtId="0" fontId="18" fillId="0" borderId="5" xfId="0" applyFont="1" applyBorder="1" applyAlignment="1">
      <alignment vertical="top"/>
    </xf>
    <xf numFmtId="0" fontId="14" fillId="0" borderId="6" xfId="0" applyFont="1" applyBorder="1" applyAlignment="1">
      <alignment vertical="center"/>
    </xf>
    <xf numFmtId="0" fontId="15" fillId="0" borderId="5" xfId="0" applyFont="1" applyBorder="1" applyAlignment="1">
      <alignmen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v>NIKE Direct</c:v>
          </c:tx>
          <c:spPr>
            <a:solidFill>
              <a:srgbClr val="2A78D6"/>
            </a:solidFill>
            <a:ln w="12700">
              <a:solidFill>
                <a:srgbClr val="FFFFFF"/>
              </a:solidFill>
            </a:ln>
          </c:spPr>
          <c:invertIfNegative val="0"/>
          <c:dLbls>
            <c:numFmt formatCode="0.0%" sourceLinked="0"/>
            <c:spPr>
              <a:noFill/>
              <a:ln>
                <a:noFill/>
              </a:ln>
              <a:effectLst/>
            </c:spPr>
            <c:txPr>
              <a:bodyPr/>
              <a:lstStyle/>
              <a:p>
                <a:pPr>
                  <a:defRPr sz="900" b="1" baseline="0">
                    <a:solidFill>
                      <a:srgbClr val="FFFFFF"/>
                    </a:solidFill>
                    <a:latin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'Dữ liệu biểu đồ'!$A$5:$A$11</c:f>
              <c:strCache>
                <c:ptCount val="7"/>
                <c:pt idx="0">
                  <c:v>FY2020</c:v>
                </c:pt>
                <c:pt idx="1">
                  <c:v>FY2021</c:v>
                </c:pt>
                <c:pt idx="2">
                  <c:v>FY2022</c:v>
                </c:pt>
                <c:pt idx="3">
                  <c:v>FY2023</c:v>
                </c:pt>
                <c:pt idx="4">
                  <c:v>FY2024</c:v>
                </c:pt>
                <c:pt idx="5">
                  <c:v>FY2025</c:v>
                </c:pt>
                <c:pt idx="6">
                  <c:v>FY2026</c:v>
                </c:pt>
              </c:strCache>
            </c:strRef>
          </c:cat>
          <c:val>
            <c:numRef>
              <c:f>'Dữ liệu biểu đồ'!$C$5:$C$11</c:f>
              <c:numCache>
                <c:formatCode>0.0%</c:formatCode>
                <c:ptCount val="7"/>
                <c:pt idx="0">
                  <c:v>0.34812190733243359</c:v>
                </c:pt>
                <c:pt idx="1">
                  <c:v>0.38706168869552882</c:v>
                </c:pt>
                <c:pt idx="2">
                  <c:v>0.421415068863084</c:v>
                </c:pt>
                <c:pt idx="3">
                  <c:v>0.43697065397945162</c:v>
                </c:pt>
                <c:pt idx="4">
                  <c:v>0.43629617614857469</c:v>
                </c:pt>
                <c:pt idx="5">
                  <c:v>0.42006977680368562</c:v>
                </c:pt>
                <c:pt idx="6">
                  <c:v>0.39184467736942202</c:v>
                </c:pt>
              </c:numCache>
            </c:numRef>
          </c:val>
          <c:extLst>
            <c:ext xmlns:c16="http://schemas.microsoft.com/office/drawing/2014/chart" uri="{C3380CC4-5D6E-409C-BE32-E72D297353CC}">
              <c16:uniqueId val="{00000000-2F29-4644-BDFB-BFA650D0E49D}"/>
            </c:ext>
          </c:extLst>
        </c:ser>
        <c:ser>
          <c:idx val="1"/>
          <c:order val="1"/>
          <c:tx>
            <c:v>Bán buôn (Wholesale)</c:v>
          </c:tx>
          <c:spPr>
            <a:solidFill>
              <a:srgbClr val="EB6834"/>
            </a:solidFill>
            <a:ln w="12700">
              <a:solidFill>
                <a:srgbClr val="FFFFFF"/>
              </a:solidFill>
            </a:ln>
          </c:spPr>
          <c:invertIfNegative val="0"/>
          <c:dLbls>
            <c:numFmt formatCode="0.0%" sourceLinked="0"/>
            <c:spPr>
              <a:noFill/>
              <a:ln>
                <a:noFill/>
              </a:ln>
              <a:effectLst/>
            </c:spPr>
            <c:txPr>
              <a:bodyPr/>
              <a:lstStyle/>
              <a:p>
                <a:pPr>
                  <a:defRPr sz="900" b="1" baseline="0">
                    <a:solidFill>
                      <a:srgbClr val="15191E"/>
                    </a:solidFill>
                    <a:latin typeface="Aria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'Dữ liệu biểu đồ'!$A$5:$A$11</c:f>
              <c:strCache>
                <c:ptCount val="7"/>
                <c:pt idx="0">
                  <c:v>FY2020</c:v>
                </c:pt>
                <c:pt idx="1">
                  <c:v>FY2021</c:v>
                </c:pt>
                <c:pt idx="2">
                  <c:v>FY2022</c:v>
                </c:pt>
                <c:pt idx="3">
                  <c:v>FY2023</c:v>
                </c:pt>
                <c:pt idx="4">
                  <c:v>FY2024</c:v>
                </c:pt>
                <c:pt idx="5">
                  <c:v>FY2025</c:v>
                </c:pt>
                <c:pt idx="6">
                  <c:v>FY2026</c:v>
                </c:pt>
              </c:strCache>
            </c:strRef>
          </c:cat>
          <c:val>
            <c:numRef>
              <c:f>'Dữ liệu biểu đồ'!$D$5:$D$11</c:f>
              <c:numCache>
                <c:formatCode>0.0%</c:formatCode>
                <c:ptCount val="7"/>
                <c:pt idx="0">
                  <c:v>0.65103463787674309</c:v>
                </c:pt>
                <c:pt idx="1">
                  <c:v>0.61234719693566309</c:v>
                </c:pt>
                <c:pt idx="2">
                  <c:v>0.5762894950040508</c:v>
                </c:pt>
                <c:pt idx="3">
                  <c:v>0.56183991961118063</c:v>
                </c:pt>
                <c:pt idx="4">
                  <c:v>0.56279145209034509</c:v>
                </c:pt>
                <c:pt idx="5">
                  <c:v>0.57885673390884285</c:v>
                </c:pt>
                <c:pt idx="6">
                  <c:v>0.60707177922250233</c:v>
                </c:pt>
              </c:numCache>
            </c:numRef>
          </c:val>
          <c:extLst>
            <c:ext xmlns:c16="http://schemas.microsoft.com/office/drawing/2014/chart" uri="{C3380CC4-5D6E-409C-BE32-E72D297353CC}">
              <c16:uniqueId val="{00000001-2F29-4644-BDFB-BFA650D0E49D}"/>
            </c:ext>
          </c:extLst>
        </c:ser>
        <c:ser>
          <c:idx val="2"/>
          <c:order val="2"/>
          <c:tx>
            <c:v>Global Brand Divisions (dưới 0,3%)</c:v>
          </c:tx>
          <c:spPr>
            <a:solidFill>
              <a:srgbClr val="A3A9B2"/>
            </a:solidFill>
            <a:ln>
              <a:noFill/>
            </a:ln>
          </c:spPr>
          <c:invertIfNegative val="0"/>
          <c:cat>
            <c:strRef>
              <c:f>'Dữ liệu biểu đồ'!$A$5:$A$11</c:f>
              <c:strCache>
                <c:ptCount val="7"/>
                <c:pt idx="0">
                  <c:v>FY2020</c:v>
                </c:pt>
                <c:pt idx="1">
                  <c:v>FY2021</c:v>
                </c:pt>
                <c:pt idx="2">
                  <c:v>FY2022</c:v>
                </c:pt>
                <c:pt idx="3">
                  <c:v>FY2023</c:v>
                </c:pt>
                <c:pt idx="4">
                  <c:v>FY2024</c:v>
                </c:pt>
                <c:pt idx="5">
                  <c:v>FY2025</c:v>
                </c:pt>
                <c:pt idx="6">
                  <c:v>FY2026</c:v>
                </c:pt>
              </c:strCache>
            </c:strRef>
          </c:cat>
          <c:val>
            <c:numRef>
              <c:f>'Dữ liệu biểu đồ'!$E$5:$E$11</c:f>
              <c:numCache>
                <c:formatCode>0.0%</c:formatCode>
                <c:ptCount val="7"/>
                <c:pt idx="0">
                  <c:v>8.4345479082321192E-4</c:v>
                </c:pt>
                <c:pt idx="1">
                  <c:v>5.9111436880807697E-4</c:v>
                </c:pt>
                <c:pt idx="2">
                  <c:v>2.2954361328652449E-3</c:v>
                </c:pt>
                <c:pt idx="3">
                  <c:v>1.1894264093677579E-3</c:v>
                </c:pt>
                <c:pt idx="4">
                  <c:v>9.1237176108024812E-4</c:v>
                </c:pt>
                <c:pt idx="5">
                  <c:v>1.0734892874714849E-3</c:v>
                </c:pt>
                <c:pt idx="6">
                  <c:v>1.0835434080757149E-3</c:v>
                </c:pt>
              </c:numCache>
            </c:numRef>
          </c:val>
          <c:extLst>
            <c:ext xmlns:c16="http://schemas.microsoft.com/office/drawing/2014/chart" uri="{C3380CC4-5D6E-409C-BE32-E72D297353CC}">
              <c16:uniqueId val="{00000002-2F29-4644-BDFB-BFA650D0E49D}"/>
            </c:ext>
          </c:extLst>
        </c:ser>
        <c:dLbls>
          <c:showLegendKey val="0"/>
          <c:showVal val="0"/>
          <c:showCatName val="0"/>
          <c:showSerName val="0"/>
          <c:showPercent val="0"/>
          <c:showBubbleSize val="0"/>
        </c:dLbls>
        <c:gapWidth val="45"/>
        <c:overlap val="100"/>
        <c:axId val="50010001"/>
        <c:axId val="50010002"/>
      </c:barChart>
      <c:catAx>
        <c:axId val="50010001"/>
        <c:scaling>
          <c:orientation val="maxMin"/>
        </c:scaling>
        <c:delete val="0"/>
        <c:axPos val="l"/>
        <c:numFmt formatCode="General" sourceLinked="0"/>
        <c:majorTickMark val="none"/>
        <c:minorTickMark val="none"/>
        <c:tickLblPos val="nextTo"/>
        <c:spPr>
          <a:ln>
            <a:solidFill>
              <a:srgbClr val="C3C9D1"/>
            </a:solidFill>
          </a:ln>
        </c:spPr>
        <c:txPr>
          <a:bodyPr/>
          <a:lstStyle/>
          <a:p>
            <a:pPr>
              <a:defRPr sz="1000" baseline="0">
                <a:solidFill>
                  <a:srgbClr val="5B6472"/>
                </a:solidFill>
                <a:latin typeface="Arial"/>
              </a:defRPr>
            </a:pPr>
            <a:endParaRPr lang="en-US"/>
          </a:p>
        </c:txPr>
        <c:crossAx val="50010002"/>
        <c:crosses val="autoZero"/>
        <c:auto val="1"/>
        <c:lblAlgn val="ctr"/>
        <c:lblOffset val="100"/>
        <c:noMultiLvlLbl val="0"/>
      </c:catAx>
      <c:valAx>
        <c:axId val="50010002"/>
        <c:scaling>
          <c:orientation val="minMax"/>
          <c:max val="1"/>
          <c:min val="0"/>
        </c:scaling>
        <c:delete val="0"/>
        <c:axPos val="b"/>
        <c:majorGridlines>
          <c:spPr>
            <a:ln w="9525">
              <a:solidFill>
                <a:srgbClr val="E6E9EE"/>
              </a:solidFill>
            </a:ln>
          </c:spPr>
        </c:majorGridlines>
        <c:numFmt formatCode="0%" sourceLinked="1"/>
        <c:majorTickMark val="none"/>
        <c:minorTickMark val="none"/>
        <c:tickLblPos val="nextTo"/>
        <c:spPr>
          <a:ln>
            <a:noFill/>
          </a:ln>
        </c:spPr>
        <c:txPr>
          <a:bodyPr/>
          <a:lstStyle/>
          <a:p>
            <a:pPr>
              <a:defRPr sz="900" baseline="0">
                <a:solidFill>
                  <a:srgbClr val="5B6472"/>
                </a:solidFill>
                <a:latin typeface="Arial"/>
              </a:defRPr>
            </a:pPr>
            <a:endParaRPr lang="en-US"/>
          </a:p>
        </c:txPr>
        <c:crossAx val="50010001"/>
        <c:crosses val="max"/>
        <c:crossBetween val="between"/>
        <c:majorUnit val="0.25"/>
      </c:valAx>
      <c:spPr>
        <a:ln>
          <a:noFill/>
        </a:ln>
      </c:spPr>
    </c:plotArea>
    <c:legend>
      <c:legendPos val="t"/>
      <c:overlay val="0"/>
      <c:txPr>
        <a:bodyPr/>
        <a:lstStyle/>
        <a:p>
          <a:pPr>
            <a:defRPr sz="900" baseline="0">
              <a:solidFill>
                <a:srgbClr val="3B4350"/>
              </a:solidFill>
              <a:latin typeface="Arial"/>
            </a:defRPr>
          </a:pPr>
          <a:endParaRPr lang="en-US"/>
        </a:p>
      </c:txPr>
    </c:legend>
    <c:plotVisOnly val="1"/>
    <c:dispBlanksAs val="gap"/>
    <c:showDLblsOverMax val="0"/>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NIKE Direct</c:v>
          </c:tx>
          <c:spPr>
            <a:solidFill>
              <a:srgbClr val="2A78D6"/>
            </a:solidFill>
            <a:ln>
              <a:noFill/>
            </a:ln>
          </c:spPr>
          <c:invertIfNegative val="0"/>
          <c:dLbls>
            <c:numFmt formatCode="0.0" sourceLinked="0"/>
            <c:spPr>
              <a:noFill/>
              <a:ln>
                <a:noFill/>
              </a:ln>
              <a:effectLst/>
            </c:spPr>
            <c:txPr>
              <a:bodyPr/>
              <a:lstStyle/>
              <a:p>
                <a:pPr>
                  <a:defRPr sz="800" b="0" baseline="0">
                    <a:solidFill>
                      <a:srgbClr val="3B435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'Dữ liệu biểu đồ'!$A$5:$A$11</c:f>
              <c:strCache>
                <c:ptCount val="7"/>
                <c:pt idx="0">
                  <c:v>FY2020</c:v>
                </c:pt>
                <c:pt idx="1">
                  <c:v>FY2021</c:v>
                </c:pt>
                <c:pt idx="2">
                  <c:v>FY2022</c:v>
                </c:pt>
                <c:pt idx="3">
                  <c:v>FY2023</c:v>
                </c:pt>
                <c:pt idx="4">
                  <c:v>FY2024</c:v>
                </c:pt>
                <c:pt idx="5">
                  <c:v>FY2025</c:v>
                </c:pt>
                <c:pt idx="6">
                  <c:v>FY2026</c:v>
                </c:pt>
              </c:strCache>
            </c:strRef>
          </c:cat>
          <c:val>
            <c:numRef>
              <c:f>'Dữ liệu biểu đồ'!$F$5:$F$11</c:f>
              <c:numCache>
                <c:formatCode>0.000</c:formatCode>
                <c:ptCount val="7"/>
                <c:pt idx="0">
                  <c:v>12.382</c:v>
                </c:pt>
                <c:pt idx="1">
                  <c:v>16.37</c:v>
                </c:pt>
                <c:pt idx="2">
                  <c:v>18.725999999999999</c:v>
                </c:pt>
                <c:pt idx="3">
                  <c:v>21.308</c:v>
                </c:pt>
                <c:pt idx="4">
                  <c:v>21.518999999999998</c:v>
                </c:pt>
                <c:pt idx="5">
                  <c:v>18.783000000000001</c:v>
                </c:pt>
                <c:pt idx="6">
                  <c:v>17.72</c:v>
                </c:pt>
              </c:numCache>
            </c:numRef>
          </c:val>
          <c:extLst>
            <c:ext xmlns:c16="http://schemas.microsoft.com/office/drawing/2014/chart" uri="{C3380CC4-5D6E-409C-BE32-E72D297353CC}">
              <c16:uniqueId val="{00000000-5BA5-41E9-97DA-6B9A2C406AF8}"/>
            </c:ext>
          </c:extLst>
        </c:ser>
        <c:ser>
          <c:idx val="1"/>
          <c:order val="1"/>
          <c:tx>
            <c:v>Bán buôn (Wholesale)</c:v>
          </c:tx>
          <c:spPr>
            <a:solidFill>
              <a:srgbClr val="EB6834"/>
            </a:solidFill>
            <a:ln>
              <a:noFill/>
            </a:ln>
          </c:spPr>
          <c:invertIfNegative val="0"/>
          <c:dLbls>
            <c:numFmt formatCode="0.0" sourceLinked="0"/>
            <c:spPr>
              <a:noFill/>
              <a:ln>
                <a:noFill/>
              </a:ln>
              <a:effectLst/>
            </c:spPr>
            <c:txPr>
              <a:bodyPr/>
              <a:lstStyle/>
              <a:p>
                <a:pPr>
                  <a:defRPr sz="800" b="0" baseline="0">
                    <a:solidFill>
                      <a:srgbClr val="3B435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'Dữ liệu biểu đồ'!$A$5:$A$11</c:f>
              <c:strCache>
                <c:ptCount val="7"/>
                <c:pt idx="0">
                  <c:v>FY2020</c:v>
                </c:pt>
                <c:pt idx="1">
                  <c:v>FY2021</c:v>
                </c:pt>
                <c:pt idx="2">
                  <c:v>FY2022</c:v>
                </c:pt>
                <c:pt idx="3">
                  <c:v>FY2023</c:v>
                </c:pt>
                <c:pt idx="4">
                  <c:v>FY2024</c:v>
                </c:pt>
                <c:pt idx="5">
                  <c:v>FY2025</c:v>
                </c:pt>
                <c:pt idx="6">
                  <c:v>FY2026</c:v>
                </c:pt>
              </c:strCache>
            </c:strRef>
          </c:cat>
          <c:val>
            <c:numRef>
              <c:f>'Dữ liệu biểu đồ'!$G$5:$G$11</c:f>
              <c:numCache>
                <c:formatCode>0.000</c:formatCode>
                <c:ptCount val="7"/>
                <c:pt idx="0">
                  <c:v>23.155999999999999</c:v>
                </c:pt>
                <c:pt idx="1">
                  <c:v>25.898</c:v>
                </c:pt>
                <c:pt idx="2">
                  <c:v>25.608000000000001</c:v>
                </c:pt>
                <c:pt idx="3">
                  <c:v>27.396999999999998</c:v>
                </c:pt>
                <c:pt idx="4">
                  <c:v>27.757999999999999</c:v>
                </c:pt>
                <c:pt idx="5">
                  <c:v>25.882999999999999</c:v>
                </c:pt>
                <c:pt idx="6">
                  <c:v>27.452999999999999</c:v>
                </c:pt>
              </c:numCache>
            </c:numRef>
          </c:val>
          <c:extLst>
            <c:ext xmlns:c16="http://schemas.microsoft.com/office/drawing/2014/chart" uri="{C3380CC4-5D6E-409C-BE32-E72D297353CC}">
              <c16:uniqueId val="{00000001-5BA5-41E9-97DA-6B9A2C406AF8}"/>
            </c:ext>
          </c:extLst>
        </c:ser>
        <c:dLbls>
          <c:showLegendKey val="0"/>
          <c:showVal val="0"/>
          <c:showCatName val="0"/>
          <c:showSerName val="0"/>
          <c:showPercent val="0"/>
          <c:showBubbleSize val="0"/>
        </c:dLbls>
        <c:gapWidth val="70"/>
        <c:axId val="50020001"/>
        <c:axId val="50020002"/>
      </c:barChart>
      <c:catAx>
        <c:axId val="50020001"/>
        <c:scaling>
          <c:orientation val="minMax"/>
        </c:scaling>
        <c:delete val="0"/>
        <c:axPos val="b"/>
        <c:numFmt formatCode="General" sourceLinked="0"/>
        <c:majorTickMark val="none"/>
        <c:minorTickMark val="none"/>
        <c:tickLblPos val="nextTo"/>
        <c:spPr>
          <a:ln>
            <a:solidFill>
              <a:srgbClr val="C3C9D1"/>
            </a:solidFill>
          </a:ln>
        </c:spPr>
        <c:txPr>
          <a:bodyPr/>
          <a:lstStyle/>
          <a:p>
            <a:pPr>
              <a:defRPr sz="900" baseline="0">
                <a:solidFill>
                  <a:srgbClr val="5B6472"/>
                </a:solidFill>
                <a:latin typeface="Arial"/>
              </a:defRPr>
            </a:pPr>
            <a:endParaRPr lang="en-US"/>
          </a:p>
        </c:txPr>
        <c:crossAx val="50020002"/>
        <c:crosses val="autoZero"/>
        <c:auto val="1"/>
        <c:lblAlgn val="ctr"/>
        <c:lblOffset val="100"/>
        <c:noMultiLvlLbl val="0"/>
      </c:catAx>
      <c:valAx>
        <c:axId val="50020002"/>
        <c:scaling>
          <c:orientation val="minMax"/>
          <c:min val="0"/>
        </c:scaling>
        <c:delete val="0"/>
        <c:axPos val="l"/>
        <c:majorGridlines>
          <c:spPr>
            <a:ln w="9525">
              <a:solidFill>
                <a:srgbClr val="E6E9EE"/>
              </a:solidFill>
            </a:ln>
          </c:spPr>
        </c:majorGridlines>
        <c:numFmt formatCode="0" sourceLinked="0"/>
        <c:majorTickMark val="none"/>
        <c:minorTickMark val="none"/>
        <c:tickLblPos val="nextTo"/>
        <c:spPr>
          <a:ln>
            <a:noFill/>
          </a:ln>
        </c:spPr>
        <c:txPr>
          <a:bodyPr/>
          <a:lstStyle/>
          <a:p>
            <a:pPr>
              <a:defRPr sz="900" baseline="0">
                <a:solidFill>
                  <a:srgbClr val="5B6472"/>
                </a:solidFill>
                <a:latin typeface="Arial"/>
              </a:defRPr>
            </a:pPr>
            <a:endParaRPr lang="en-US"/>
          </a:p>
        </c:txPr>
        <c:crossAx val="50020001"/>
        <c:crosses val="autoZero"/>
        <c:crossBetween val="between"/>
      </c:valAx>
      <c:spPr>
        <a:ln>
          <a:noFill/>
        </a:ln>
      </c:spPr>
    </c:plotArea>
    <c:legend>
      <c:legendPos val="t"/>
      <c:overlay val="0"/>
      <c:txPr>
        <a:bodyPr/>
        <a:lstStyle/>
        <a:p>
          <a:pPr>
            <a:defRPr sz="900" baseline="0">
              <a:solidFill>
                <a:srgbClr val="3B4350"/>
              </a:solidFill>
              <a:latin typeface="Arial"/>
            </a:defRPr>
          </a:pPr>
          <a:endParaRPr lang="en-US"/>
        </a:p>
      </c:txPr>
    </c:legend>
    <c:plotVisOnly val="1"/>
    <c:dispBlanksAs val="gap"/>
    <c:showDLblsOverMax val="0"/>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NIKE Direct</c:v>
          </c:tx>
          <c:spPr>
            <a:solidFill>
              <a:srgbClr val="2A78D6"/>
            </a:solidFill>
            <a:ln>
              <a:noFill/>
            </a:ln>
          </c:spPr>
          <c:invertIfNegative val="0"/>
          <c:cat>
            <c:strRef>
              <c:f>'Dữ liệu biểu đồ'!$A$5:$A$11</c:f>
              <c:strCache>
                <c:ptCount val="7"/>
                <c:pt idx="0">
                  <c:v>FY2020</c:v>
                </c:pt>
                <c:pt idx="1">
                  <c:v>FY2021</c:v>
                </c:pt>
                <c:pt idx="2">
                  <c:v>FY2022</c:v>
                </c:pt>
                <c:pt idx="3">
                  <c:v>FY2023</c:v>
                </c:pt>
                <c:pt idx="4">
                  <c:v>FY2024</c:v>
                </c:pt>
                <c:pt idx="5">
                  <c:v>FY2025</c:v>
                </c:pt>
                <c:pt idx="6">
                  <c:v>FY2026</c:v>
                </c:pt>
              </c:strCache>
            </c:strRef>
          </c:cat>
          <c:val>
            <c:numRef>
              <c:f>'Dữ liệu biểu đồ'!$L$5:$L$11</c:f>
              <c:numCache>
                <c:formatCode>0.0%</c:formatCode>
                <c:ptCount val="7"/>
                <c:pt idx="0">
                  <c:v>5.3518250659406109E-2</c:v>
                </c:pt>
                <c:pt idx="1">
                  <c:v>0.32208043934743991</c:v>
                </c:pt>
                <c:pt idx="2">
                  <c:v>0.14392180818570549</c:v>
                </c:pt>
                <c:pt idx="3">
                  <c:v>0.13788315710776461</c:v>
                </c:pt>
                <c:pt idx="4">
                  <c:v>9.9023840810963017E-3</c:v>
                </c:pt>
                <c:pt idx="5">
                  <c:v>-0.12714345462149729</c:v>
                </c:pt>
                <c:pt idx="6">
                  <c:v>-5.6593728371399671E-2</c:v>
                </c:pt>
              </c:numCache>
            </c:numRef>
          </c:val>
          <c:extLst>
            <c:ext xmlns:c16="http://schemas.microsoft.com/office/drawing/2014/chart" uri="{C3380CC4-5D6E-409C-BE32-E72D297353CC}">
              <c16:uniqueId val="{00000000-4BA7-45AB-9AFA-8C33142F1F52}"/>
            </c:ext>
          </c:extLst>
        </c:ser>
        <c:ser>
          <c:idx val="1"/>
          <c:order val="1"/>
          <c:tx>
            <c:v>Bán buôn (Wholesale)</c:v>
          </c:tx>
          <c:spPr>
            <a:solidFill>
              <a:srgbClr val="EB6834"/>
            </a:solidFill>
            <a:ln>
              <a:noFill/>
            </a:ln>
          </c:spPr>
          <c:invertIfNegative val="0"/>
          <c:cat>
            <c:strRef>
              <c:f>'Dữ liệu biểu đồ'!$A$5:$A$11</c:f>
              <c:strCache>
                <c:ptCount val="7"/>
                <c:pt idx="0">
                  <c:v>FY2020</c:v>
                </c:pt>
                <c:pt idx="1">
                  <c:v>FY2021</c:v>
                </c:pt>
                <c:pt idx="2">
                  <c:v>FY2022</c:v>
                </c:pt>
                <c:pt idx="3">
                  <c:v>FY2023</c:v>
                </c:pt>
                <c:pt idx="4">
                  <c:v>FY2024</c:v>
                </c:pt>
                <c:pt idx="5">
                  <c:v>FY2025</c:v>
                </c:pt>
                <c:pt idx="6">
                  <c:v>FY2026</c:v>
                </c:pt>
              </c:strCache>
            </c:strRef>
          </c:cat>
          <c:val>
            <c:numRef>
              <c:f>'Dữ liệu biểu đồ'!$M$5:$M$11</c:f>
              <c:numCache>
                <c:formatCode>0.0%</c:formatCode>
                <c:ptCount val="7"/>
                <c:pt idx="0">
                  <c:v>-8.9171222908390038E-2</c:v>
                </c:pt>
                <c:pt idx="1">
                  <c:v>0.1184142338918639</c:v>
                </c:pt>
                <c:pt idx="2">
                  <c:v>-1.1197775890030119E-2</c:v>
                </c:pt>
                <c:pt idx="3">
                  <c:v>6.9860980943455164E-2</c:v>
                </c:pt>
                <c:pt idx="4">
                  <c:v>1.317662517793919E-2</c:v>
                </c:pt>
                <c:pt idx="5">
                  <c:v>-6.7548094243101084E-2</c:v>
                </c:pt>
                <c:pt idx="6">
                  <c:v>6.0657574469729157E-2</c:v>
                </c:pt>
              </c:numCache>
            </c:numRef>
          </c:val>
          <c:extLst>
            <c:ext xmlns:c16="http://schemas.microsoft.com/office/drawing/2014/chart" uri="{C3380CC4-5D6E-409C-BE32-E72D297353CC}">
              <c16:uniqueId val="{00000001-4BA7-45AB-9AFA-8C33142F1F52}"/>
            </c:ext>
          </c:extLst>
        </c:ser>
        <c:dLbls>
          <c:showLegendKey val="0"/>
          <c:showVal val="0"/>
          <c:showCatName val="0"/>
          <c:showSerName val="0"/>
          <c:showPercent val="0"/>
          <c:showBubbleSize val="0"/>
        </c:dLbls>
        <c:gapWidth val="70"/>
        <c:axId val="50030001"/>
        <c:axId val="50030002"/>
      </c:barChart>
      <c:catAx>
        <c:axId val="50030001"/>
        <c:scaling>
          <c:orientation val="minMax"/>
        </c:scaling>
        <c:delete val="0"/>
        <c:axPos val="b"/>
        <c:numFmt formatCode="General" sourceLinked="0"/>
        <c:majorTickMark val="none"/>
        <c:minorTickMark val="none"/>
        <c:tickLblPos val="low"/>
        <c:spPr>
          <a:ln w="15875">
            <a:solidFill>
              <a:srgbClr val="15191E"/>
            </a:solidFill>
          </a:ln>
        </c:spPr>
        <c:txPr>
          <a:bodyPr/>
          <a:lstStyle/>
          <a:p>
            <a:pPr>
              <a:defRPr sz="900" baseline="0">
                <a:solidFill>
                  <a:srgbClr val="5B6472"/>
                </a:solidFill>
                <a:latin typeface="Arial"/>
              </a:defRPr>
            </a:pPr>
            <a:endParaRPr lang="en-US"/>
          </a:p>
        </c:txPr>
        <c:crossAx val="50030002"/>
        <c:crosses val="autoZero"/>
        <c:auto val="1"/>
        <c:lblAlgn val="ctr"/>
        <c:lblOffset val="100"/>
        <c:noMultiLvlLbl val="0"/>
      </c:catAx>
      <c:valAx>
        <c:axId val="50030002"/>
        <c:scaling>
          <c:orientation val="minMax"/>
        </c:scaling>
        <c:delete val="0"/>
        <c:axPos val="l"/>
        <c:majorGridlines>
          <c:spPr>
            <a:ln w="9525">
              <a:solidFill>
                <a:srgbClr val="E6E9EE"/>
              </a:solidFill>
            </a:ln>
          </c:spPr>
        </c:majorGridlines>
        <c:numFmt formatCode="0%;\−0%;0%" sourceLinked="0"/>
        <c:majorTickMark val="none"/>
        <c:minorTickMark val="none"/>
        <c:tickLblPos val="nextTo"/>
        <c:spPr>
          <a:ln>
            <a:noFill/>
          </a:ln>
        </c:spPr>
        <c:txPr>
          <a:bodyPr/>
          <a:lstStyle/>
          <a:p>
            <a:pPr>
              <a:defRPr sz="900" baseline="0">
                <a:solidFill>
                  <a:srgbClr val="5B6472"/>
                </a:solidFill>
                <a:latin typeface="Arial"/>
              </a:defRPr>
            </a:pPr>
            <a:endParaRPr lang="en-US"/>
          </a:p>
        </c:txPr>
        <c:crossAx val="50030001"/>
        <c:crosses val="autoZero"/>
        <c:crossBetween val="between"/>
      </c:valAx>
      <c:spPr>
        <a:ln>
          <a:noFill/>
        </a:ln>
      </c:spPr>
    </c:plotArea>
    <c:legend>
      <c:legendPos val="t"/>
      <c:overlay val="0"/>
      <c:txPr>
        <a:bodyPr/>
        <a:lstStyle/>
        <a:p>
          <a:pPr>
            <a:defRPr sz="900" baseline="0">
              <a:solidFill>
                <a:srgbClr val="3B4350"/>
              </a:solidFill>
              <a:latin typeface="Arial"/>
            </a:defRPr>
          </a:pPr>
          <a:endParaRPr lang="en-US"/>
        </a:p>
      </c:txPr>
    </c:legend>
    <c:plotVisOnly val="1"/>
    <c:dispBlanksAs val="gap"/>
    <c:showDLblsOverMax val="0"/>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NIKE Direct (tổng)</c:v>
          </c:tx>
          <c:spPr>
            <a:solidFill>
              <a:srgbClr val="86B6EF"/>
            </a:solidFill>
            <a:ln>
              <a:noFill/>
            </a:ln>
          </c:spPr>
          <c:invertIfNegative val="0"/>
          <c:dLbls>
            <c:numFmt formatCode="0.0" sourceLinked="0"/>
            <c:spPr>
              <a:noFill/>
              <a:ln>
                <a:noFill/>
              </a:ln>
              <a:effectLst/>
            </c:spPr>
            <c:txPr>
              <a:bodyPr/>
              <a:lstStyle/>
              <a:p>
                <a:pPr>
                  <a:defRPr sz="800" b="0" baseline="0">
                    <a:solidFill>
                      <a:srgbClr val="3B435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'Dữ liệu biểu đồ'!$A$5:$A$11</c:f>
              <c:strCache>
                <c:ptCount val="7"/>
                <c:pt idx="0">
                  <c:v>FY2020</c:v>
                </c:pt>
                <c:pt idx="1">
                  <c:v>FY2021</c:v>
                </c:pt>
                <c:pt idx="2">
                  <c:v>FY2022</c:v>
                </c:pt>
                <c:pt idx="3">
                  <c:v>FY2023</c:v>
                </c:pt>
                <c:pt idx="4">
                  <c:v>FY2024</c:v>
                </c:pt>
                <c:pt idx="5">
                  <c:v>FY2025</c:v>
                </c:pt>
                <c:pt idx="6">
                  <c:v>FY2026</c:v>
                </c:pt>
              </c:strCache>
            </c:strRef>
          </c:cat>
          <c:val>
            <c:numRef>
              <c:f>'Dữ liệu biểu đồ'!$F$5:$F$11</c:f>
              <c:numCache>
                <c:formatCode>0.000</c:formatCode>
                <c:ptCount val="7"/>
                <c:pt idx="0">
                  <c:v>12.382</c:v>
                </c:pt>
                <c:pt idx="1">
                  <c:v>16.37</c:v>
                </c:pt>
                <c:pt idx="2">
                  <c:v>18.725999999999999</c:v>
                </c:pt>
                <c:pt idx="3">
                  <c:v>21.308</c:v>
                </c:pt>
                <c:pt idx="4">
                  <c:v>21.518999999999998</c:v>
                </c:pt>
                <c:pt idx="5">
                  <c:v>18.783000000000001</c:v>
                </c:pt>
                <c:pt idx="6">
                  <c:v>17.72</c:v>
                </c:pt>
              </c:numCache>
            </c:numRef>
          </c:val>
          <c:extLst>
            <c:ext xmlns:c16="http://schemas.microsoft.com/office/drawing/2014/chart" uri="{C3380CC4-5D6E-409C-BE32-E72D297353CC}">
              <c16:uniqueId val="{00000000-42C3-4D56-95D6-9A3A79660AB8}"/>
            </c:ext>
          </c:extLst>
        </c:ser>
        <c:ser>
          <c:idx val="1"/>
          <c:order val="1"/>
          <c:tx>
            <c:v>Trong đó: NIKE Brand Digital</c:v>
          </c:tx>
          <c:spPr>
            <a:solidFill>
              <a:srgbClr val="1C5CAB"/>
            </a:solidFill>
            <a:ln>
              <a:noFill/>
            </a:ln>
          </c:spPr>
          <c:invertIfNegative val="0"/>
          <c:cat>
            <c:strRef>
              <c:f>'Dữ liệu biểu đồ'!$A$5:$A$11</c:f>
              <c:strCache>
                <c:ptCount val="7"/>
                <c:pt idx="0">
                  <c:v>FY2020</c:v>
                </c:pt>
                <c:pt idx="1">
                  <c:v>FY2021</c:v>
                </c:pt>
                <c:pt idx="2">
                  <c:v>FY2022</c:v>
                </c:pt>
                <c:pt idx="3">
                  <c:v>FY2023</c:v>
                </c:pt>
                <c:pt idx="4">
                  <c:v>FY2024</c:v>
                </c:pt>
                <c:pt idx="5">
                  <c:v>FY2025</c:v>
                </c:pt>
                <c:pt idx="6">
                  <c:v>FY2026</c:v>
                </c:pt>
              </c:strCache>
            </c:strRef>
          </c:cat>
          <c:val>
            <c:numRef>
              <c:f>'Dữ liệu biểu đồ'!$N$5:$N$11</c:f>
              <c:numCache>
                <c:formatCode>0.000</c:formatCode>
                <c:ptCount val="7"/>
                <c:pt idx="0">
                  <c:v>5.5</c:v>
                </c:pt>
                <c:pt idx="1">
                  <c:v>9.1</c:v>
                </c:pt>
                <c:pt idx="2">
                  <c:v>10.7</c:v>
                </c:pt>
                <c:pt idx="3">
                  <c:v>12.6</c:v>
                </c:pt>
                <c:pt idx="4">
                  <c:v>12.1</c:v>
                </c:pt>
                <c:pt idx="5">
                  <c:v>9.6</c:v>
                </c:pt>
                <c:pt idx="6">
                  <c:v>8.6</c:v>
                </c:pt>
              </c:numCache>
            </c:numRef>
          </c:val>
          <c:extLst>
            <c:ext xmlns:c16="http://schemas.microsoft.com/office/drawing/2014/chart" uri="{C3380CC4-5D6E-409C-BE32-E72D297353CC}">
              <c16:uniqueId val="{00000001-42C3-4D56-95D6-9A3A79660AB8}"/>
            </c:ext>
          </c:extLst>
        </c:ser>
        <c:dLbls>
          <c:showLegendKey val="0"/>
          <c:showVal val="0"/>
          <c:showCatName val="0"/>
          <c:showSerName val="0"/>
          <c:showPercent val="0"/>
          <c:showBubbleSize val="0"/>
        </c:dLbls>
        <c:gapWidth val="110"/>
        <c:overlap val="100"/>
        <c:axId val="50040001"/>
        <c:axId val="50040002"/>
      </c:barChart>
      <c:catAx>
        <c:axId val="50040001"/>
        <c:scaling>
          <c:orientation val="minMax"/>
        </c:scaling>
        <c:delete val="0"/>
        <c:axPos val="b"/>
        <c:numFmt formatCode="General" sourceLinked="0"/>
        <c:majorTickMark val="none"/>
        <c:minorTickMark val="none"/>
        <c:tickLblPos val="nextTo"/>
        <c:spPr>
          <a:ln>
            <a:solidFill>
              <a:srgbClr val="C3C9D1"/>
            </a:solidFill>
          </a:ln>
        </c:spPr>
        <c:txPr>
          <a:bodyPr/>
          <a:lstStyle/>
          <a:p>
            <a:pPr>
              <a:defRPr sz="900" baseline="0">
                <a:solidFill>
                  <a:srgbClr val="5B6472"/>
                </a:solidFill>
                <a:latin typeface="Arial"/>
              </a:defRPr>
            </a:pPr>
            <a:endParaRPr lang="en-US"/>
          </a:p>
        </c:txPr>
        <c:crossAx val="50040002"/>
        <c:crosses val="autoZero"/>
        <c:auto val="1"/>
        <c:lblAlgn val="ctr"/>
        <c:lblOffset val="100"/>
        <c:noMultiLvlLbl val="0"/>
      </c:catAx>
      <c:valAx>
        <c:axId val="50040002"/>
        <c:scaling>
          <c:orientation val="minMax"/>
          <c:min val="0"/>
        </c:scaling>
        <c:delete val="0"/>
        <c:axPos val="l"/>
        <c:majorGridlines>
          <c:spPr>
            <a:ln w="9525">
              <a:solidFill>
                <a:srgbClr val="E6E9EE"/>
              </a:solidFill>
            </a:ln>
          </c:spPr>
        </c:majorGridlines>
        <c:numFmt formatCode="0" sourceLinked="0"/>
        <c:majorTickMark val="none"/>
        <c:minorTickMark val="none"/>
        <c:tickLblPos val="nextTo"/>
        <c:spPr>
          <a:ln>
            <a:noFill/>
          </a:ln>
        </c:spPr>
        <c:txPr>
          <a:bodyPr/>
          <a:lstStyle/>
          <a:p>
            <a:pPr>
              <a:defRPr sz="900" baseline="0">
                <a:solidFill>
                  <a:srgbClr val="5B6472"/>
                </a:solidFill>
                <a:latin typeface="Arial"/>
              </a:defRPr>
            </a:pPr>
            <a:endParaRPr lang="en-US"/>
          </a:p>
        </c:txPr>
        <c:crossAx val="50040001"/>
        <c:crosses val="autoZero"/>
        <c:crossBetween val="between"/>
      </c:valAx>
      <c:spPr>
        <a:ln>
          <a:noFill/>
        </a:ln>
      </c:spPr>
    </c:plotArea>
    <c:legend>
      <c:legendPos val="t"/>
      <c:overlay val="0"/>
      <c:txPr>
        <a:bodyPr/>
        <a:lstStyle/>
        <a:p>
          <a:pPr>
            <a:defRPr sz="900" baseline="0">
              <a:solidFill>
                <a:srgbClr val="3B4350"/>
              </a:solidFill>
              <a:latin typeface="Arial"/>
            </a:defRPr>
          </a:pPr>
          <a:endParaRPr lang="en-US"/>
        </a:p>
      </c:txPr>
    </c:legend>
    <c:plotVisOnly val="1"/>
    <c:dispBlanksAs val="gap"/>
    <c:showDLblsOverMax val="0"/>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Doanh thu</c:v>
          </c:tx>
          <c:spPr>
            <a:solidFill>
              <a:srgbClr val="475467"/>
            </a:solidFill>
            <a:ln>
              <a:noFill/>
            </a:ln>
          </c:spPr>
          <c:invertIfNegative val="0"/>
          <c:dLbls>
            <c:numFmt formatCode="0.0" sourceLinked="0"/>
            <c:spPr>
              <a:noFill/>
              <a:ln>
                <a:noFill/>
              </a:ln>
              <a:effectLst/>
            </c:spPr>
            <c:txPr>
              <a:bodyPr/>
              <a:lstStyle/>
              <a:p>
                <a:pPr>
                  <a:defRPr sz="800" b="0" baseline="0">
                    <a:solidFill>
                      <a:srgbClr val="3B435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'Dữ liệu biểu đồ'!$A$5:$A$11</c:f>
              <c:strCache>
                <c:ptCount val="7"/>
                <c:pt idx="0">
                  <c:v>FY2020</c:v>
                </c:pt>
                <c:pt idx="1">
                  <c:v>FY2021</c:v>
                </c:pt>
                <c:pt idx="2">
                  <c:v>FY2022</c:v>
                </c:pt>
                <c:pt idx="3">
                  <c:v>FY2023</c:v>
                </c:pt>
                <c:pt idx="4">
                  <c:v>FY2024</c:v>
                </c:pt>
                <c:pt idx="5">
                  <c:v>FY2025</c:v>
                </c:pt>
                <c:pt idx="6">
                  <c:v>FY2026</c:v>
                </c:pt>
              </c:strCache>
            </c:strRef>
          </c:cat>
          <c:val>
            <c:numRef>
              <c:f>'Dữ liệu biểu đồ'!$O$5:$O$11</c:f>
              <c:numCache>
                <c:formatCode>0.000</c:formatCode>
                <c:ptCount val="7"/>
                <c:pt idx="0">
                  <c:v>37.402999999999999</c:v>
                </c:pt>
                <c:pt idx="1">
                  <c:v>44.537999999999997</c:v>
                </c:pt>
                <c:pt idx="2">
                  <c:v>46.71</c:v>
                </c:pt>
                <c:pt idx="3">
                  <c:v>51.216999999999999</c:v>
                </c:pt>
                <c:pt idx="4">
                  <c:v>51.362000000000002</c:v>
                </c:pt>
                <c:pt idx="5">
                  <c:v>46.308999999999997</c:v>
                </c:pt>
                <c:pt idx="6">
                  <c:v>46.398000000000003</c:v>
                </c:pt>
              </c:numCache>
            </c:numRef>
          </c:val>
          <c:extLst>
            <c:ext xmlns:c16="http://schemas.microsoft.com/office/drawing/2014/chart" uri="{C3380CC4-5D6E-409C-BE32-E72D297353CC}">
              <c16:uniqueId val="{00000000-77F8-4228-9FD8-1F59D809978E}"/>
            </c:ext>
          </c:extLst>
        </c:ser>
        <c:dLbls>
          <c:showLegendKey val="0"/>
          <c:showVal val="0"/>
          <c:showCatName val="0"/>
          <c:showSerName val="0"/>
          <c:showPercent val="0"/>
          <c:showBubbleSize val="0"/>
        </c:dLbls>
        <c:gapWidth val="60"/>
        <c:axId val="50050001"/>
        <c:axId val="50050002"/>
      </c:barChart>
      <c:catAx>
        <c:axId val="50050001"/>
        <c:scaling>
          <c:orientation val="minMax"/>
        </c:scaling>
        <c:delete val="0"/>
        <c:axPos val="b"/>
        <c:numFmt formatCode="General" sourceLinked="0"/>
        <c:majorTickMark val="none"/>
        <c:minorTickMark val="none"/>
        <c:tickLblPos val="nextTo"/>
        <c:spPr>
          <a:ln>
            <a:solidFill>
              <a:srgbClr val="C3C9D1"/>
            </a:solidFill>
          </a:ln>
        </c:spPr>
        <c:txPr>
          <a:bodyPr/>
          <a:lstStyle/>
          <a:p>
            <a:pPr>
              <a:defRPr sz="900" baseline="0">
                <a:solidFill>
                  <a:srgbClr val="5B6472"/>
                </a:solidFill>
                <a:latin typeface="Arial"/>
              </a:defRPr>
            </a:pPr>
            <a:endParaRPr lang="en-US"/>
          </a:p>
        </c:txPr>
        <c:crossAx val="50050002"/>
        <c:crosses val="autoZero"/>
        <c:auto val="1"/>
        <c:lblAlgn val="ctr"/>
        <c:lblOffset val="100"/>
        <c:noMultiLvlLbl val="0"/>
      </c:catAx>
      <c:valAx>
        <c:axId val="50050002"/>
        <c:scaling>
          <c:orientation val="minMax"/>
          <c:min val="0"/>
        </c:scaling>
        <c:delete val="0"/>
        <c:axPos val="l"/>
        <c:majorGridlines>
          <c:spPr>
            <a:ln w="9525">
              <a:solidFill>
                <a:srgbClr val="E6E9EE"/>
              </a:solidFill>
            </a:ln>
          </c:spPr>
        </c:majorGridlines>
        <c:numFmt formatCode="0" sourceLinked="0"/>
        <c:majorTickMark val="none"/>
        <c:minorTickMark val="none"/>
        <c:tickLblPos val="nextTo"/>
        <c:spPr>
          <a:ln>
            <a:noFill/>
          </a:ln>
        </c:spPr>
        <c:txPr>
          <a:bodyPr/>
          <a:lstStyle/>
          <a:p>
            <a:pPr>
              <a:defRPr sz="900" baseline="0">
                <a:solidFill>
                  <a:srgbClr val="5B6472"/>
                </a:solidFill>
                <a:latin typeface="Arial"/>
              </a:defRPr>
            </a:pPr>
            <a:endParaRPr lang="en-US"/>
          </a:p>
        </c:txPr>
        <c:crossAx val="50050001"/>
        <c:crosses val="autoZero"/>
        <c:crossBetween val="between"/>
      </c:valAx>
      <c:spPr>
        <a:ln>
          <a:noFill/>
        </a:ln>
      </c:spPr>
    </c:plotArea>
    <c:plotVisOnly val="1"/>
    <c:dispBlanksAs val="gap"/>
    <c:showDLblsOverMax val="0"/>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Biên lợi nhuận gộp</c:v>
          </c:tx>
          <c:spPr>
            <a:ln w="25400">
              <a:solidFill>
                <a:srgbClr val="475467"/>
              </a:solidFill>
            </a:ln>
          </c:spPr>
          <c:marker>
            <c:symbol val="circle"/>
            <c:size val="7"/>
            <c:spPr>
              <a:solidFill>
                <a:srgbClr val="475467"/>
              </a:solidFill>
              <a:ln w="15875">
                <a:solidFill>
                  <a:srgbClr val="FFFFFF"/>
                </a:solidFill>
              </a:ln>
            </c:spPr>
          </c:marker>
          <c:dLbls>
            <c:numFmt formatCode="0.0%" sourceLinked="0"/>
            <c:spPr>
              <a:noFill/>
              <a:ln>
                <a:noFill/>
              </a:ln>
              <a:effectLst/>
            </c:spPr>
            <c:txPr>
              <a:bodyPr/>
              <a:lstStyle/>
              <a:p>
                <a:pPr>
                  <a:defRPr sz="800" b="0" baseline="0">
                    <a:solidFill>
                      <a:srgbClr val="3B4350"/>
                    </a:solidFill>
                    <a:latin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'Dữ liệu biểu đồ'!$A$5:$A$11</c:f>
              <c:strCache>
                <c:ptCount val="7"/>
                <c:pt idx="0">
                  <c:v>FY2020</c:v>
                </c:pt>
                <c:pt idx="1">
                  <c:v>FY2021</c:v>
                </c:pt>
                <c:pt idx="2">
                  <c:v>FY2022</c:v>
                </c:pt>
                <c:pt idx="3">
                  <c:v>FY2023</c:v>
                </c:pt>
                <c:pt idx="4">
                  <c:v>FY2024</c:v>
                </c:pt>
                <c:pt idx="5">
                  <c:v>FY2025</c:v>
                </c:pt>
                <c:pt idx="6">
                  <c:v>FY2026</c:v>
                </c:pt>
              </c:strCache>
            </c:strRef>
          </c:cat>
          <c:val>
            <c:numRef>
              <c:f>'Dữ liệu biểu đồ'!$P$5:$P$11</c:f>
              <c:numCache>
                <c:formatCode>0.0%</c:formatCode>
                <c:ptCount val="7"/>
                <c:pt idx="0">
                  <c:v>0.43421650669732381</c:v>
                </c:pt>
                <c:pt idx="1">
                  <c:v>0.44820153576721</c:v>
                </c:pt>
                <c:pt idx="2">
                  <c:v>0.45983729394134021</c:v>
                </c:pt>
                <c:pt idx="3">
                  <c:v>0.43524610969014188</c:v>
                </c:pt>
                <c:pt idx="4">
                  <c:v>0.44560180678322497</c:v>
                </c:pt>
                <c:pt idx="5">
                  <c:v>0.42734673605562629</c:v>
                </c:pt>
                <c:pt idx="6">
                  <c:v>0.42913487650329762</c:v>
                </c:pt>
              </c:numCache>
            </c:numRef>
          </c:val>
          <c:smooth val="0"/>
          <c:extLst>
            <c:ext xmlns:c16="http://schemas.microsoft.com/office/drawing/2014/chart" uri="{C3380CC4-5D6E-409C-BE32-E72D297353CC}">
              <c16:uniqueId val="{00000000-C6B0-450E-8955-B0E484C8105B}"/>
            </c:ext>
          </c:extLst>
        </c:ser>
        <c:dLbls>
          <c:showLegendKey val="0"/>
          <c:showVal val="0"/>
          <c:showCatName val="0"/>
          <c:showSerName val="0"/>
          <c:showPercent val="0"/>
          <c:showBubbleSize val="0"/>
        </c:dLbls>
        <c:marker val="1"/>
        <c:smooth val="0"/>
        <c:axId val="50060001"/>
        <c:axId val="50060002"/>
      </c:lineChart>
      <c:catAx>
        <c:axId val="50060001"/>
        <c:scaling>
          <c:orientation val="minMax"/>
        </c:scaling>
        <c:delete val="0"/>
        <c:axPos val="b"/>
        <c:numFmt formatCode="General" sourceLinked="0"/>
        <c:majorTickMark val="none"/>
        <c:minorTickMark val="none"/>
        <c:tickLblPos val="nextTo"/>
        <c:spPr>
          <a:ln>
            <a:solidFill>
              <a:srgbClr val="C3C9D1"/>
            </a:solidFill>
          </a:ln>
        </c:spPr>
        <c:txPr>
          <a:bodyPr/>
          <a:lstStyle/>
          <a:p>
            <a:pPr>
              <a:defRPr sz="900" baseline="0">
                <a:solidFill>
                  <a:srgbClr val="5B6472"/>
                </a:solidFill>
                <a:latin typeface="Arial"/>
              </a:defRPr>
            </a:pPr>
            <a:endParaRPr lang="en-US"/>
          </a:p>
        </c:txPr>
        <c:crossAx val="50060002"/>
        <c:crosses val="autoZero"/>
        <c:auto val="1"/>
        <c:lblAlgn val="ctr"/>
        <c:lblOffset val="100"/>
        <c:noMultiLvlLbl val="0"/>
      </c:catAx>
      <c:valAx>
        <c:axId val="50060002"/>
        <c:scaling>
          <c:orientation val="minMax"/>
          <c:max val="0.48"/>
          <c:min val="0.4"/>
        </c:scaling>
        <c:delete val="0"/>
        <c:axPos val="l"/>
        <c:majorGridlines>
          <c:spPr>
            <a:ln w="9525">
              <a:solidFill>
                <a:srgbClr val="E6E9EE"/>
              </a:solidFill>
            </a:ln>
          </c:spPr>
        </c:majorGridlines>
        <c:numFmt formatCode="0%" sourceLinked="0"/>
        <c:majorTickMark val="none"/>
        <c:minorTickMark val="none"/>
        <c:tickLblPos val="nextTo"/>
        <c:spPr>
          <a:ln>
            <a:noFill/>
          </a:ln>
        </c:spPr>
        <c:txPr>
          <a:bodyPr/>
          <a:lstStyle/>
          <a:p>
            <a:pPr>
              <a:defRPr sz="900" baseline="0">
                <a:solidFill>
                  <a:srgbClr val="5B6472"/>
                </a:solidFill>
                <a:latin typeface="Arial"/>
              </a:defRPr>
            </a:pPr>
            <a:endParaRPr lang="en-US"/>
          </a:p>
        </c:txPr>
        <c:crossAx val="50060001"/>
        <c:crosses val="autoZero"/>
        <c:crossBetween val="between"/>
        <c:majorUnit val="0.02"/>
      </c:valAx>
      <c:spPr>
        <a:ln>
          <a:noFill/>
        </a:ln>
      </c:spPr>
    </c:plotArea>
    <c:plotVisOnly val="1"/>
    <c:dispBlanksAs val="gap"/>
    <c:showDLblsOverMax val="0"/>
  </c:chart>
  <c:spPr>
    <a:solidFill>
      <a:srgbClr val="FFFFFF"/>
    </a:solid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Vận hành chung</c:v>
          </c:tx>
          <c:spPr>
            <a:solidFill>
              <a:srgbClr val="6250D6"/>
            </a:solidFill>
            <a:ln w="9525">
              <a:solidFill>
                <a:srgbClr val="FFFFFF"/>
              </a:solidFill>
            </a:ln>
          </c:spPr>
          <c:invertIfNegative val="0"/>
          <c:cat>
            <c:strRef>
              <c:f>'Dữ liệu biểu đồ'!$A$5:$A$11</c:f>
              <c:strCache>
                <c:ptCount val="7"/>
                <c:pt idx="0">
                  <c:v>FY2020</c:v>
                </c:pt>
                <c:pt idx="1">
                  <c:v>FY2021</c:v>
                </c:pt>
                <c:pt idx="2">
                  <c:v>FY2022</c:v>
                </c:pt>
                <c:pt idx="3">
                  <c:v>FY2023</c:v>
                </c:pt>
                <c:pt idx="4">
                  <c:v>FY2024</c:v>
                </c:pt>
                <c:pt idx="5">
                  <c:v>FY2025</c:v>
                </c:pt>
                <c:pt idx="6">
                  <c:v>FY2026</c:v>
                </c:pt>
              </c:strCache>
            </c:strRef>
          </c:cat>
          <c:val>
            <c:numRef>
              <c:f>'Dữ liệu biểu đồ'!$Q$5:$Q$11</c:f>
              <c:numCache>
                <c:formatCode>0.0%</c:formatCode>
                <c:ptCount val="7"/>
                <c:pt idx="0">
                  <c:v>0.25489933962516381</c:v>
                </c:pt>
                <c:pt idx="1">
                  <c:v>0.2225290762944003</c:v>
                </c:pt>
                <c:pt idx="2">
                  <c:v>0.23451081138942409</c:v>
                </c:pt>
                <c:pt idx="3">
                  <c:v>0.2404865571978054</c:v>
                </c:pt>
                <c:pt idx="4">
                  <c:v>0.2393014290720766</c:v>
                </c:pt>
                <c:pt idx="5">
                  <c:v>0.24615085620505731</c:v>
                </c:pt>
                <c:pt idx="6">
                  <c:v>0.24483813957498171</c:v>
                </c:pt>
              </c:numCache>
            </c:numRef>
          </c:val>
          <c:extLst>
            <c:ext xmlns:c16="http://schemas.microsoft.com/office/drawing/2014/chart" uri="{C3380CC4-5D6E-409C-BE32-E72D297353CC}">
              <c16:uniqueId val="{00000000-CB1D-4F8D-AFC9-722570DD9FE3}"/>
            </c:ext>
          </c:extLst>
        </c:ser>
        <c:ser>
          <c:idx val="1"/>
          <c:order val="1"/>
          <c:tx>
            <c:v>Tạo nhu cầu (marketing)</c:v>
          </c:tx>
          <c:spPr>
            <a:solidFill>
              <a:srgbClr val="1BAF7A"/>
            </a:solidFill>
            <a:ln w="9525">
              <a:solidFill>
                <a:srgbClr val="FFFFFF"/>
              </a:solidFill>
            </a:ln>
          </c:spPr>
          <c:invertIfNegative val="0"/>
          <c:cat>
            <c:strRef>
              <c:f>'Dữ liệu biểu đồ'!$A$5:$A$11</c:f>
              <c:strCache>
                <c:ptCount val="7"/>
                <c:pt idx="0">
                  <c:v>FY2020</c:v>
                </c:pt>
                <c:pt idx="1">
                  <c:v>FY2021</c:v>
                </c:pt>
                <c:pt idx="2">
                  <c:v>FY2022</c:v>
                </c:pt>
                <c:pt idx="3">
                  <c:v>FY2023</c:v>
                </c:pt>
                <c:pt idx="4">
                  <c:v>FY2024</c:v>
                </c:pt>
                <c:pt idx="5">
                  <c:v>FY2025</c:v>
                </c:pt>
                <c:pt idx="6">
                  <c:v>FY2026</c:v>
                </c:pt>
              </c:strCache>
            </c:strRef>
          </c:cat>
          <c:val>
            <c:numRef>
              <c:f>'Dữ liệu biểu đồ'!$R$5:$R$11</c:f>
              <c:numCache>
                <c:formatCode>0.0%</c:formatCode>
                <c:ptCount val="7"/>
                <c:pt idx="0">
                  <c:v>9.6035077400208543E-2</c:v>
                </c:pt>
                <c:pt idx="1">
                  <c:v>6.9917822982621586E-2</c:v>
                </c:pt>
                <c:pt idx="2">
                  <c:v>8.2423463926354093E-2</c:v>
                </c:pt>
                <c:pt idx="3">
                  <c:v>7.9270554698635212E-2</c:v>
                </c:pt>
                <c:pt idx="4">
                  <c:v>8.3427436626299603E-2</c:v>
                </c:pt>
                <c:pt idx="5">
                  <c:v>0.1012546157334427</c:v>
                </c:pt>
                <c:pt idx="6">
                  <c:v>0.1024613129876288</c:v>
                </c:pt>
              </c:numCache>
            </c:numRef>
          </c:val>
          <c:extLst>
            <c:ext xmlns:c16="http://schemas.microsoft.com/office/drawing/2014/chart" uri="{C3380CC4-5D6E-409C-BE32-E72D297353CC}">
              <c16:uniqueId val="{00000001-CB1D-4F8D-AFC9-722570DD9FE3}"/>
            </c:ext>
          </c:extLst>
        </c:ser>
        <c:dLbls>
          <c:showLegendKey val="0"/>
          <c:showVal val="0"/>
          <c:showCatName val="0"/>
          <c:showSerName val="0"/>
          <c:showPercent val="0"/>
          <c:showBubbleSize val="0"/>
        </c:dLbls>
        <c:gapWidth val="60"/>
        <c:overlap val="100"/>
        <c:axId val="50070001"/>
        <c:axId val="50070002"/>
      </c:barChart>
      <c:lineChart>
        <c:grouping val="standard"/>
        <c:varyColors val="0"/>
        <c:ser>
          <c:idx val="2"/>
          <c:order val="2"/>
          <c:tx>
            <c:v>Tổng SG&amp;A / doanh thu</c:v>
          </c:tx>
          <c:spPr>
            <a:ln>
              <a:noFill/>
            </a:ln>
          </c:spPr>
          <c:marker>
            <c:symbol val="none"/>
          </c:marker>
          <c:dLbls>
            <c:numFmt formatCode="0.0%" sourceLinked="0"/>
            <c:spPr>
              <a:noFill/>
              <a:ln>
                <a:noFill/>
              </a:ln>
              <a:effectLst/>
            </c:spPr>
            <c:txPr>
              <a:bodyPr/>
              <a:lstStyle/>
              <a:p>
                <a:pPr>
                  <a:defRPr sz="800" b="0" baseline="0">
                    <a:solidFill>
                      <a:srgbClr val="3B4350"/>
                    </a:solidFill>
                    <a:latin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'Dữ liệu biểu đồ'!$A$5:$A$11</c:f>
              <c:strCache>
                <c:ptCount val="7"/>
                <c:pt idx="0">
                  <c:v>FY2020</c:v>
                </c:pt>
                <c:pt idx="1">
                  <c:v>FY2021</c:v>
                </c:pt>
                <c:pt idx="2">
                  <c:v>FY2022</c:v>
                </c:pt>
                <c:pt idx="3">
                  <c:v>FY2023</c:v>
                </c:pt>
                <c:pt idx="4">
                  <c:v>FY2024</c:v>
                </c:pt>
                <c:pt idx="5">
                  <c:v>FY2025</c:v>
                </c:pt>
                <c:pt idx="6">
                  <c:v>FY2026</c:v>
                </c:pt>
              </c:strCache>
            </c:strRef>
          </c:cat>
          <c:val>
            <c:numRef>
              <c:f>'Dữ liệu biểu đồ'!$S$5:$S$11</c:f>
              <c:numCache>
                <c:formatCode>0.0%</c:formatCode>
                <c:ptCount val="7"/>
                <c:pt idx="0">
                  <c:v>0.35093441702537231</c:v>
                </c:pt>
                <c:pt idx="1">
                  <c:v>0.29244689927702189</c:v>
                </c:pt>
                <c:pt idx="2">
                  <c:v>0.31693427531577822</c:v>
                </c:pt>
                <c:pt idx="3">
                  <c:v>0.31975711189644063</c:v>
                </c:pt>
                <c:pt idx="4">
                  <c:v>0.32272886569837622</c:v>
                </c:pt>
                <c:pt idx="5">
                  <c:v>0.34740547193850008</c:v>
                </c:pt>
                <c:pt idx="6">
                  <c:v>0.34729945256261052</c:v>
                </c:pt>
              </c:numCache>
            </c:numRef>
          </c:val>
          <c:smooth val="0"/>
          <c:extLst>
            <c:ext xmlns:c16="http://schemas.microsoft.com/office/drawing/2014/chart" uri="{C3380CC4-5D6E-409C-BE32-E72D297353CC}">
              <c16:uniqueId val="{00000002-CB1D-4F8D-AFC9-722570DD9FE3}"/>
            </c:ext>
          </c:extLst>
        </c:ser>
        <c:dLbls>
          <c:showLegendKey val="0"/>
          <c:showVal val="0"/>
          <c:showCatName val="0"/>
          <c:showSerName val="0"/>
          <c:showPercent val="0"/>
          <c:showBubbleSize val="0"/>
        </c:dLbls>
        <c:marker val="1"/>
        <c:smooth val="0"/>
        <c:axId val="50070001"/>
        <c:axId val="50070002"/>
      </c:lineChart>
      <c:catAx>
        <c:axId val="50070001"/>
        <c:scaling>
          <c:orientation val="minMax"/>
        </c:scaling>
        <c:delete val="0"/>
        <c:axPos val="b"/>
        <c:numFmt formatCode="General" sourceLinked="0"/>
        <c:majorTickMark val="none"/>
        <c:minorTickMark val="none"/>
        <c:tickLblPos val="nextTo"/>
        <c:spPr>
          <a:ln>
            <a:solidFill>
              <a:srgbClr val="C3C9D1"/>
            </a:solidFill>
          </a:ln>
        </c:spPr>
        <c:txPr>
          <a:bodyPr/>
          <a:lstStyle/>
          <a:p>
            <a:pPr>
              <a:defRPr sz="900" baseline="0">
                <a:solidFill>
                  <a:srgbClr val="5B6472"/>
                </a:solidFill>
                <a:latin typeface="Arial"/>
              </a:defRPr>
            </a:pPr>
            <a:endParaRPr lang="en-US"/>
          </a:p>
        </c:txPr>
        <c:crossAx val="50070002"/>
        <c:crosses val="autoZero"/>
        <c:auto val="1"/>
        <c:lblAlgn val="ctr"/>
        <c:lblOffset val="100"/>
        <c:noMultiLvlLbl val="0"/>
      </c:catAx>
      <c:valAx>
        <c:axId val="50070002"/>
        <c:scaling>
          <c:orientation val="minMax"/>
          <c:min val="0"/>
        </c:scaling>
        <c:delete val="0"/>
        <c:axPos val="l"/>
        <c:majorGridlines>
          <c:spPr>
            <a:ln w="9525">
              <a:solidFill>
                <a:srgbClr val="E6E9EE"/>
              </a:solidFill>
            </a:ln>
          </c:spPr>
        </c:majorGridlines>
        <c:numFmt formatCode="0%" sourceLinked="0"/>
        <c:majorTickMark val="none"/>
        <c:minorTickMark val="none"/>
        <c:tickLblPos val="nextTo"/>
        <c:spPr>
          <a:ln>
            <a:noFill/>
          </a:ln>
        </c:spPr>
        <c:txPr>
          <a:bodyPr/>
          <a:lstStyle/>
          <a:p>
            <a:pPr>
              <a:defRPr sz="900" baseline="0">
                <a:solidFill>
                  <a:srgbClr val="5B6472"/>
                </a:solidFill>
                <a:latin typeface="Arial"/>
              </a:defRPr>
            </a:pPr>
            <a:endParaRPr lang="en-US"/>
          </a:p>
        </c:txPr>
        <c:crossAx val="50070001"/>
        <c:crosses val="autoZero"/>
        <c:crossBetween val="between"/>
      </c:valAx>
      <c:spPr>
        <a:ln>
          <a:noFill/>
        </a:ln>
      </c:spPr>
    </c:plotArea>
    <c:legend>
      <c:legendPos val="t"/>
      <c:legendEntry>
        <c:idx val="2"/>
        <c:delete val="1"/>
      </c:legendEntry>
      <c:overlay val="0"/>
      <c:txPr>
        <a:bodyPr/>
        <a:lstStyle/>
        <a:p>
          <a:pPr>
            <a:defRPr sz="900" baseline="0">
              <a:solidFill>
                <a:srgbClr val="3B4350"/>
              </a:solidFill>
              <a:latin typeface="Arial"/>
            </a:defRPr>
          </a:pPr>
          <a:endParaRPr lang="en-US"/>
        </a:p>
      </c:txPr>
    </c:legend>
    <c:plotVisOnly val="1"/>
    <c:dispBlanksAs val="gap"/>
    <c:showDLblsOverMax val="0"/>
  </c:chart>
  <c:spPr>
    <a:solidFill>
      <a:srgbClr val="FFFFFF"/>
    </a:solid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Biên EBIT</c:v>
          </c:tx>
          <c:spPr>
            <a:ln w="25400">
              <a:solidFill>
                <a:srgbClr val="475467"/>
              </a:solidFill>
            </a:ln>
          </c:spPr>
          <c:marker>
            <c:symbol val="circle"/>
            <c:size val="7"/>
            <c:spPr>
              <a:solidFill>
                <a:srgbClr val="475467"/>
              </a:solidFill>
              <a:ln w="15875">
                <a:solidFill>
                  <a:srgbClr val="FFFFFF"/>
                </a:solidFill>
              </a:ln>
            </c:spPr>
          </c:marker>
          <c:dLbls>
            <c:numFmt formatCode="0.0%" sourceLinked="0"/>
            <c:spPr>
              <a:noFill/>
              <a:ln>
                <a:noFill/>
              </a:ln>
              <a:effectLst/>
            </c:spPr>
            <c:txPr>
              <a:bodyPr/>
              <a:lstStyle/>
              <a:p>
                <a:pPr>
                  <a:defRPr sz="800" b="0" baseline="0">
                    <a:solidFill>
                      <a:srgbClr val="3B4350"/>
                    </a:solidFill>
                    <a:latin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'Dữ liệu biểu đồ'!$A$5:$A$11</c:f>
              <c:strCache>
                <c:ptCount val="7"/>
                <c:pt idx="0">
                  <c:v>FY2020</c:v>
                </c:pt>
                <c:pt idx="1">
                  <c:v>FY2021</c:v>
                </c:pt>
                <c:pt idx="2">
                  <c:v>FY2022</c:v>
                </c:pt>
                <c:pt idx="3">
                  <c:v>FY2023</c:v>
                </c:pt>
                <c:pt idx="4">
                  <c:v>FY2024</c:v>
                </c:pt>
                <c:pt idx="5">
                  <c:v>FY2025</c:v>
                </c:pt>
                <c:pt idx="6">
                  <c:v>FY2026</c:v>
                </c:pt>
              </c:strCache>
            </c:strRef>
          </c:cat>
          <c:val>
            <c:numRef>
              <c:f>'Dữ liệu biểu đồ'!$T$5:$T$11</c:f>
              <c:numCache>
                <c:formatCode>0.0%</c:formatCode>
                <c:ptCount val="7"/>
                <c:pt idx="0">
                  <c:v>7.9565810229126011E-2</c:v>
                </c:pt>
                <c:pt idx="1">
                  <c:v>0.1554402981723472</c:v>
                </c:pt>
                <c:pt idx="2">
                  <c:v>0.14677799186469709</c:v>
                </c:pt>
                <c:pt idx="3">
                  <c:v>0.1209559326005037</c:v>
                </c:pt>
                <c:pt idx="4">
                  <c:v>0.127312020559947</c:v>
                </c:pt>
                <c:pt idx="5">
                  <c:v>8.1582413785657212E-2</c:v>
                </c:pt>
                <c:pt idx="6">
                  <c:v>8.2977714556661919E-2</c:v>
                </c:pt>
              </c:numCache>
            </c:numRef>
          </c:val>
          <c:smooth val="0"/>
          <c:extLst>
            <c:ext xmlns:c16="http://schemas.microsoft.com/office/drawing/2014/chart" uri="{C3380CC4-5D6E-409C-BE32-E72D297353CC}">
              <c16:uniqueId val="{00000000-4475-421A-BF38-359726BE54BE}"/>
            </c:ext>
          </c:extLst>
        </c:ser>
        <c:dLbls>
          <c:showLegendKey val="0"/>
          <c:showVal val="0"/>
          <c:showCatName val="0"/>
          <c:showSerName val="0"/>
          <c:showPercent val="0"/>
          <c:showBubbleSize val="0"/>
        </c:dLbls>
        <c:marker val="1"/>
        <c:smooth val="0"/>
        <c:axId val="50080001"/>
        <c:axId val="50080002"/>
      </c:lineChart>
      <c:catAx>
        <c:axId val="50080001"/>
        <c:scaling>
          <c:orientation val="minMax"/>
        </c:scaling>
        <c:delete val="0"/>
        <c:axPos val="b"/>
        <c:numFmt formatCode="General" sourceLinked="0"/>
        <c:majorTickMark val="none"/>
        <c:minorTickMark val="none"/>
        <c:tickLblPos val="nextTo"/>
        <c:spPr>
          <a:ln>
            <a:solidFill>
              <a:srgbClr val="C3C9D1"/>
            </a:solidFill>
          </a:ln>
        </c:spPr>
        <c:txPr>
          <a:bodyPr/>
          <a:lstStyle/>
          <a:p>
            <a:pPr>
              <a:defRPr sz="900" baseline="0">
                <a:solidFill>
                  <a:srgbClr val="5B6472"/>
                </a:solidFill>
                <a:latin typeface="Arial"/>
              </a:defRPr>
            </a:pPr>
            <a:endParaRPr lang="en-US"/>
          </a:p>
        </c:txPr>
        <c:crossAx val="50080002"/>
        <c:crosses val="autoZero"/>
        <c:auto val="1"/>
        <c:lblAlgn val="ctr"/>
        <c:lblOffset val="100"/>
        <c:noMultiLvlLbl val="0"/>
      </c:catAx>
      <c:valAx>
        <c:axId val="50080002"/>
        <c:scaling>
          <c:orientation val="minMax"/>
          <c:min val="0"/>
        </c:scaling>
        <c:delete val="0"/>
        <c:axPos val="l"/>
        <c:majorGridlines>
          <c:spPr>
            <a:ln w="9525">
              <a:solidFill>
                <a:srgbClr val="E6E9EE"/>
              </a:solidFill>
            </a:ln>
          </c:spPr>
        </c:majorGridlines>
        <c:numFmt formatCode="0%" sourceLinked="0"/>
        <c:majorTickMark val="none"/>
        <c:minorTickMark val="none"/>
        <c:tickLblPos val="nextTo"/>
        <c:spPr>
          <a:ln>
            <a:noFill/>
          </a:ln>
        </c:spPr>
        <c:txPr>
          <a:bodyPr/>
          <a:lstStyle/>
          <a:p>
            <a:pPr>
              <a:defRPr sz="900" baseline="0">
                <a:solidFill>
                  <a:srgbClr val="5B6472"/>
                </a:solidFill>
                <a:latin typeface="Arial"/>
              </a:defRPr>
            </a:pPr>
            <a:endParaRPr lang="en-US"/>
          </a:p>
        </c:txPr>
        <c:crossAx val="50080001"/>
        <c:crosses val="autoZero"/>
        <c:crossBetween val="between"/>
      </c:valAx>
      <c:spPr>
        <a:ln>
          <a:noFill/>
        </a:ln>
      </c:spPr>
    </c:plotArea>
    <c:plotVisOnly val="1"/>
    <c:dispBlanksAs val="gap"/>
    <c:showDLblsOverMax val="0"/>
  </c:chart>
  <c:spPr>
    <a:solidFill>
      <a:srgbClr val="FFFFFF"/>
    </a:solidFill>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Hàng tồn kho</c:v>
          </c:tx>
          <c:spPr>
            <a:solidFill>
              <a:srgbClr val="475467"/>
            </a:solidFill>
            <a:ln>
              <a:noFill/>
            </a:ln>
          </c:spPr>
          <c:invertIfNegative val="0"/>
          <c:dLbls>
            <c:numFmt formatCode="0.0" sourceLinked="0"/>
            <c:spPr>
              <a:noFill/>
              <a:ln>
                <a:noFill/>
              </a:ln>
              <a:effectLst/>
            </c:spPr>
            <c:txPr>
              <a:bodyPr/>
              <a:lstStyle/>
              <a:p>
                <a:pPr>
                  <a:defRPr sz="800" b="0" baseline="0">
                    <a:solidFill>
                      <a:srgbClr val="3B4350"/>
                    </a:solidFill>
                    <a:latin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'Dữ liệu biểu đồ'!$A$5:$A$11</c:f>
              <c:strCache>
                <c:ptCount val="7"/>
                <c:pt idx="0">
                  <c:v>FY2020</c:v>
                </c:pt>
                <c:pt idx="1">
                  <c:v>FY2021</c:v>
                </c:pt>
                <c:pt idx="2">
                  <c:v>FY2022</c:v>
                </c:pt>
                <c:pt idx="3">
                  <c:v>FY2023</c:v>
                </c:pt>
                <c:pt idx="4">
                  <c:v>FY2024</c:v>
                </c:pt>
                <c:pt idx="5">
                  <c:v>FY2025</c:v>
                </c:pt>
                <c:pt idx="6">
                  <c:v>FY2026</c:v>
                </c:pt>
              </c:strCache>
            </c:strRef>
          </c:cat>
          <c:val>
            <c:numRef>
              <c:f>'Dữ liệu biểu đồ'!$U$5:$U$11</c:f>
              <c:numCache>
                <c:formatCode>0.000</c:formatCode>
                <c:ptCount val="7"/>
                <c:pt idx="0">
                  <c:v>7.367</c:v>
                </c:pt>
                <c:pt idx="1">
                  <c:v>6.8540000000000001</c:v>
                </c:pt>
                <c:pt idx="2">
                  <c:v>8.42</c:v>
                </c:pt>
                <c:pt idx="3">
                  <c:v>8.4540000000000006</c:v>
                </c:pt>
                <c:pt idx="4">
                  <c:v>7.5190000000000001</c:v>
                </c:pt>
                <c:pt idx="5">
                  <c:v>7.4889999999999999</c:v>
                </c:pt>
                <c:pt idx="6">
                  <c:v>7.5010000000000003</c:v>
                </c:pt>
              </c:numCache>
            </c:numRef>
          </c:val>
          <c:extLst>
            <c:ext xmlns:c16="http://schemas.microsoft.com/office/drawing/2014/chart" uri="{C3380CC4-5D6E-409C-BE32-E72D297353CC}">
              <c16:uniqueId val="{00000000-453E-4183-BBFC-68E8854B08C4}"/>
            </c:ext>
          </c:extLst>
        </c:ser>
        <c:dLbls>
          <c:showLegendKey val="0"/>
          <c:showVal val="0"/>
          <c:showCatName val="0"/>
          <c:showSerName val="0"/>
          <c:showPercent val="0"/>
          <c:showBubbleSize val="0"/>
        </c:dLbls>
        <c:gapWidth val="60"/>
        <c:axId val="50090001"/>
        <c:axId val="50090002"/>
      </c:barChart>
      <c:catAx>
        <c:axId val="50090001"/>
        <c:scaling>
          <c:orientation val="minMax"/>
        </c:scaling>
        <c:delete val="0"/>
        <c:axPos val="b"/>
        <c:numFmt formatCode="General" sourceLinked="0"/>
        <c:majorTickMark val="none"/>
        <c:minorTickMark val="none"/>
        <c:tickLblPos val="nextTo"/>
        <c:spPr>
          <a:ln>
            <a:solidFill>
              <a:srgbClr val="C3C9D1"/>
            </a:solidFill>
          </a:ln>
        </c:spPr>
        <c:txPr>
          <a:bodyPr/>
          <a:lstStyle/>
          <a:p>
            <a:pPr>
              <a:defRPr sz="900" baseline="0">
                <a:solidFill>
                  <a:srgbClr val="5B6472"/>
                </a:solidFill>
                <a:latin typeface="Arial"/>
              </a:defRPr>
            </a:pPr>
            <a:endParaRPr lang="en-US"/>
          </a:p>
        </c:txPr>
        <c:crossAx val="50090002"/>
        <c:crosses val="autoZero"/>
        <c:auto val="1"/>
        <c:lblAlgn val="ctr"/>
        <c:lblOffset val="100"/>
        <c:noMultiLvlLbl val="0"/>
      </c:catAx>
      <c:valAx>
        <c:axId val="50090002"/>
        <c:scaling>
          <c:orientation val="minMax"/>
          <c:min val="0"/>
        </c:scaling>
        <c:delete val="0"/>
        <c:axPos val="l"/>
        <c:majorGridlines>
          <c:spPr>
            <a:ln w="9525">
              <a:solidFill>
                <a:srgbClr val="E6E9EE"/>
              </a:solidFill>
            </a:ln>
          </c:spPr>
        </c:majorGridlines>
        <c:numFmt formatCode="0" sourceLinked="0"/>
        <c:majorTickMark val="none"/>
        <c:minorTickMark val="none"/>
        <c:tickLblPos val="nextTo"/>
        <c:spPr>
          <a:ln>
            <a:noFill/>
          </a:ln>
        </c:spPr>
        <c:txPr>
          <a:bodyPr/>
          <a:lstStyle/>
          <a:p>
            <a:pPr>
              <a:defRPr sz="900" baseline="0">
                <a:solidFill>
                  <a:srgbClr val="5B6472"/>
                </a:solidFill>
                <a:latin typeface="Arial"/>
              </a:defRPr>
            </a:pPr>
            <a:endParaRPr lang="en-US"/>
          </a:p>
        </c:txPr>
        <c:crossAx val="50090001"/>
        <c:crosses val="autoZero"/>
        <c:crossBetween val="between"/>
      </c:valAx>
      <c:spPr>
        <a:ln>
          <a:noFill/>
        </a:ln>
      </c:spPr>
    </c:plotArea>
    <c:plotVisOnly val="1"/>
    <c:dispBlanksAs val="gap"/>
    <c:showDLblsOverMax val="0"/>
  </c:chart>
  <c:spPr>
    <a:solidFill>
      <a:srgbClr val="FFFFFF"/>
    </a:solidFill>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Số ngày tồn kho</c:v>
          </c:tx>
          <c:spPr>
            <a:ln w="25400">
              <a:solidFill>
                <a:srgbClr val="475467"/>
              </a:solidFill>
            </a:ln>
          </c:spPr>
          <c:marker>
            <c:symbol val="circle"/>
            <c:size val="7"/>
            <c:spPr>
              <a:solidFill>
                <a:srgbClr val="475467"/>
              </a:solidFill>
              <a:ln w="15875">
                <a:solidFill>
                  <a:srgbClr val="FFFFFF"/>
                </a:solidFill>
              </a:ln>
            </c:spPr>
          </c:marker>
          <c:dLbls>
            <c:numFmt formatCode="0" sourceLinked="0"/>
            <c:spPr>
              <a:noFill/>
              <a:ln>
                <a:noFill/>
              </a:ln>
              <a:effectLst/>
            </c:spPr>
            <c:txPr>
              <a:bodyPr/>
              <a:lstStyle/>
              <a:p>
                <a:pPr>
                  <a:defRPr sz="800" b="0" baseline="0">
                    <a:solidFill>
                      <a:srgbClr val="3B4350"/>
                    </a:solidFill>
                    <a:latin typeface="Arial"/>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'Dữ liệu biểu đồ'!$A$5:$A$11</c:f>
              <c:strCache>
                <c:ptCount val="7"/>
                <c:pt idx="0">
                  <c:v>FY2020</c:v>
                </c:pt>
                <c:pt idx="1">
                  <c:v>FY2021</c:v>
                </c:pt>
                <c:pt idx="2">
                  <c:v>FY2022</c:v>
                </c:pt>
                <c:pt idx="3">
                  <c:v>FY2023</c:v>
                </c:pt>
                <c:pt idx="4">
                  <c:v>FY2024</c:v>
                </c:pt>
                <c:pt idx="5">
                  <c:v>FY2025</c:v>
                </c:pt>
                <c:pt idx="6">
                  <c:v>FY2026</c:v>
                </c:pt>
              </c:strCache>
            </c:strRef>
          </c:cat>
          <c:val>
            <c:numRef>
              <c:f>'Dữ liệu biểu đồ'!$V$5:$V$11</c:f>
              <c:numCache>
                <c:formatCode>0.000</c:formatCode>
                <c:ptCount val="7"/>
                <c:pt idx="0">
                  <c:v>112.0164681977129</c:v>
                </c:pt>
                <c:pt idx="1">
                  <c:v>105.60434977213539</c:v>
                </c:pt>
                <c:pt idx="2">
                  <c:v>110.47937061551271</c:v>
                </c:pt>
                <c:pt idx="3">
                  <c:v>106.4651685393258</c:v>
                </c:pt>
                <c:pt idx="4">
                  <c:v>102.37304653204561</c:v>
                </c:pt>
                <c:pt idx="5">
                  <c:v>103.2829292205588</c:v>
                </c:pt>
                <c:pt idx="6">
                  <c:v>103.28368633669351</c:v>
                </c:pt>
              </c:numCache>
            </c:numRef>
          </c:val>
          <c:smooth val="0"/>
          <c:extLst>
            <c:ext xmlns:c16="http://schemas.microsoft.com/office/drawing/2014/chart" uri="{C3380CC4-5D6E-409C-BE32-E72D297353CC}">
              <c16:uniqueId val="{00000000-F38A-42F4-8391-D214E227B717}"/>
            </c:ext>
          </c:extLst>
        </c:ser>
        <c:dLbls>
          <c:showLegendKey val="0"/>
          <c:showVal val="0"/>
          <c:showCatName val="0"/>
          <c:showSerName val="0"/>
          <c:showPercent val="0"/>
          <c:showBubbleSize val="0"/>
        </c:dLbls>
        <c:marker val="1"/>
        <c:smooth val="0"/>
        <c:axId val="50100001"/>
        <c:axId val="50100002"/>
      </c:lineChart>
      <c:catAx>
        <c:axId val="50100001"/>
        <c:scaling>
          <c:orientation val="minMax"/>
        </c:scaling>
        <c:delete val="0"/>
        <c:axPos val="b"/>
        <c:numFmt formatCode="General" sourceLinked="0"/>
        <c:majorTickMark val="none"/>
        <c:minorTickMark val="none"/>
        <c:tickLblPos val="nextTo"/>
        <c:spPr>
          <a:ln>
            <a:solidFill>
              <a:srgbClr val="C3C9D1"/>
            </a:solidFill>
          </a:ln>
        </c:spPr>
        <c:txPr>
          <a:bodyPr/>
          <a:lstStyle/>
          <a:p>
            <a:pPr>
              <a:defRPr sz="900" baseline="0">
                <a:solidFill>
                  <a:srgbClr val="5B6472"/>
                </a:solidFill>
                <a:latin typeface="Arial"/>
              </a:defRPr>
            </a:pPr>
            <a:endParaRPr lang="en-US"/>
          </a:p>
        </c:txPr>
        <c:crossAx val="50100002"/>
        <c:crosses val="autoZero"/>
        <c:auto val="1"/>
        <c:lblAlgn val="ctr"/>
        <c:lblOffset val="100"/>
        <c:noMultiLvlLbl val="0"/>
      </c:catAx>
      <c:valAx>
        <c:axId val="50100002"/>
        <c:scaling>
          <c:orientation val="minMax"/>
          <c:max val="120"/>
          <c:min val="90"/>
        </c:scaling>
        <c:delete val="0"/>
        <c:axPos val="l"/>
        <c:majorGridlines>
          <c:spPr>
            <a:ln w="9525">
              <a:solidFill>
                <a:srgbClr val="E6E9EE"/>
              </a:solidFill>
            </a:ln>
          </c:spPr>
        </c:majorGridlines>
        <c:numFmt formatCode="0" sourceLinked="0"/>
        <c:majorTickMark val="none"/>
        <c:minorTickMark val="none"/>
        <c:tickLblPos val="nextTo"/>
        <c:spPr>
          <a:ln>
            <a:noFill/>
          </a:ln>
        </c:spPr>
        <c:txPr>
          <a:bodyPr/>
          <a:lstStyle/>
          <a:p>
            <a:pPr>
              <a:defRPr sz="900" baseline="0">
                <a:solidFill>
                  <a:srgbClr val="5B6472"/>
                </a:solidFill>
                <a:latin typeface="Arial"/>
              </a:defRPr>
            </a:pPr>
            <a:endParaRPr lang="en-US"/>
          </a:p>
        </c:txPr>
        <c:crossAx val="50100001"/>
        <c:crosses val="autoZero"/>
        <c:crossBetween val="between"/>
        <c:majorUnit val="10"/>
      </c:valAx>
      <c:spPr>
        <a:ln>
          <a:noFill/>
        </a:ln>
      </c:spPr>
    </c:plotArea>
    <c:plotVisOnly val="1"/>
    <c:dispBlanksAs val="gap"/>
    <c:showDLblsOverMax val="0"/>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0</xdr:colOff>
      <xdr:row>20</xdr:row>
      <xdr:rowOff>0</xdr:rowOff>
    </xdr:from>
    <xdr:to>
      <xdr:col>13</xdr:col>
      <xdr:colOff>0</xdr:colOff>
      <xdr:row>37</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41</xdr:row>
      <xdr:rowOff>0</xdr:rowOff>
    </xdr:from>
    <xdr:to>
      <xdr:col>6</xdr:col>
      <xdr:colOff>857250</xdr:colOff>
      <xdr:row>58</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44</xdr:row>
      <xdr:rowOff>0</xdr:rowOff>
    </xdr:from>
    <xdr:to>
      <xdr:col>12</xdr:col>
      <xdr:colOff>857250</xdr:colOff>
      <xdr:row>58</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62</xdr:row>
      <xdr:rowOff>0</xdr:rowOff>
    </xdr:from>
    <xdr:to>
      <xdr:col>6</xdr:col>
      <xdr:colOff>857250</xdr:colOff>
      <xdr:row>77</xdr:row>
      <xdr:rowOff>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0</xdr:colOff>
      <xdr:row>7</xdr:row>
      <xdr:rowOff>0</xdr:rowOff>
    </xdr:from>
    <xdr:to>
      <xdr:col>8</xdr:col>
      <xdr:colOff>641350</xdr:colOff>
      <xdr:row>10</xdr:row>
      <xdr:rowOff>0</xdr:rowOff>
    </xdr:to>
    <mc:AlternateContent xmlns:mc="http://schemas.openxmlformats.org/markup-compatibility/2006">
      <mc:Choice xmlns:sle15="http://schemas.microsoft.com/office/drawing/2012/slicer" Requires="sle15">
        <xdr:graphicFrame macro="">
          <xdr:nvGraphicFramePr>
            <xdr:cNvPr id="6" name="sl_tblNam1">
              <a:extLst>
                <a:ext uri="{FF2B5EF4-FFF2-40B4-BE49-F238E27FC236}">
                  <a16:creationId xmlns:a16="http://schemas.microsoft.com/office/drawing/2014/main" id="{898BE571-BB1F-F0F8-4A04-B04E93B7F12F}"/>
                </a:ext>
              </a:extLst>
            </xdr:cNvPr>
            <xdr:cNvGraphicFramePr/>
          </xdr:nvGraphicFramePr>
          <xdr:xfrm>
            <a:off x="0" y="0"/>
            <a:ext cx="0" cy="0"/>
          </xdr:xfrm>
          <a:graphic>
            <a:graphicData uri="http://schemas.microsoft.com/office/drawing/2010/slicer">
              <sle:slicer xmlns:sle="http://schemas.microsoft.com/office/drawing/2010/slicer" name="sl_tblNam1"/>
            </a:graphicData>
          </a:graphic>
        </xdr:graphicFrame>
      </mc:Choice>
      <mc:Fallback>
        <xdr:sp macro="" textlink="">
          <xdr:nvSpPr>
            <xdr:cNvPr id="0" name=""/>
            <xdr:cNvSpPr>
              <a:spLocks noTextEdit="1"/>
            </xdr:cNvSpPr>
          </xdr:nvSpPr>
          <xdr:spPr>
            <a:xfrm>
              <a:off x="241300" y="1524000"/>
              <a:ext cx="7620000" cy="685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0</xdr:colOff>
      <xdr:row>41</xdr:row>
      <xdr:rowOff>0</xdr:rowOff>
    </xdr:from>
    <xdr:to>
      <xdr:col>12</xdr:col>
      <xdr:colOff>730250</xdr:colOff>
      <xdr:row>44</xdr:row>
      <xdr:rowOff>0</xdr:rowOff>
    </xdr:to>
    <mc:AlternateContent xmlns:mc="http://schemas.openxmlformats.org/markup-compatibility/2006">
      <mc:Choice xmlns:sle15="http://schemas.microsoft.com/office/drawing/2012/slicer" Requires="sle15">
        <xdr:graphicFrame macro="">
          <xdr:nvGraphicFramePr>
            <xdr:cNvPr id="7" name="sl_tblCoSo1">
              <a:extLst>
                <a:ext uri="{FF2B5EF4-FFF2-40B4-BE49-F238E27FC236}">
                  <a16:creationId xmlns:a16="http://schemas.microsoft.com/office/drawing/2014/main" id="{802F3EF7-80B9-907B-050E-E6B67DB25ECF}"/>
                </a:ext>
              </a:extLst>
            </xdr:cNvPr>
            <xdr:cNvGraphicFramePr/>
          </xdr:nvGraphicFramePr>
          <xdr:xfrm>
            <a:off x="0" y="0"/>
            <a:ext cx="0" cy="0"/>
          </xdr:xfrm>
          <a:graphic>
            <a:graphicData uri="http://schemas.microsoft.com/office/drawing/2010/slicer">
              <sle:slicer xmlns:sle="http://schemas.microsoft.com/office/drawing/2010/slicer" name="sl_tblCoSo1"/>
            </a:graphicData>
          </a:graphic>
        </xdr:graphicFrame>
      </mc:Choice>
      <mc:Fallback>
        <xdr:sp macro="" textlink="">
          <xdr:nvSpPr>
            <xdr:cNvPr id="0" name=""/>
            <xdr:cNvSpPr>
              <a:spLocks noTextEdit="1"/>
            </xdr:cNvSpPr>
          </xdr:nvSpPr>
          <xdr:spPr>
            <a:xfrm>
              <a:off x="6223000" y="8839200"/>
              <a:ext cx="5715000" cy="685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20</xdr:row>
      <xdr:rowOff>0</xdr:rowOff>
    </xdr:from>
    <xdr:to>
      <xdr:col>4</xdr:col>
      <xdr:colOff>857250</xdr:colOff>
      <xdr:row>33</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20</xdr:row>
      <xdr:rowOff>0</xdr:rowOff>
    </xdr:from>
    <xdr:to>
      <xdr:col>8</xdr:col>
      <xdr:colOff>857250</xdr:colOff>
      <xdr:row>33</xdr:row>
      <xdr:rowOff>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20</xdr:row>
      <xdr:rowOff>0</xdr:rowOff>
    </xdr:from>
    <xdr:to>
      <xdr:col>12</xdr:col>
      <xdr:colOff>857250</xdr:colOff>
      <xdr:row>33</xdr:row>
      <xdr:rowOff>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37</xdr:row>
      <xdr:rowOff>0</xdr:rowOff>
    </xdr:from>
    <xdr:to>
      <xdr:col>4</xdr:col>
      <xdr:colOff>857250</xdr:colOff>
      <xdr:row>50</xdr:row>
      <xdr:rowOff>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37</xdr:row>
      <xdr:rowOff>0</xdr:rowOff>
    </xdr:from>
    <xdr:to>
      <xdr:col>8</xdr:col>
      <xdr:colOff>857250</xdr:colOff>
      <xdr:row>50</xdr:row>
      <xdr:rowOff>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37</xdr:row>
      <xdr:rowOff>0</xdr:rowOff>
    </xdr:from>
    <xdr:to>
      <xdr:col>12</xdr:col>
      <xdr:colOff>857250</xdr:colOff>
      <xdr:row>50</xdr:row>
      <xdr:rowOff>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xdr:col>
      <xdr:colOff>0</xdr:colOff>
      <xdr:row>7</xdr:row>
      <xdr:rowOff>0</xdr:rowOff>
    </xdr:from>
    <xdr:to>
      <xdr:col>8</xdr:col>
      <xdr:colOff>641350</xdr:colOff>
      <xdr:row>10</xdr:row>
      <xdr:rowOff>0</xdr:rowOff>
    </xdr:to>
    <mc:AlternateContent xmlns:mc="http://schemas.openxmlformats.org/markup-compatibility/2006">
      <mc:Choice xmlns:sle15="http://schemas.microsoft.com/office/drawing/2012/slicer" Requires="sle15">
        <xdr:graphicFrame macro="">
          <xdr:nvGraphicFramePr>
            <xdr:cNvPr id="8" name="sl_tblNam2">
              <a:extLst>
                <a:ext uri="{FF2B5EF4-FFF2-40B4-BE49-F238E27FC236}">
                  <a16:creationId xmlns:a16="http://schemas.microsoft.com/office/drawing/2014/main" id="{4E424159-FBDB-164A-3F21-3EEE58CDE710}"/>
                </a:ext>
              </a:extLst>
            </xdr:cNvPr>
            <xdr:cNvGraphicFramePr/>
          </xdr:nvGraphicFramePr>
          <xdr:xfrm>
            <a:off x="0" y="0"/>
            <a:ext cx="0" cy="0"/>
          </xdr:xfrm>
          <a:graphic>
            <a:graphicData uri="http://schemas.microsoft.com/office/drawing/2010/slicer">
              <sle:slicer xmlns:sle="http://schemas.microsoft.com/office/drawing/2010/slicer" name="sl_tblNam2"/>
            </a:graphicData>
          </a:graphic>
        </xdr:graphicFrame>
      </mc:Choice>
      <mc:Fallback>
        <xdr:sp macro="" textlink="">
          <xdr:nvSpPr>
            <xdr:cNvPr id="0" name=""/>
            <xdr:cNvSpPr>
              <a:spLocks noTextEdit="1"/>
            </xdr:cNvSpPr>
          </xdr:nvSpPr>
          <xdr:spPr>
            <a:xfrm>
              <a:off x="241300" y="1524000"/>
              <a:ext cx="7620000" cy="6858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ăm_tài_chính" xr10:uid="{03BD7112-6FEF-4760-BFB6-51635299B39F}" sourceName="Năm tài chính">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ơ_sở_tính_tăng_trưởng" xr10:uid="{8D8757FE-B314-4FDA-8A78-70A4D721316F}" sourceName="Cơ sở tính tăng trưởng">
  <extLst>
    <x:ext xmlns:x15="http://schemas.microsoft.com/office/spreadsheetml/2010/11/main" uri="{2F2917AC-EB37-4324-AD4E-5DD8C200BD13}">
      <x15:tableSlicerCache tableId="2" column="1" sortOrder="descending"/>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_tblNam1" xr10:uid="{924E9E88-95C2-4E86-9D57-3B737C02EB15}" cache="Slicer_Năm_tài_chính" caption="Năm tài chính" columnCount="7" rowHeight="220133"/>
  <slicer name="sl_tblCoSo1" xr10:uid="{898B0C09-4C02-4883-A3F4-B5F567473F7E}" cache="Slicer_Cơ_sở_tính_tăng_trưởng" caption="Cơ sở tính tăng trưởng" columnCount="2"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_tblNam2" xr10:uid="{D1B16228-0E63-4D6A-96A2-10A253B1725B}" cache="Slicer_Năm_tài_chính" caption="Năm tài chính" columnCount="7"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Nam" displayName="tblNam" ref="A4:AD11" totalsRowShown="0">
  <autoFilter ref="A4:AD11" xr:uid="{00000000-0009-0000-0100-000001000000}"/>
  <tableColumns count="30">
    <tableColumn id="1" xr3:uid="{00000000-0010-0000-0000-000001000000}" name="Năm tài chính"/>
    <tableColumn id="2" xr3:uid="{00000000-0010-0000-0000-000002000000}" name="Năm"/>
    <tableColumn id="3" xr3:uid="{00000000-0010-0000-0000-000003000000}" name="Tỷ trọng NIKE Direct"/>
    <tableColumn id="4" xr3:uid="{00000000-0010-0000-0000-000004000000}" name="Tỷ trọng bán buôn"/>
    <tableColumn id="5" xr3:uid="{00000000-0010-0000-0000-000005000000}" name="Tỷ trọng Global Brand Divisions"/>
    <tableColumn id="6" xr3:uid="{00000000-0010-0000-0000-000006000000}" name="NIKE Direct (tỷ USD)"/>
    <tableColumn id="7" xr3:uid="{00000000-0010-0000-0000-000007000000}" name="Bán buôn (tỷ USD)"/>
    <tableColumn id="8" xr3:uid="{00000000-0010-0000-0000-000008000000}" name="Tăng trưởng NIKE Direct theo báo cáo"/>
    <tableColumn id="9" xr3:uid="{00000000-0010-0000-0000-000009000000}" name="Tăng trưởng bán buôn theo báo cáo"/>
    <tableColumn id="10" xr3:uid="{00000000-0010-0000-0000-00000A000000}" name="Tăng trưởng NIKE Direct loại trừ tỷ giá"/>
    <tableColumn id="11" xr3:uid="{00000000-0010-0000-0000-00000B000000}" name="Tăng trưởng bán buôn loại trừ tỷ giá"/>
    <tableColumn id="12" xr3:uid="{00000000-0010-0000-0000-00000C000000}" name="NIKE Direct (biểu đồ tăng trưởng)"/>
    <tableColumn id="13" xr3:uid="{00000000-0010-0000-0000-00000D000000}" name="Bán buôn (biểu đồ tăng trưởng)"/>
    <tableColumn id="14" xr3:uid="{00000000-0010-0000-0000-00000E000000}" name="NIKE Brand Digital (tỷ USD)"/>
    <tableColumn id="15" xr3:uid="{00000000-0010-0000-0000-00000F000000}" name="Doanh thu NIKE, Inc. (tỷ USD)"/>
    <tableColumn id="16" xr3:uid="{00000000-0010-0000-0000-000010000000}" name="Biên lợi nhuận gộp"/>
    <tableColumn id="17" xr3:uid="{00000000-0010-0000-0000-000011000000}" name="Vận hành chung / doanh thu"/>
    <tableColumn id="18" xr3:uid="{00000000-0010-0000-0000-000012000000}" name="Tạo nhu cầu / doanh thu"/>
    <tableColumn id="19" xr3:uid="{00000000-0010-0000-0000-000013000000}" name="Tổng SG&amp;A / doanh thu"/>
    <tableColumn id="20" xr3:uid="{00000000-0010-0000-0000-000014000000}" name="Biên EBIT"/>
    <tableColumn id="21" xr3:uid="{00000000-0010-0000-0000-000015000000}" name="Hàng tồn kho (tỷ USD)"/>
    <tableColumn id="22" xr3:uid="{00000000-0010-0000-0000-000016000000}" name="Số ngày tồn kho bình quân"/>
    <tableColumn id="23" xr3:uid="{00000000-0010-0000-0000-000017000000}" name="Tỷ trọng NIKE Direct (chữ)"/>
    <tableColumn id="24" xr3:uid="{00000000-0010-0000-0000-000018000000}" name="Tỷ trọng bán buôn (chữ)"/>
    <tableColumn id="25" xr3:uid="{00000000-0010-0000-0000-000019000000}" name="NIKE Direct (chữ)"/>
    <tableColumn id="26" xr3:uid="{00000000-0010-0000-0000-00001A000000}" name="Bán buôn (chữ)"/>
    <tableColumn id="27" xr3:uid="{00000000-0010-0000-0000-00001B000000}" name="Doanh thu (chữ)"/>
    <tableColumn id="28" xr3:uid="{00000000-0010-0000-0000-00001C000000}" name="Biên lợi nhuận gộp (chữ)"/>
    <tableColumn id="29" xr3:uid="{00000000-0010-0000-0000-00001D000000}" name="Biên EBIT (chữ)"/>
    <tableColumn id="30" xr3:uid="{00000000-0010-0000-0000-00001E000000}" name="Hàng tồn kho (chữ)"/>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CoSo" displayName="tblCoSo" ref="A14:A16" totalsRowShown="0">
  <autoFilter ref="A14:A16" xr:uid="{00000000-0009-0000-0100-000002000000}"/>
  <tableColumns count="1">
    <tableColumn id="1" xr3:uid="{00000000-0010-0000-0100-000001000000}" name="Cơ sở tính tăng trưởng"/>
  </tableColumns>
  <tableStyleInfo name="TableStyleLight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miurikyasakytg2006-dot.github.io/nike-financial-dashboard/" TargetMode="External"/><Relationship Id="rId1" Type="http://schemas.openxmlformats.org/officeDocument/2006/relationships/hyperlink" Target="https://miurikyasakytg2006-dot.github.io/nike-financial-dashboard/downloads/NIKE_Financial_Dataset_FY2020-2026.xlsx" TargetMode="Externa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miurikyasakytg2006-dot.github.io/nike-financial-dashboard/" TargetMode="External"/><Relationship Id="rId1" Type="http://schemas.openxmlformats.org/officeDocument/2006/relationships/hyperlink" Target="https://miurikyasakytg2006-dot.github.io/nike-financial-dashboard/downloads/NIKE_Financial_Dataset_FY2020-2026.xlsx" TargetMode="Externa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8" Type="http://schemas.openxmlformats.org/officeDocument/2006/relationships/hyperlink" Target="https://miurikyasakytg2006-dot.github.io/nike-financial-dashboard/" TargetMode="External"/><Relationship Id="rId3" Type="http://schemas.openxmlformats.org/officeDocument/2006/relationships/hyperlink" Target="https://www.sec.gov/Archives/edgar/data/320187/000032018722000038/nke-20220531.htm" TargetMode="External"/><Relationship Id="rId7" Type="http://schemas.openxmlformats.org/officeDocument/2006/relationships/hyperlink" Target="https://www.sec.gov/Archives/edgar/data/320187/000032018726000088/nke-20260531.htm" TargetMode="External"/><Relationship Id="rId2" Type="http://schemas.openxmlformats.org/officeDocument/2006/relationships/hyperlink" Target="https://www.sec.gov/Archives/edgar/data/320187/000032018721000028/nke-20210531.htm" TargetMode="External"/><Relationship Id="rId1" Type="http://schemas.openxmlformats.org/officeDocument/2006/relationships/hyperlink" Target="https://www.sec.gov/Archives/edgar/data/320187/000032018720000047/nke-531202010k.htm" TargetMode="External"/><Relationship Id="rId6" Type="http://schemas.openxmlformats.org/officeDocument/2006/relationships/hyperlink" Target="https://www.sec.gov/Archives/edgar/data/320187/000032018725000047/nke-20250531.htm" TargetMode="External"/><Relationship Id="rId5" Type="http://schemas.openxmlformats.org/officeDocument/2006/relationships/hyperlink" Target="https://www.sec.gov/Archives/edgar/data/320187/000032018724000044/nke-20240531.htm" TargetMode="External"/><Relationship Id="rId10" Type="http://schemas.openxmlformats.org/officeDocument/2006/relationships/hyperlink" Target="https://miurikyasakytg2006-dot.github.io/nike-financial-dashboard/bang-chung-doi-chieu/doi-chieu-35-so.html" TargetMode="External"/><Relationship Id="rId4" Type="http://schemas.openxmlformats.org/officeDocument/2006/relationships/hyperlink" Target="https://www.sec.gov/Archives/edgar/data/320187/000032018723000039/nke-20230531.htm" TargetMode="External"/><Relationship Id="rId9" Type="http://schemas.openxmlformats.org/officeDocument/2006/relationships/hyperlink" Target="https://miurikyasakytg2006-dot.github.io/nike-financial-dashboard/downloads/NIKE_Financial_Dataset_FY2020-2026.xlsx"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ec.gov/Archives/edgar/data/320187/000032018725000047/nke-20250531.htm" TargetMode="External"/><Relationship Id="rId21" Type="http://schemas.openxmlformats.org/officeDocument/2006/relationships/hyperlink" Target="https://www.sec.gov/Archives/edgar/data/320187/000032018726000088/nke-20260531.htm" TargetMode="External"/><Relationship Id="rId42" Type="http://schemas.openxmlformats.org/officeDocument/2006/relationships/hyperlink" Target="https://www.sec.gov/Archives/edgar/data/320187/000032018720000047/nke-531202010k.htm" TargetMode="External"/><Relationship Id="rId63" Type="http://schemas.openxmlformats.org/officeDocument/2006/relationships/hyperlink" Target="https://www.sec.gov/Archives/edgar/data/320187/000032018720000047/nke-531202010k.htm" TargetMode="External"/><Relationship Id="rId84" Type="http://schemas.openxmlformats.org/officeDocument/2006/relationships/hyperlink" Target="https://www.sec.gov/Archives/edgar/data/320187/000032018720000047/nke-531202010k.htm" TargetMode="External"/><Relationship Id="rId138" Type="http://schemas.openxmlformats.org/officeDocument/2006/relationships/hyperlink" Target="https://www.sec.gov/Archives/edgar/data/320187/000032018725000047/nke-20250531.htm" TargetMode="External"/><Relationship Id="rId107" Type="http://schemas.openxmlformats.org/officeDocument/2006/relationships/hyperlink" Target="https://www.sec.gov/Archives/edgar/data/320187/000032018722000038/nke-20220531.htm" TargetMode="External"/><Relationship Id="rId11" Type="http://schemas.openxmlformats.org/officeDocument/2006/relationships/hyperlink" Target="https://www.sec.gov/Archives/edgar/data/320187/000032018723000039/nke-20230531.htm" TargetMode="External"/><Relationship Id="rId32" Type="http://schemas.openxmlformats.org/officeDocument/2006/relationships/hyperlink" Target="https://www.sec.gov/Archives/edgar/data/320187/000032018723000039/nke-20230531.htm" TargetMode="External"/><Relationship Id="rId53" Type="http://schemas.openxmlformats.org/officeDocument/2006/relationships/hyperlink" Target="https://www.sec.gov/Archives/edgar/data/320187/000032018724000044/nke-20240531.htm" TargetMode="External"/><Relationship Id="rId74" Type="http://schemas.openxmlformats.org/officeDocument/2006/relationships/hyperlink" Target="https://www.sec.gov/Archives/edgar/data/320187/000032018724000044/nke-20240531.htm" TargetMode="External"/><Relationship Id="rId128" Type="http://schemas.openxmlformats.org/officeDocument/2006/relationships/hyperlink" Target="https://www.sec.gov/Archives/edgar/data/320187/000032018722000038/nke-20220531.htm" TargetMode="External"/><Relationship Id="rId149" Type="http://schemas.openxmlformats.org/officeDocument/2006/relationships/hyperlink" Target="https://www.sec.gov/Archives/edgar/data/320187/000032018722000038/nke-20220531.htm" TargetMode="External"/><Relationship Id="rId5" Type="http://schemas.openxmlformats.org/officeDocument/2006/relationships/hyperlink" Target="https://www.sec.gov/Archives/edgar/data/320187/000032018724000044/nke-20240531.htm" TargetMode="External"/><Relationship Id="rId95" Type="http://schemas.openxmlformats.org/officeDocument/2006/relationships/hyperlink" Target="https://www.sec.gov/Archives/edgar/data/320187/000032018724000044/nke-20240531.htm" TargetMode="External"/><Relationship Id="rId22" Type="http://schemas.openxmlformats.org/officeDocument/2006/relationships/hyperlink" Target="https://www.sec.gov/Archives/edgar/data/320187/000032018720000047/nke-531202010k.htm" TargetMode="External"/><Relationship Id="rId27" Type="http://schemas.openxmlformats.org/officeDocument/2006/relationships/hyperlink" Target="https://www.sec.gov/Archives/edgar/data/320187/000032018725000047/nke-20250531.htm" TargetMode="External"/><Relationship Id="rId43" Type="http://schemas.openxmlformats.org/officeDocument/2006/relationships/hyperlink" Target="https://www.sec.gov/Archives/edgar/data/320187/000032018721000028/nke-20210531.htm" TargetMode="External"/><Relationship Id="rId48" Type="http://schemas.openxmlformats.org/officeDocument/2006/relationships/hyperlink" Target="https://www.sec.gov/Archives/edgar/data/320187/000032018726000088/nke-20260531.htm" TargetMode="External"/><Relationship Id="rId64" Type="http://schemas.openxmlformats.org/officeDocument/2006/relationships/hyperlink" Target="https://www.sec.gov/Archives/edgar/data/320187/000032018721000028/nke-20210531.htm" TargetMode="External"/><Relationship Id="rId69" Type="http://schemas.openxmlformats.org/officeDocument/2006/relationships/hyperlink" Target="https://www.sec.gov/Archives/edgar/data/320187/000032018726000088/nke-20260531.htm" TargetMode="External"/><Relationship Id="rId113" Type="http://schemas.openxmlformats.org/officeDocument/2006/relationships/hyperlink" Target="https://www.sec.gov/Archives/edgar/data/320187/000032018721000028/nke-20210531.htm" TargetMode="External"/><Relationship Id="rId118" Type="http://schemas.openxmlformats.org/officeDocument/2006/relationships/hyperlink" Target="https://www.sec.gov/Archives/edgar/data/320187/000032018726000088/nke-20260531.htm" TargetMode="External"/><Relationship Id="rId134" Type="http://schemas.openxmlformats.org/officeDocument/2006/relationships/hyperlink" Target="https://www.sec.gov/Archives/edgar/data/320187/000032018721000028/nke-20210531.htm" TargetMode="External"/><Relationship Id="rId139" Type="http://schemas.openxmlformats.org/officeDocument/2006/relationships/hyperlink" Target="https://www.sec.gov/Archives/edgar/data/320187/000032018726000088/nke-20260531.htm" TargetMode="External"/><Relationship Id="rId80" Type="http://schemas.openxmlformats.org/officeDocument/2006/relationships/hyperlink" Target="https://www.sec.gov/Archives/edgar/data/320187/000032018723000039/nke-20230531.htm" TargetMode="External"/><Relationship Id="rId85" Type="http://schemas.openxmlformats.org/officeDocument/2006/relationships/hyperlink" Target="https://www.sec.gov/Archives/edgar/data/320187/000032018721000028/nke-20210531.htm" TargetMode="External"/><Relationship Id="rId150" Type="http://schemas.openxmlformats.org/officeDocument/2006/relationships/hyperlink" Target="https://www.sec.gov/Archives/edgar/data/320187/000032018723000039/nke-20230531.htm" TargetMode="External"/><Relationship Id="rId155" Type="http://schemas.openxmlformats.org/officeDocument/2006/relationships/table" Target="../tables/table2.xml"/><Relationship Id="rId12" Type="http://schemas.openxmlformats.org/officeDocument/2006/relationships/hyperlink" Target="https://www.sec.gov/Archives/edgar/data/320187/000032018724000044/nke-20240531.htm" TargetMode="External"/><Relationship Id="rId17" Type="http://schemas.openxmlformats.org/officeDocument/2006/relationships/hyperlink" Target="https://www.sec.gov/Archives/edgar/data/320187/000032018722000038/nke-20220531.htm" TargetMode="External"/><Relationship Id="rId33" Type="http://schemas.openxmlformats.org/officeDocument/2006/relationships/hyperlink" Target="https://www.sec.gov/Archives/edgar/data/320187/000032018724000044/nke-20240531.htm" TargetMode="External"/><Relationship Id="rId38" Type="http://schemas.openxmlformats.org/officeDocument/2006/relationships/hyperlink" Target="https://www.sec.gov/Archives/edgar/data/320187/000032018723000039/nke-20230531.htm" TargetMode="External"/><Relationship Id="rId59" Type="http://schemas.openxmlformats.org/officeDocument/2006/relationships/hyperlink" Target="https://www.sec.gov/Archives/edgar/data/320187/000032018723000039/nke-20230531.htm" TargetMode="External"/><Relationship Id="rId103" Type="http://schemas.openxmlformats.org/officeDocument/2006/relationships/hyperlink" Target="https://www.sec.gov/Archives/edgar/data/320187/000032018725000047/nke-20250531.htm" TargetMode="External"/><Relationship Id="rId108" Type="http://schemas.openxmlformats.org/officeDocument/2006/relationships/hyperlink" Target="https://www.sec.gov/Archives/edgar/data/320187/000032018723000039/nke-20230531.htm" TargetMode="External"/><Relationship Id="rId124" Type="http://schemas.openxmlformats.org/officeDocument/2006/relationships/hyperlink" Target="https://www.sec.gov/Archives/edgar/data/320187/000032018725000047/nke-20250531.htm" TargetMode="External"/><Relationship Id="rId129" Type="http://schemas.openxmlformats.org/officeDocument/2006/relationships/hyperlink" Target="https://www.sec.gov/Archives/edgar/data/320187/000032018723000039/nke-20230531.htm" TargetMode="External"/><Relationship Id="rId54" Type="http://schemas.openxmlformats.org/officeDocument/2006/relationships/hyperlink" Target="https://www.sec.gov/Archives/edgar/data/320187/000032018725000047/nke-20250531.htm" TargetMode="External"/><Relationship Id="rId70" Type="http://schemas.openxmlformats.org/officeDocument/2006/relationships/hyperlink" Target="https://www.sec.gov/Archives/edgar/data/320187/000032018720000047/nke-531202010k.htm" TargetMode="External"/><Relationship Id="rId75" Type="http://schemas.openxmlformats.org/officeDocument/2006/relationships/hyperlink" Target="https://www.sec.gov/Archives/edgar/data/320187/000032018725000047/nke-20250531.htm" TargetMode="External"/><Relationship Id="rId91" Type="http://schemas.openxmlformats.org/officeDocument/2006/relationships/hyperlink" Target="https://www.sec.gov/Archives/edgar/data/320187/000032018720000047/nke-531202010k.htm" TargetMode="External"/><Relationship Id="rId96" Type="http://schemas.openxmlformats.org/officeDocument/2006/relationships/hyperlink" Target="https://www.sec.gov/Archives/edgar/data/320187/000032018725000047/nke-20250531.htm" TargetMode="External"/><Relationship Id="rId140" Type="http://schemas.openxmlformats.org/officeDocument/2006/relationships/hyperlink" Target="https://www.sec.gov/Archives/edgar/data/320187/000032018720000047/nke-531202010k.htm" TargetMode="External"/><Relationship Id="rId145" Type="http://schemas.openxmlformats.org/officeDocument/2006/relationships/hyperlink" Target="https://www.sec.gov/Archives/edgar/data/320187/000032018725000047/nke-20250531.htm" TargetMode="External"/><Relationship Id="rId1" Type="http://schemas.openxmlformats.org/officeDocument/2006/relationships/hyperlink" Target="https://www.sec.gov/Archives/edgar/data/320187/000032018720000047/nke-531202010k.htm" TargetMode="External"/><Relationship Id="rId6" Type="http://schemas.openxmlformats.org/officeDocument/2006/relationships/hyperlink" Target="https://www.sec.gov/Archives/edgar/data/320187/000032018725000047/nke-20250531.htm" TargetMode="External"/><Relationship Id="rId23" Type="http://schemas.openxmlformats.org/officeDocument/2006/relationships/hyperlink" Target="https://www.sec.gov/Archives/edgar/data/320187/000032018721000028/nke-20210531.htm" TargetMode="External"/><Relationship Id="rId28" Type="http://schemas.openxmlformats.org/officeDocument/2006/relationships/hyperlink" Target="https://www.sec.gov/Archives/edgar/data/320187/000032018726000088/nke-20260531.htm" TargetMode="External"/><Relationship Id="rId49" Type="http://schemas.openxmlformats.org/officeDocument/2006/relationships/hyperlink" Target="https://www.sec.gov/Archives/edgar/data/320187/000032018720000047/nke-531202010k.htm" TargetMode="External"/><Relationship Id="rId114" Type="http://schemas.openxmlformats.org/officeDocument/2006/relationships/hyperlink" Target="https://www.sec.gov/Archives/edgar/data/320187/000032018722000038/nke-20220531.htm" TargetMode="External"/><Relationship Id="rId119" Type="http://schemas.openxmlformats.org/officeDocument/2006/relationships/hyperlink" Target="https://www.sec.gov/Archives/edgar/data/320187/000032018720000047/nke-531202010k.htm" TargetMode="External"/><Relationship Id="rId44" Type="http://schemas.openxmlformats.org/officeDocument/2006/relationships/hyperlink" Target="https://www.sec.gov/Archives/edgar/data/320187/000032018722000038/nke-20220531.htm" TargetMode="External"/><Relationship Id="rId60" Type="http://schemas.openxmlformats.org/officeDocument/2006/relationships/hyperlink" Target="https://www.sec.gov/Archives/edgar/data/320187/000032018724000044/nke-20240531.htm" TargetMode="External"/><Relationship Id="rId65" Type="http://schemas.openxmlformats.org/officeDocument/2006/relationships/hyperlink" Target="https://www.sec.gov/Archives/edgar/data/320187/000032018722000038/nke-20220531.htm" TargetMode="External"/><Relationship Id="rId81" Type="http://schemas.openxmlformats.org/officeDocument/2006/relationships/hyperlink" Target="https://www.sec.gov/Archives/edgar/data/320187/000032018724000044/nke-20240531.htm" TargetMode="External"/><Relationship Id="rId86" Type="http://schemas.openxmlformats.org/officeDocument/2006/relationships/hyperlink" Target="https://www.sec.gov/Archives/edgar/data/320187/000032018722000038/nke-20220531.htm" TargetMode="External"/><Relationship Id="rId130" Type="http://schemas.openxmlformats.org/officeDocument/2006/relationships/hyperlink" Target="https://www.sec.gov/Archives/edgar/data/320187/000032018724000044/nke-20240531.htm" TargetMode="External"/><Relationship Id="rId135" Type="http://schemas.openxmlformats.org/officeDocument/2006/relationships/hyperlink" Target="https://www.sec.gov/Archives/edgar/data/320187/000032018722000038/nke-20220531.htm" TargetMode="External"/><Relationship Id="rId151" Type="http://schemas.openxmlformats.org/officeDocument/2006/relationships/hyperlink" Target="https://www.sec.gov/Archives/edgar/data/320187/000032018724000044/nke-20240531.htm" TargetMode="External"/><Relationship Id="rId13" Type="http://schemas.openxmlformats.org/officeDocument/2006/relationships/hyperlink" Target="https://www.sec.gov/Archives/edgar/data/320187/000032018725000047/nke-20250531.htm" TargetMode="External"/><Relationship Id="rId18" Type="http://schemas.openxmlformats.org/officeDocument/2006/relationships/hyperlink" Target="https://www.sec.gov/Archives/edgar/data/320187/000032018723000039/nke-20230531.htm" TargetMode="External"/><Relationship Id="rId39" Type="http://schemas.openxmlformats.org/officeDocument/2006/relationships/hyperlink" Target="https://www.sec.gov/Archives/edgar/data/320187/000032018724000044/nke-20240531.htm" TargetMode="External"/><Relationship Id="rId109" Type="http://schemas.openxmlformats.org/officeDocument/2006/relationships/hyperlink" Target="https://www.sec.gov/Archives/edgar/data/320187/000032018724000044/nke-20240531.htm" TargetMode="External"/><Relationship Id="rId34" Type="http://schemas.openxmlformats.org/officeDocument/2006/relationships/hyperlink" Target="https://www.sec.gov/Archives/edgar/data/320187/000032018725000047/nke-20250531.htm" TargetMode="External"/><Relationship Id="rId50" Type="http://schemas.openxmlformats.org/officeDocument/2006/relationships/hyperlink" Target="https://www.sec.gov/Archives/edgar/data/320187/000032018721000028/nke-20210531.htm" TargetMode="External"/><Relationship Id="rId55" Type="http://schemas.openxmlformats.org/officeDocument/2006/relationships/hyperlink" Target="https://www.sec.gov/Archives/edgar/data/320187/000032018726000088/nke-20260531.htm" TargetMode="External"/><Relationship Id="rId76" Type="http://schemas.openxmlformats.org/officeDocument/2006/relationships/hyperlink" Target="https://www.sec.gov/Archives/edgar/data/320187/000032018726000088/nke-20260531.htm" TargetMode="External"/><Relationship Id="rId97" Type="http://schemas.openxmlformats.org/officeDocument/2006/relationships/hyperlink" Target="https://www.sec.gov/Archives/edgar/data/320187/000032018726000088/nke-20260531.htm" TargetMode="External"/><Relationship Id="rId104" Type="http://schemas.openxmlformats.org/officeDocument/2006/relationships/hyperlink" Target="https://www.sec.gov/Archives/edgar/data/320187/000032018726000088/nke-20260531.htm" TargetMode="External"/><Relationship Id="rId120" Type="http://schemas.openxmlformats.org/officeDocument/2006/relationships/hyperlink" Target="https://www.sec.gov/Archives/edgar/data/320187/000032018721000028/nke-20210531.htm" TargetMode="External"/><Relationship Id="rId125" Type="http://schemas.openxmlformats.org/officeDocument/2006/relationships/hyperlink" Target="https://www.sec.gov/Archives/edgar/data/320187/000032018726000088/nke-20260531.htm" TargetMode="External"/><Relationship Id="rId141" Type="http://schemas.openxmlformats.org/officeDocument/2006/relationships/hyperlink" Target="https://www.sec.gov/Archives/edgar/data/320187/000032018721000028/nke-20210531.htm" TargetMode="External"/><Relationship Id="rId146" Type="http://schemas.openxmlformats.org/officeDocument/2006/relationships/hyperlink" Target="https://www.sec.gov/Archives/edgar/data/320187/000032018726000088/nke-20260531.htm" TargetMode="External"/><Relationship Id="rId7" Type="http://schemas.openxmlformats.org/officeDocument/2006/relationships/hyperlink" Target="https://www.sec.gov/Archives/edgar/data/320187/000032018726000088/nke-20260531.htm" TargetMode="External"/><Relationship Id="rId71" Type="http://schemas.openxmlformats.org/officeDocument/2006/relationships/hyperlink" Target="https://www.sec.gov/Archives/edgar/data/320187/000032018721000028/nke-20210531.htm" TargetMode="External"/><Relationship Id="rId92" Type="http://schemas.openxmlformats.org/officeDocument/2006/relationships/hyperlink" Target="https://www.sec.gov/Archives/edgar/data/320187/000032018721000028/nke-20210531.htm" TargetMode="External"/><Relationship Id="rId2" Type="http://schemas.openxmlformats.org/officeDocument/2006/relationships/hyperlink" Target="https://www.sec.gov/Archives/edgar/data/320187/000032018721000028/nke-20210531.htm" TargetMode="External"/><Relationship Id="rId29" Type="http://schemas.openxmlformats.org/officeDocument/2006/relationships/hyperlink" Target="https://www.sec.gov/Archives/edgar/data/320187/000032018720000047/nke-531202010k.htm" TargetMode="External"/><Relationship Id="rId24" Type="http://schemas.openxmlformats.org/officeDocument/2006/relationships/hyperlink" Target="https://www.sec.gov/Archives/edgar/data/320187/000032018722000038/nke-20220531.htm" TargetMode="External"/><Relationship Id="rId40" Type="http://schemas.openxmlformats.org/officeDocument/2006/relationships/hyperlink" Target="https://www.sec.gov/Archives/edgar/data/320187/000032018725000047/nke-20250531.htm" TargetMode="External"/><Relationship Id="rId45" Type="http://schemas.openxmlformats.org/officeDocument/2006/relationships/hyperlink" Target="https://www.sec.gov/Archives/edgar/data/320187/000032018723000039/nke-20230531.htm" TargetMode="External"/><Relationship Id="rId66" Type="http://schemas.openxmlformats.org/officeDocument/2006/relationships/hyperlink" Target="https://www.sec.gov/Archives/edgar/data/320187/000032018723000039/nke-20230531.htm" TargetMode="External"/><Relationship Id="rId87" Type="http://schemas.openxmlformats.org/officeDocument/2006/relationships/hyperlink" Target="https://www.sec.gov/Archives/edgar/data/320187/000032018723000039/nke-20230531.htm" TargetMode="External"/><Relationship Id="rId110" Type="http://schemas.openxmlformats.org/officeDocument/2006/relationships/hyperlink" Target="https://www.sec.gov/Archives/edgar/data/320187/000032018725000047/nke-20250531.htm" TargetMode="External"/><Relationship Id="rId115" Type="http://schemas.openxmlformats.org/officeDocument/2006/relationships/hyperlink" Target="https://www.sec.gov/Archives/edgar/data/320187/000032018723000039/nke-20230531.htm" TargetMode="External"/><Relationship Id="rId131" Type="http://schemas.openxmlformats.org/officeDocument/2006/relationships/hyperlink" Target="https://www.sec.gov/Archives/edgar/data/320187/000032018725000047/nke-20250531.htm" TargetMode="External"/><Relationship Id="rId136" Type="http://schemas.openxmlformats.org/officeDocument/2006/relationships/hyperlink" Target="https://www.sec.gov/Archives/edgar/data/320187/000032018723000039/nke-20230531.htm" TargetMode="External"/><Relationship Id="rId61" Type="http://schemas.openxmlformats.org/officeDocument/2006/relationships/hyperlink" Target="https://www.sec.gov/Archives/edgar/data/320187/000032018725000047/nke-20250531.htm" TargetMode="External"/><Relationship Id="rId82" Type="http://schemas.openxmlformats.org/officeDocument/2006/relationships/hyperlink" Target="https://www.sec.gov/Archives/edgar/data/320187/000032018725000047/nke-20250531.htm" TargetMode="External"/><Relationship Id="rId152" Type="http://schemas.openxmlformats.org/officeDocument/2006/relationships/hyperlink" Target="https://www.sec.gov/Archives/edgar/data/320187/000032018725000047/nke-20250531.htm" TargetMode="External"/><Relationship Id="rId19" Type="http://schemas.openxmlformats.org/officeDocument/2006/relationships/hyperlink" Target="https://www.sec.gov/Archives/edgar/data/320187/000032018724000044/nke-20240531.htm" TargetMode="External"/><Relationship Id="rId14" Type="http://schemas.openxmlformats.org/officeDocument/2006/relationships/hyperlink" Target="https://www.sec.gov/Archives/edgar/data/320187/000032018726000088/nke-20260531.htm" TargetMode="External"/><Relationship Id="rId30" Type="http://schemas.openxmlformats.org/officeDocument/2006/relationships/hyperlink" Target="https://www.sec.gov/Archives/edgar/data/320187/000032018721000028/nke-20210531.htm" TargetMode="External"/><Relationship Id="rId35" Type="http://schemas.openxmlformats.org/officeDocument/2006/relationships/hyperlink" Target="https://www.sec.gov/Archives/edgar/data/320187/000032018720000047/nke-531202010k.htm" TargetMode="External"/><Relationship Id="rId56" Type="http://schemas.openxmlformats.org/officeDocument/2006/relationships/hyperlink" Target="https://www.sec.gov/Archives/edgar/data/320187/000032018720000047/nke-531202010k.htm" TargetMode="External"/><Relationship Id="rId77" Type="http://schemas.openxmlformats.org/officeDocument/2006/relationships/hyperlink" Target="https://www.sec.gov/Archives/edgar/data/320187/000032018720000047/nke-531202010k.htm" TargetMode="External"/><Relationship Id="rId100" Type="http://schemas.openxmlformats.org/officeDocument/2006/relationships/hyperlink" Target="https://www.sec.gov/Archives/edgar/data/320187/000032018722000038/nke-20220531.htm" TargetMode="External"/><Relationship Id="rId105" Type="http://schemas.openxmlformats.org/officeDocument/2006/relationships/hyperlink" Target="https://www.sec.gov/Archives/edgar/data/320187/000032018720000047/nke-531202010k.htm" TargetMode="External"/><Relationship Id="rId126" Type="http://schemas.openxmlformats.org/officeDocument/2006/relationships/hyperlink" Target="https://www.sec.gov/Archives/edgar/data/320187/000032018720000047/nke-531202010k.htm" TargetMode="External"/><Relationship Id="rId147" Type="http://schemas.openxmlformats.org/officeDocument/2006/relationships/hyperlink" Target="https://www.sec.gov/Archives/edgar/data/320187/000032018720000047/nke-531202010k.htm" TargetMode="External"/><Relationship Id="rId8" Type="http://schemas.openxmlformats.org/officeDocument/2006/relationships/hyperlink" Target="https://www.sec.gov/Archives/edgar/data/320187/000032018720000047/nke-531202010k.htm" TargetMode="External"/><Relationship Id="rId51" Type="http://schemas.openxmlformats.org/officeDocument/2006/relationships/hyperlink" Target="https://www.sec.gov/Archives/edgar/data/320187/000032018722000038/nke-20220531.htm" TargetMode="External"/><Relationship Id="rId72" Type="http://schemas.openxmlformats.org/officeDocument/2006/relationships/hyperlink" Target="https://www.sec.gov/Archives/edgar/data/320187/000032018722000038/nke-20220531.htm" TargetMode="External"/><Relationship Id="rId93" Type="http://schemas.openxmlformats.org/officeDocument/2006/relationships/hyperlink" Target="https://www.sec.gov/Archives/edgar/data/320187/000032018722000038/nke-20220531.htm" TargetMode="External"/><Relationship Id="rId98" Type="http://schemas.openxmlformats.org/officeDocument/2006/relationships/hyperlink" Target="https://www.sec.gov/Archives/edgar/data/320187/000032018720000047/nke-531202010k.htm" TargetMode="External"/><Relationship Id="rId121" Type="http://schemas.openxmlformats.org/officeDocument/2006/relationships/hyperlink" Target="https://www.sec.gov/Archives/edgar/data/320187/000032018722000038/nke-20220531.htm" TargetMode="External"/><Relationship Id="rId142" Type="http://schemas.openxmlformats.org/officeDocument/2006/relationships/hyperlink" Target="https://www.sec.gov/Archives/edgar/data/320187/000032018722000038/nke-20220531.htm" TargetMode="External"/><Relationship Id="rId3" Type="http://schemas.openxmlformats.org/officeDocument/2006/relationships/hyperlink" Target="https://www.sec.gov/Archives/edgar/data/320187/000032018722000038/nke-20220531.htm" TargetMode="External"/><Relationship Id="rId25" Type="http://schemas.openxmlformats.org/officeDocument/2006/relationships/hyperlink" Target="https://www.sec.gov/Archives/edgar/data/320187/000032018723000039/nke-20230531.htm" TargetMode="External"/><Relationship Id="rId46" Type="http://schemas.openxmlformats.org/officeDocument/2006/relationships/hyperlink" Target="https://www.sec.gov/Archives/edgar/data/320187/000032018724000044/nke-20240531.htm" TargetMode="External"/><Relationship Id="rId67" Type="http://schemas.openxmlformats.org/officeDocument/2006/relationships/hyperlink" Target="https://www.sec.gov/Archives/edgar/data/320187/000032018724000044/nke-20240531.htm" TargetMode="External"/><Relationship Id="rId116" Type="http://schemas.openxmlformats.org/officeDocument/2006/relationships/hyperlink" Target="https://www.sec.gov/Archives/edgar/data/320187/000032018724000044/nke-20240531.htm" TargetMode="External"/><Relationship Id="rId137" Type="http://schemas.openxmlformats.org/officeDocument/2006/relationships/hyperlink" Target="https://www.sec.gov/Archives/edgar/data/320187/000032018724000044/nke-20240531.htm" TargetMode="External"/><Relationship Id="rId20" Type="http://schemas.openxmlformats.org/officeDocument/2006/relationships/hyperlink" Target="https://www.sec.gov/Archives/edgar/data/320187/000032018725000047/nke-20250531.htm" TargetMode="External"/><Relationship Id="rId41" Type="http://schemas.openxmlformats.org/officeDocument/2006/relationships/hyperlink" Target="https://www.sec.gov/Archives/edgar/data/320187/000032018726000088/nke-20260531.htm" TargetMode="External"/><Relationship Id="rId62" Type="http://schemas.openxmlformats.org/officeDocument/2006/relationships/hyperlink" Target="https://www.sec.gov/Archives/edgar/data/320187/000032018726000088/nke-20260531.htm" TargetMode="External"/><Relationship Id="rId83" Type="http://schemas.openxmlformats.org/officeDocument/2006/relationships/hyperlink" Target="https://www.sec.gov/Archives/edgar/data/320187/000032018726000088/nke-20260531.htm" TargetMode="External"/><Relationship Id="rId88" Type="http://schemas.openxmlformats.org/officeDocument/2006/relationships/hyperlink" Target="https://www.sec.gov/Archives/edgar/data/320187/000032018724000044/nke-20240531.htm" TargetMode="External"/><Relationship Id="rId111" Type="http://schemas.openxmlformats.org/officeDocument/2006/relationships/hyperlink" Target="https://www.sec.gov/Archives/edgar/data/320187/000032018726000088/nke-20260531.htm" TargetMode="External"/><Relationship Id="rId132" Type="http://schemas.openxmlformats.org/officeDocument/2006/relationships/hyperlink" Target="https://www.sec.gov/Archives/edgar/data/320187/000032018726000088/nke-20260531.htm" TargetMode="External"/><Relationship Id="rId153" Type="http://schemas.openxmlformats.org/officeDocument/2006/relationships/hyperlink" Target="https://www.sec.gov/Archives/edgar/data/320187/000032018726000088/nke-20260531.htm" TargetMode="External"/><Relationship Id="rId15" Type="http://schemas.openxmlformats.org/officeDocument/2006/relationships/hyperlink" Target="https://www.sec.gov/Archives/edgar/data/320187/000032018720000047/nke-531202010k.htm" TargetMode="External"/><Relationship Id="rId36" Type="http://schemas.openxmlformats.org/officeDocument/2006/relationships/hyperlink" Target="https://www.sec.gov/Archives/edgar/data/320187/000032018721000028/nke-20210531.htm" TargetMode="External"/><Relationship Id="rId57" Type="http://schemas.openxmlformats.org/officeDocument/2006/relationships/hyperlink" Target="https://www.sec.gov/Archives/edgar/data/320187/000032018721000028/nke-20210531.htm" TargetMode="External"/><Relationship Id="rId106" Type="http://schemas.openxmlformats.org/officeDocument/2006/relationships/hyperlink" Target="https://www.sec.gov/Archives/edgar/data/320187/000032018721000028/nke-20210531.htm" TargetMode="External"/><Relationship Id="rId127" Type="http://schemas.openxmlformats.org/officeDocument/2006/relationships/hyperlink" Target="https://www.sec.gov/Archives/edgar/data/320187/000032018721000028/nke-20210531.htm" TargetMode="External"/><Relationship Id="rId10" Type="http://schemas.openxmlformats.org/officeDocument/2006/relationships/hyperlink" Target="https://www.sec.gov/Archives/edgar/data/320187/000032018722000038/nke-20220531.htm" TargetMode="External"/><Relationship Id="rId31" Type="http://schemas.openxmlformats.org/officeDocument/2006/relationships/hyperlink" Target="https://www.sec.gov/Archives/edgar/data/320187/000032018722000038/nke-20220531.htm" TargetMode="External"/><Relationship Id="rId52" Type="http://schemas.openxmlformats.org/officeDocument/2006/relationships/hyperlink" Target="https://www.sec.gov/Archives/edgar/data/320187/000032018723000039/nke-20230531.htm" TargetMode="External"/><Relationship Id="rId73" Type="http://schemas.openxmlformats.org/officeDocument/2006/relationships/hyperlink" Target="https://www.sec.gov/Archives/edgar/data/320187/000032018723000039/nke-20230531.htm" TargetMode="External"/><Relationship Id="rId78" Type="http://schemas.openxmlformats.org/officeDocument/2006/relationships/hyperlink" Target="https://www.sec.gov/Archives/edgar/data/320187/000032018721000028/nke-20210531.htm" TargetMode="External"/><Relationship Id="rId94" Type="http://schemas.openxmlformats.org/officeDocument/2006/relationships/hyperlink" Target="https://www.sec.gov/Archives/edgar/data/320187/000032018723000039/nke-20230531.htm" TargetMode="External"/><Relationship Id="rId99" Type="http://schemas.openxmlformats.org/officeDocument/2006/relationships/hyperlink" Target="https://www.sec.gov/Archives/edgar/data/320187/000032018721000028/nke-20210531.htm" TargetMode="External"/><Relationship Id="rId101" Type="http://schemas.openxmlformats.org/officeDocument/2006/relationships/hyperlink" Target="https://www.sec.gov/Archives/edgar/data/320187/000032018723000039/nke-20230531.htm" TargetMode="External"/><Relationship Id="rId122" Type="http://schemas.openxmlformats.org/officeDocument/2006/relationships/hyperlink" Target="https://www.sec.gov/Archives/edgar/data/320187/000032018723000039/nke-20230531.htm" TargetMode="External"/><Relationship Id="rId143" Type="http://schemas.openxmlformats.org/officeDocument/2006/relationships/hyperlink" Target="https://www.sec.gov/Archives/edgar/data/320187/000032018723000039/nke-20230531.htm" TargetMode="External"/><Relationship Id="rId148" Type="http://schemas.openxmlformats.org/officeDocument/2006/relationships/hyperlink" Target="https://www.sec.gov/Archives/edgar/data/320187/000032018721000028/nke-20210531.htm" TargetMode="External"/><Relationship Id="rId4" Type="http://schemas.openxmlformats.org/officeDocument/2006/relationships/hyperlink" Target="https://www.sec.gov/Archives/edgar/data/320187/000032018723000039/nke-20230531.htm" TargetMode="External"/><Relationship Id="rId9" Type="http://schemas.openxmlformats.org/officeDocument/2006/relationships/hyperlink" Target="https://www.sec.gov/Archives/edgar/data/320187/000032018721000028/nke-20210531.htm" TargetMode="External"/><Relationship Id="rId26" Type="http://schemas.openxmlformats.org/officeDocument/2006/relationships/hyperlink" Target="https://www.sec.gov/Archives/edgar/data/320187/000032018724000044/nke-20240531.htm" TargetMode="External"/><Relationship Id="rId47" Type="http://schemas.openxmlformats.org/officeDocument/2006/relationships/hyperlink" Target="https://www.sec.gov/Archives/edgar/data/320187/000032018725000047/nke-20250531.htm" TargetMode="External"/><Relationship Id="rId68" Type="http://schemas.openxmlformats.org/officeDocument/2006/relationships/hyperlink" Target="https://www.sec.gov/Archives/edgar/data/320187/000032018725000047/nke-20250531.htm" TargetMode="External"/><Relationship Id="rId89" Type="http://schemas.openxmlformats.org/officeDocument/2006/relationships/hyperlink" Target="https://www.sec.gov/Archives/edgar/data/320187/000032018725000047/nke-20250531.htm" TargetMode="External"/><Relationship Id="rId112" Type="http://schemas.openxmlformats.org/officeDocument/2006/relationships/hyperlink" Target="https://www.sec.gov/Archives/edgar/data/320187/000032018720000047/nke-531202010k.htm" TargetMode="External"/><Relationship Id="rId133" Type="http://schemas.openxmlformats.org/officeDocument/2006/relationships/hyperlink" Target="https://www.sec.gov/Archives/edgar/data/320187/000032018720000047/nke-531202010k.htm" TargetMode="External"/><Relationship Id="rId154" Type="http://schemas.openxmlformats.org/officeDocument/2006/relationships/table" Target="../tables/table1.xml"/><Relationship Id="rId16" Type="http://schemas.openxmlformats.org/officeDocument/2006/relationships/hyperlink" Target="https://www.sec.gov/Archives/edgar/data/320187/000032018721000028/nke-20210531.htm" TargetMode="External"/><Relationship Id="rId37" Type="http://schemas.openxmlformats.org/officeDocument/2006/relationships/hyperlink" Target="https://www.sec.gov/Archives/edgar/data/320187/000032018722000038/nke-20220531.htm" TargetMode="External"/><Relationship Id="rId58" Type="http://schemas.openxmlformats.org/officeDocument/2006/relationships/hyperlink" Target="https://www.sec.gov/Archives/edgar/data/320187/000032018722000038/nke-20220531.htm" TargetMode="External"/><Relationship Id="rId79" Type="http://schemas.openxmlformats.org/officeDocument/2006/relationships/hyperlink" Target="https://www.sec.gov/Archives/edgar/data/320187/000032018722000038/nke-20220531.htm" TargetMode="External"/><Relationship Id="rId102" Type="http://schemas.openxmlformats.org/officeDocument/2006/relationships/hyperlink" Target="https://www.sec.gov/Archives/edgar/data/320187/000032018724000044/nke-20240531.htm" TargetMode="External"/><Relationship Id="rId123" Type="http://schemas.openxmlformats.org/officeDocument/2006/relationships/hyperlink" Target="https://www.sec.gov/Archives/edgar/data/320187/000032018724000044/nke-20240531.htm" TargetMode="External"/><Relationship Id="rId144" Type="http://schemas.openxmlformats.org/officeDocument/2006/relationships/hyperlink" Target="https://www.sec.gov/Archives/edgar/data/320187/000032018724000044/nke-20240531.htm" TargetMode="External"/><Relationship Id="rId90" Type="http://schemas.openxmlformats.org/officeDocument/2006/relationships/hyperlink" Target="https://www.sec.gov/Archives/edgar/data/320187/000032018726000088/nke-20260531.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108"/>
  <sheetViews>
    <sheetView showGridLines="0" tabSelected="1" workbookViewId="0"/>
  </sheetViews>
  <sheetFormatPr defaultRowHeight="15" customHeight="1" x14ac:dyDescent="0.25"/>
  <cols>
    <col min="1" max="1" width="3.453125" customWidth="1"/>
    <col min="2" max="13" width="14.26953125" customWidth="1"/>
    <col min="14" max="14" width="3.453125" customWidth="1"/>
  </cols>
  <sheetData>
    <row r="1" spans="2:13" ht="9" customHeight="1" x14ac:dyDescent="0.25"/>
    <row r="2" spans="2:13" ht="36" customHeight="1" x14ac:dyDescent="0.25">
      <c r="B2" s="28" t="s">
        <v>446</v>
      </c>
      <c r="C2" s="28"/>
      <c r="D2" s="28"/>
      <c r="E2" s="28"/>
      <c r="F2" s="28"/>
      <c r="G2" s="28"/>
      <c r="H2" s="28"/>
      <c r="I2" s="28"/>
      <c r="M2" s="1" t="s">
        <v>448</v>
      </c>
    </row>
    <row r="3" spans="2:13" ht="15" customHeight="1" x14ac:dyDescent="0.25">
      <c r="B3" s="29" t="s">
        <v>447</v>
      </c>
      <c r="C3" s="29"/>
      <c r="D3" s="29"/>
      <c r="E3" s="29"/>
      <c r="F3" s="29"/>
      <c r="G3" s="29"/>
      <c r="H3" s="29"/>
      <c r="I3" s="29"/>
      <c r="M3" s="1" t="s">
        <v>449</v>
      </c>
    </row>
    <row r="4" spans="2:13" ht="15" customHeight="1" x14ac:dyDescent="0.25">
      <c r="B4" s="29"/>
      <c r="C4" s="29"/>
      <c r="D4" s="29"/>
      <c r="E4" s="29"/>
      <c r="F4" s="29"/>
      <c r="G4" s="29"/>
      <c r="H4" s="29"/>
      <c r="I4" s="29"/>
      <c r="M4" s="1" t="s">
        <v>450</v>
      </c>
    </row>
    <row r="5" spans="2:13" ht="9" customHeight="1" x14ac:dyDescent="0.25"/>
    <row r="6" spans="2:13" ht="27" customHeight="1" x14ac:dyDescent="0.25">
      <c r="B6" s="30" t="s">
        <v>118</v>
      </c>
      <c r="C6" s="30"/>
      <c r="D6" s="31" t="s">
        <v>247</v>
      </c>
      <c r="E6" s="31"/>
      <c r="F6" s="2"/>
      <c r="G6" s="2"/>
      <c r="H6" s="2"/>
      <c r="I6" s="2"/>
      <c r="J6" s="2"/>
      <c r="K6" s="2"/>
      <c r="L6" s="2"/>
      <c r="M6" s="2"/>
    </row>
    <row r="7" spans="2:13" ht="9" customHeight="1" x14ac:dyDescent="0.25"/>
    <row r="8" spans="2:13" ht="18" customHeight="1" x14ac:dyDescent="0.25">
      <c r="J8" s="32" t="s">
        <v>451</v>
      </c>
      <c r="K8" s="32"/>
      <c r="L8" s="32"/>
      <c r="M8" s="32"/>
    </row>
    <row r="9" spans="2:13" ht="18" customHeight="1" x14ac:dyDescent="0.25">
      <c r="J9" s="32"/>
      <c r="K9" s="32"/>
      <c r="L9" s="32"/>
      <c r="M9" s="32"/>
    </row>
    <row r="10" spans="2:13" ht="18" customHeight="1" x14ac:dyDescent="0.25">
      <c r="J10" s="32"/>
      <c r="K10" s="32"/>
      <c r="L10" s="32"/>
      <c r="M10" s="32"/>
    </row>
    <row r="11" spans="2:13" ht="12" customHeight="1" x14ac:dyDescent="0.25"/>
    <row r="12" spans="2:13" ht="15" customHeight="1" x14ac:dyDescent="0.25">
      <c r="B12" s="33" t="s">
        <v>452</v>
      </c>
      <c r="C12" s="33"/>
      <c r="D12" s="33"/>
      <c r="E12" s="33"/>
      <c r="F12" s="33"/>
      <c r="G12" s="33"/>
      <c r="I12" s="34" t="s">
        <v>453</v>
      </c>
      <c r="J12" s="34"/>
      <c r="K12" s="34"/>
      <c r="L12" s="34"/>
      <c r="M12" s="34"/>
    </row>
    <row r="13" spans="2:13" ht="21" customHeight="1" x14ac:dyDescent="0.25">
      <c r="B13" s="33"/>
      <c r="C13" s="33"/>
      <c r="D13" s="33"/>
      <c r="E13" s="33"/>
      <c r="F13" s="33"/>
      <c r="G13" s="33"/>
      <c r="I13" s="35" t="str">
        <f>'Dữ liệu biểu đồ'!$C$27</f>
        <v>Tỷ trọng NIKE Direct trong doanh thu NIKE Brand là 34,8% ở FY2020 và 39,2% ở FY2026, cao nhất 43,7% (FY2023). Doanh thu NIKE Direct đi từ 12,4 đến 17,7 tỷ USD, còn bán buôn từ 23,2 đến 27,5 tỷ USD.</v>
      </c>
      <c r="J13" s="35"/>
      <c r="K13" s="35"/>
      <c r="L13" s="35"/>
      <c r="M13" s="35"/>
    </row>
    <row r="14" spans="2:13" ht="21" customHeight="1" x14ac:dyDescent="0.25">
      <c r="B14" s="33"/>
      <c r="C14" s="33"/>
      <c r="D14" s="33"/>
      <c r="E14" s="33"/>
      <c r="F14" s="33"/>
      <c r="G14" s="33"/>
      <c r="I14" s="35"/>
      <c r="J14" s="35"/>
      <c r="K14" s="35"/>
      <c r="L14" s="35"/>
      <c r="M14" s="35"/>
    </row>
    <row r="15" spans="2:13" ht="21" customHeight="1" x14ac:dyDescent="0.25">
      <c r="B15" s="33"/>
      <c r="C15" s="33"/>
      <c r="D15" s="33"/>
      <c r="E15" s="33"/>
      <c r="F15" s="33"/>
      <c r="G15" s="33"/>
      <c r="I15" s="35"/>
      <c r="J15" s="35"/>
      <c r="K15" s="35"/>
      <c r="L15" s="35"/>
      <c r="M15" s="35"/>
    </row>
    <row r="16" spans="2:13" ht="21" customHeight="1" x14ac:dyDescent="0.25">
      <c r="B16" s="33"/>
      <c r="C16" s="33"/>
      <c r="D16" s="33"/>
      <c r="E16" s="33"/>
      <c r="F16" s="33"/>
      <c r="G16" s="33"/>
      <c r="I16" s="35"/>
      <c r="J16" s="35"/>
      <c r="K16" s="35"/>
      <c r="L16" s="35"/>
      <c r="M16" s="35"/>
    </row>
    <row r="17" spans="2:13" ht="9" customHeight="1" x14ac:dyDescent="0.25">
      <c r="B17" s="4"/>
      <c r="C17" s="4"/>
      <c r="D17" s="4"/>
      <c r="E17" s="4"/>
      <c r="F17" s="4"/>
      <c r="G17" s="4"/>
      <c r="H17" s="4"/>
      <c r="I17" s="4"/>
      <c r="J17" s="4"/>
      <c r="K17" s="4"/>
      <c r="L17" s="4"/>
      <c r="M17" s="4"/>
    </row>
    <row r="19" spans="2:13" ht="18.75" customHeight="1" x14ac:dyDescent="0.25">
      <c r="B19" s="36" t="s">
        <v>454</v>
      </c>
      <c r="C19" s="36"/>
      <c r="D19" s="36"/>
      <c r="E19" s="36"/>
      <c r="F19" s="36"/>
      <c r="G19" s="36"/>
      <c r="H19" s="36"/>
      <c r="I19" s="36"/>
      <c r="J19" s="36"/>
      <c r="K19" s="36"/>
      <c r="L19" s="36"/>
      <c r="M19" s="36"/>
    </row>
    <row r="20" spans="2:13" ht="27" customHeight="1" x14ac:dyDescent="0.25">
      <c r="B20" s="37" t="s">
        <v>455</v>
      </c>
      <c r="C20" s="37"/>
      <c r="D20" s="37"/>
      <c r="E20" s="37"/>
      <c r="F20" s="37"/>
      <c r="G20" s="37"/>
      <c r="H20" s="37"/>
      <c r="I20" s="37"/>
      <c r="J20" s="37"/>
      <c r="K20" s="37"/>
      <c r="L20" s="37"/>
      <c r="M20" s="37"/>
    </row>
    <row r="38" spans="2:13" ht="26.25" customHeight="1" x14ac:dyDescent="0.25">
      <c r="B38" s="38" t="str">
        <f>"Nguồn: thuyết minh “Revenues” trong Form 10‑K (bảng phân tách doanh thu, cột Total NIKE Brand). Tỷ trọng do nhóm tự tính."&amp;'Dữ liệu biểu đồ'!$C$31</f>
        <v>Nguồn: thuyết minh “Revenues” trong Form 10‑K (bảng phân tách doanh thu, cột Total NIKE Brand). Tỷ trọng do nhóm tự tính. Báo cáo: 10‑K FY2020–FY2026 (danh sách ở sheet “Nguồn và phương pháp”).</v>
      </c>
      <c r="C38" s="38"/>
      <c r="D38" s="38"/>
      <c r="E38" s="38"/>
      <c r="F38" s="38"/>
      <c r="G38" s="38"/>
      <c r="H38" s="38"/>
      <c r="I38" s="38"/>
      <c r="J38" s="38"/>
      <c r="K38" s="38"/>
      <c r="L38" s="38"/>
      <c r="M38" s="38"/>
    </row>
    <row r="40" spans="2:13" ht="18.75" customHeight="1" x14ac:dyDescent="0.25">
      <c r="B40" s="36" t="s">
        <v>456</v>
      </c>
      <c r="C40" s="36"/>
      <c r="D40" s="36"/>
      <c r="E40" s="36"/>
      <c r="F40" s="36"/>
      <c r="G40" s="36"/>
      <c r="H40" s="36" t="s">
        <v>458</v>
      </c>
      <c r="I40" s="36"/>
      <c r="J40" s="36"/>
      <c r="K40" s="36"/>
      <c r="L40" s="36"/>
      <c r="M40" s="36"/>
    </row>
    <row r="41" spans="2:13" ht="27" customHeight="1" x14ac:dyDescent="0.25">
      <c r="B41" s="37" t="s">
        <v>457</v>
      </c>
      <c r="C41" s="37"/>
      <c r="D41" s="37"/>
      <c r="E41" s="37"/>
      <c r="F41" s="37"/>
      <c r="G41" s="37"/>
      <c r="H41" s="37" t="str">
        <f>'Dữ liệu biểu đồ'!$C$29</f>
        <v>Thay đổi so với năm trước (%), theo báo cáo, phạm vi NIKE Brand. Nhóm tự tính từ 10‑K.</v>
      </c>
      <c r="I41" s="37"/>
      <c r="J41" s="37"/>
      <c r="K41" s="37"/>
      <c r="L41" s="37"/>
      <c r="M41" s="37"/>
    </row>
    <row r="42" spans="2:13" ht="18" customHeight="1" x14ac:dyDescent="0.25"/>
    <row r="43" spans="2:13" ht="18" customHeight="1" x14ac:dyDescent="0.25"/>
    <row r="44" spans="2:13" ht="18" customHeight="1" x14ac:dyDescent="0.25"/>
    <row r="59" spans="2:13" ht="26.25" customHeight="1" x14ac:dyDescent="0.25">
      <c r="B59" s="38" t="str">
        <f>"Nguồn: thuyết minh “Revenues” trong Form 10‑K."&amp;'Dữ liệu biểu đồ'!$C$31</f>
        <v>Nguồn: thuyết minh “Revenues” trong Form 10‑K. Báo cáo: 10‑K FY2020–FY2026 (danh sách ở sheet “Nguồn và phương pháp”).</v>
      </c>
      <c r="C59" s="38"/>
      <c r="D59" s="38"/>
      <c r="E59" s="38"/>
      <c r="F59" s="38"/>
      <c r="G59" s="38"/>
      <c r="H59" s="38" t="str">
        <f>'Dữ liệu biểu đồ'!$C$30&amp;'Dữ liệu biểu đồ'!$C$31</f>
        <v>Nguồn: thuyết minh “Revenues” trong Form 10‑K. Tăng trưởng tính từ số năm nay và số năm trước trong cùng 10‑K. Báo cáo: 10‑K FY2020–FY2026 (danh sách ở sheet “Nguồn và phương pháp”).</v>
      </c>
      <c r="I59" s="38"/>
      <c r="J59" s="38"/>
      <c r="K59" s="38"/>
      <c r="L59" s="38"/>
      <c r="M59" s="38"/>
    </row>
    <row r="61" spans="2:13" ht="18.75" customHeight="1" x14ac:dyDescent="0.25">
      <c r="B61" s="36" t="s">
        <v>459</v>
      </c>
      <c r="C61" s="36"/>
      <c r="D61" s="36"/>
      <c r="E61" s="36"/>
      <c r="F61" s="36"/>
      <c r="G61" s="36"/>
      <c r="H61" s="39" t="s">
        <v>461</v>
      </c>
      <c r="I61" s="39"/>
      <c r="J61" s="39"/>
      <c r="K61" s="39"/>
      <c r="L61" s="39"/>
      <c r="M61" s="39"/>
    </row>
    <row r="62" spans="2:13" ht="27" customHeight="1" x14ac:dyDescent="0.25">
      <c r="B62" s="37" t="s">
        <v>460</v>
      </c>
      <c r="C62" s="37"/>
      <c r="D62" s="37"/>
      <c r="E62" s="37"/>
      <c r="F62" s="37"/>
      <c r="G62" s="37"/>
      <c r="H62" s="39"/>
      <c r="I62" s="39"/>
      <c r="J62" s="39"/>
      <c r="K62" s="39"/>
      <c r="L62" s="39"/>
      <c r="M62" s="39"/>
    </row>
    <row r="63" spans="2:13" ht="15" customHeight="1" x14ac:dyDescent="0.25">
      <c r="H63" s="39"/>
      <c r="I63" s="39"/>
      <c r="J63" s="39"/>
      <c r="K63" s="39"/>
      <c r="L63" s="39"/>
      <c r="M63" s="39"/>
    </row>
    <row r="64" spans="2:13" ht="15" customHeight="1" x14ac:dyDescent="0.25">
      <c r="H64" s="39"/>
      <c r="I64" s="39"/>
      <c r="J64" s="39"/>
      <c r="K64" s="39"/>
      <c r="L64" s="39"/>
      <c r="M64" s="39"/>
    </row>
    <row r="65" spans="2:13" ht="15" customHeight="1" x14ac:dyDescent="0.25">
      <c r="H65" s="39"/>
      <c r="I65" s="39"/>
      <c r="J65" s="39"/>
      <c r="K65" s="39"/>
      <c r="L65" s="39"/>
      <c r="M65" s="39"/>
    </row>
    <row r="66" spans="2:13" ht="15" customHeight="1" x14ac:dyDescent="0.25">
      <c r="H66" s="39"/>
      <c r="I66" s="39"/>
      <c r="J66" s="39"/>
      <c r="K66" s="39"/>
      <c r="L66" s="39"/>
      <c r="M66" s="39"/>
    </row>
    <row r="67" spans="2:13" ht="15" customHeight="1" x14ac:dyDescent="0.25">
      <c r="H67" s="39"/>
      <c r="I67" s="39"/>
      <c r="J67" s="39"/>
      <c r="K67" s="39"/>
      <c r="L67" s="39"/>
      <c r="M67" s="39"/>
    </row>
    <row r="68" spans="2:13" ht="15" customHeight="1" x14ac:dyDescent="0.25">
      <c r="H68" s="39"/>
      <c r="I68" s="39"/>
      <c r="J68" s="39"/>
      <c r="K68" s="39"/>
      <c r="L68" s="39"/>
      <c r="M68" s="39"/>
    </row>
    <row r="69" spans="2:13" ht="15" customHeight="1" x14ac:dyDescent="0.25">
      <c r="H69" s="39"/>
      <c r="I69" s="39"/>
      <c r="J69" s="39"/>
      <c r="K69" s="39"/>
      <c r="L69" s="39"/>
      <c r="M69" s="39"/>
    </row>
    <row r="70" spans="2:13" ht="15" customHeight="1" x14ac:dyDescent="0.25">
      <c r="H70" s="39"/>
      <c r="I70" s="39"/>
      <c r="J70" s="39"/>
      <c r="K70" s="39"/>
      <c r="L70" s="39"/>
      <c r="M70" s="39"/>
    </row>
    <row r="71" spans="2:13" ht="15" customHeight="1" x14ac:dyDescent="0.25">
      <c r="H71" s="39"/>
      <c r="I71" s="39"/>
      <c r="J71" s="39"/>
      <c r="K71" s="39"/>
      <c r="L71" s="39"/>
      <c r="M71" s="39"/>
    </row>
    <row r="72" spans="2:13" ht="15" customHeight="1" x14ac:dyDescent="0.25">
      <c r="H72" s="39"/>
      <c r="I72" s="39"/>
      <c r="J72" s="39"/>
      <c r="K72" s="39"/>
      <c r="L72" s="39"/>
      <c r="M72" s="39"/>
    </row>
    <row r="73" spans="2:13" ht="15" customHeight="1" x14ac:dyDescent="0.25">
      <c r="H73" s="39"/>
      <c r="I73" s="39"/>
      <c r="J73" s="39"/>
      <c r="K73" s="39"/>
      <c r="L73" s="39"/>
      <c r="M73" s="39"/>
    </row>
    <row r="74" spans="2:13" ht="15" customHeight="1" x14ac:dyDescent="0.25">
      <c r="H74" s="39"/>
      <c r="I74" s="39"/>
      <c r="J74" s="39"/>
      <c r="K74" s="39"/>
      <c r="L74" s="39"/>
      <c r="M74" s="39"/>
    </row>
    <row r="75" spans="2:13" ht="15" customHeight="1" x14ac:dyDescent="0.25">
      <c r="H75" s="39"/>
      <c r="I75" s="39"/>
      <c r="J75" s="39"/>
      <c r="K75" s="39"/>
      <c r="L75" s="39"/>
      <c r="M75" s="39"/>
    </row>
    <row r="76" spans="2:13" ht="15" customHeight="1" x14ac:dyDescent="0.25">
      <c r="H76" s="39"/>
      <c r="I76" s="39"/>
      <c r="J76" s="39"/>
      <c r="K76" s="39"/>
      <c r="L76" s="39"/>
      <c r="M76" s="39"/>
    </row>
    <row r="77" spans="2:13" ht="15" customHeight="1" x14ac:dyDescent="0.25">
      <c r="H77" s="39"/>
      <c r="I77" s="39"/>
      <c r="J77" s="39"/>
      <c r="K77" s="39"/>
      <c r="L77" s="39"/>
      <c r="M77" s="39"/>
    </row>
    <row r="78" spans="2:13" ht="26.25" customHeight="1" x14ac:dyDescent="0.25">
      <c r="B78" s="38" t="str">
        <f>"Nguồn: MD&amp;A (Item 7), đoạn nói về NIKE Direct. Số NIKE Direct lấy từ thuyết minh “Revenues”."&amp;'Dữ liệu biểu đồ'!$C$31</f>
        <v>Nguồn: MD&amp;A (Item 7), đoạn nói về NIKE Direct. Số NIKE Direct lấy từ thuyết minh “Revenues”. Báo cáo: 10‑K FY2020–FY2026 (danh sách ở sheet “Nguồn và phương pháp”).</v>
      </c>
      <c r="C78" s="38"/>
      <c r="D78" s="38"/>
      <c r="E78" s="38"/>
      <c r="F78" s="38"/>
      <c r="G78" s="38"/>
      <c r="H78" s="39"/>
      <c r="I78" s="39"/>
      <c r="J78" s="39"/>
      <c r="K78" s="39"/>
      <c r="L78" s="39"/>
      <c r="M78" s="39"/>
    </row>
    <row r="80" spans="2:13" ht="21.75" customHeight="1" x14ac:dyDescent="0.25">
      <c r="B80" s="40" t="s">
        <v>462</v>
      </c>
      <c r="C80" s="40"/>
      <c r="D80" s="40"/>
      <c r="E80" s="40"/>
      <c r="F80" s="40"/>
      <c r="G80" s="40"/>
      <c r="H80" s="40"/>
      <c r="I80" s="40"/>
      <c r="J80" s="40"/>
      <c r="K80" s="40"/>
      <c r="L80" s="40"/>
      <c r="M80" s="40"/>
    </row>
    <row r="81" spans="2:13" ht="18" customHeight="1" x14ac:dyDescent="0.25">
      <c r="B81" s="34" t="s">
        <v>463</v>
      </c>
      <c r="C81" s="34"/>
      <c r="D81" s="34"/>
      <c r="E81" s="34"/>
      <c r="F81" s="34"/>
      <c r="G81" s="34"/>
      <c r="H81" s="34"/>
      <c r="I81" s="34"/>
      <c r="J81" s="34"/>
      <c r="K81" s="34"/>
      <c r="L81" s="34"/>
      <c r="M81" s="34"/>
    </row>
    <row r="82" spans="2:13" ht="20.25" customHeight="1" x14ac:dyDescent="0.3">
      <c r="B82" s="41" t="s">
        <v>464</v>
      </c>
      <c r="C82" s="41"/>
      <c r="D82" s="41"/>
      <c r="E82" s="6" t="s">
        <v>465</v>
      </c>
      <c r="F82" s="7">
        <f>IFERROR(_xlfn.AGGREGATE(15,5,'Dữ liệu biểu đồ'!$B$5:$B$11,1),"")</f>
        <v>2020</v>
      </c>
      <c r="G82" s="7">
        <f>IFERROR(_xlfn.AGGREGATE(15,5,'Dữ liệu biểu đồ'!$B$5:$B$11,2),"")</f>
        <v>2021</v>
      </c>
      <c r="H82" s="7">
        <f>IFERROR(_xlfn.AGGREGATE(15,5,'Dữ liệu biểu đồ'!$B$5:$B$11,3),"")</f>
        <v>2022</v>
      </c>
      <c r="I82" s="7">
        <f>IFERROR(_xlfn.AGGREGATE(15,5,'Dữ liệu biểu đồ'!$B$5:$B$11,4),"")</f>
        <v>2023</v>
      </c>
      <c r="J82" s="7">
        <f>IFERROR(_xlfn.AGGREGATE(15,5,'Dữ liệu biểu đồ'!$B$5:$B$11,5),"")</f>
        <v>2024</v>
      </c>
      <c r="K82" s="7">
        <f>IFERROR(_xlfn.AGGREGATE(15,5,'Dữ liệu biểu đồ'!$B$5:$B$11,6),"")</f>
        <v>2025</v>
      </c>
      <c r="L82" s="7">
        <f>IFERROR(_xlfn.AGGREGATE(15,5,'Dữ liệu biểu đồ'!$B$5:$B$11,7),"")</f>
        <v>2026</v>
      </c>
      <c r="M82" s="6"/>
    </row>
    <row r="83" spans="2:13" ht="20.25" customHeight="1" x14ac:dyDescent="0.25">
      <c r="B83" s="42" t="s">
        <v>466</v>
      </c>
      <c r="C83" s="42"/>
      <c r="D83" s="42"/>
      <c r="E83" s="42"/>
      <c r="F83" s="42"/>
      <c r="G83" s="42"/>
      <c r="H83" s="42"/>
      <c r="I83" s="42"/>
      <c r="J83" s="42"/>
      <c r="K83" s="42"/>
      <c r="L83" s="42"/>
      <c r="M83" s="42"/>
    </row>
    <row r="84" spans="2:13" ht="20.25" customHeight="1" x14ac:dyDescent="0.25">
      <c r="B84" s="43" t="s">
        <v>467</v>
      </c>
      <c r="C84" s="43"/>
      <c r="D84" s="43"/>
      <c r="E84" s="8" t="s">
        <v>468</v>
      </c>
      <c r="F84" s="9" t="str">
        <f>IF(F$82="","",INDEX('Dữ liệu biểu đồ'!$C$47:$I$47,F$82-2019))</f>
        <v>12.382</v>
      </c>
      <c r="G84" s="9" t="str">
        <f>IF(G$82="","",INDEX('Dữ liệu biểu đồ'!$C$47:$I$47,G$82-2019))</f>
        <v>16.370</v>
      </c>
      <c r="H84" s="9" t="str">
        <f>IF(H$82="","",INDEX('Dữ liệu biểu đồ'!$C$47:$I$47,H$82-2019))</f>
        <v>18.726</v>
      </c>
      <c r="I84" s="9" t="str">
        <f>IF(I$82="","",INDEX('Dữ liệu biểu đồ'!$C$47:$I$47,I$82-2019))</f>
        <v>21.308</v>
      </c>
      <c r="J84" s="9" t="str">
        <f>IF(J$82="","",INDEX('Dữ liệu biểu đồ'!$C$47:$I$47,J$82-2019))</f>
        <v>21.519</v>
      </c>
      <c r="K84" s="9" t="str">
        <f>IF(K$82="","",INDEX('Dữ liệu biểu đồ'!$C$47:$I$47,K$82-2019))</f>
        <v>18.783</v>
      </c>
      <c r="L84" s="9" t="str">
        <f>IF(L$82="","",INDEX('Dữ liệu biểu đồ'!$C$47:$I$47,L$82-2019))</f>
        <v>17.720</v>
      </c>
      <c r="M84" s="10"/>
    </row>
    <row r="85" spans="2:13" ht="12.75" customHeight="1" x14ac:dyDescent="0.25">
      <c r="B85" s="44"/>
      <c r="C85" s="44"/>
      <c r="D85" s="44"/>
      <c r="E85" s="11"/>
      <c r="F85" s="12" t="str">
        <f>IF(F$82="","",IF(INDEX('Dữ liệu biểu đồ'!$J$47:$P$47,F$82-2019)="",INDEX('Dữ liệu biểu đồ'!$C$48:$I$48,F$82-2019)&amp;"",HYPERLINK(INDEX('Dữ liệu biểu đồ'!$J$47:$P$47,F$82-2019),INDEX('Dữ liệu biểu đồ'!$C$48:$I$48,F$82-2019))))</f>
        <v>tr. 88</v>
      </c>
      <c r="G85" s="12" t="str">
        <f>IF(G$82="","",IF(INDEX('Dữ liệu biểu đồ'!$J$47:$P$47,G$82-2019)="",INDEX('Dữ liệu biểu đồ'!$C$48:$I$48,G$82-2019)&amp;"",HYPERLINK(INDEX('Dữ liệu biểu đồ'!$J$47:$P$47,G$82-2019),INDEX('Dữ liệu biểu đồ'!$C$48:$I$48,G$82-2019))))</f>
        <v>tr. 86</v>
      </c>
      <c r="H85" s="12" t="str">
        <f>IF(H$82="","",IF(INDEX('Dữ liệu biểu đồ'!$J$47:$P$47,H$82-2019)="",INDEX('Dữ liệu biểu đồ'!$C$48:$I$48,H$82-2019)&amp;"",HYPERLINK(INDEX('Dữ liệu biểu đồ'!$J$47:$P$47,H$82-2019),INDEX('Dữ liệu biểu đồ'!$C$48:$I$48,H$82-2019))))</f>
        <v>tr. 85</v>
      </c>
      <c r="I85" s="12" t="str">
        <f>IF(I$82="","",IF(INDEX('Dữ liệu biểu đồ'!$J$47:$P$47,I$82-2019)="",INDEX('Dữ liệu biểu đồ'!$C$48:$I$48,I$82-2019)&amp;"",HYPERLINK(INDEX('Dữ liệu biểu đồ'!$J$47:$P$47,I$82-2019),INDEX('Dữ liệu biểu đồ'!$C$48:$I$48,I$82-2019))))</f>
        <v>tr. 83</v>
      </c>
      <c r="J85" s="12" t="str">
        <f>IF(J$82="","",IF(INDEX('Dữ liệu biểu đồ'!$J$47:$P$47,J$82-2019)="",INDEX('Dữ liệu biểu đồ'!$C$48:$I$48,J$82-2019)&amp;"",HYPERLINK(INDEX('Dữ liệu biểu đồ'!$J$47:$P$47,J$82-2019),INDEX('Dữ liệu biểu đồ'!$C$48:$I$48,J$82-2019))))</f>
        <v>tr. 84</v>
      </c>
      <c r="K85" s="12" t="str">
        <f>IF(K$82="","",IF(INDEX('Dữ liệu biểu đồ'!$J$47:$P$47,K$82-2019)="",INDEX('Dữ liệu biểu đồ'!$C$48:$I$48,K$82-2019)&amp;"",HYPERLINK(INDEX('Dữ liệu biểu đồ'!$J$47:$P$47,K$82-2019),INDEX('Dữ liệu biểu đồ'!$C$48:$I$48,K$82-2019))))</f>
        <v>tr. 82</v>
      </c>
      <c r="L85" s="12" t="str">
        <f>IF(L$82="","",IF(INDEX('Dữ liệu biểu đồ'!$J$47:$P$47,L$82-2019)="",INDEX('Dữ liệu biểu đồ'!$C$48:$I$48,L$82-2019)&amp;"",HYPERLINK(INDEX('Dữ liệu biểu đồ'!$J$47:$P$47,L$82-2019),INDEX('Dữ liệu biểu đồ'!$C$48:$I$48,L$82-2019))))</f>
        <v>tr. 83</v>
      </c>
      <c r="M85" s="11"/>
    </row>
    <row r="86" spans="2:13" ht="20.25" customHeight="1" x14ac:dyDescent="0.25">
      <c r="B86" s="43" t="s">
        <v>469</v>
      </c>
      <c r="C86" s="43"/>
      <c r="D86" s="43"/>
      <c r="E86" s="8" t="s">
        <v>468</v>
      </c>
      <c r="F86" s="9" t="str">
        <f>IF(F$82="","",INDEX('Dữ liệu biểu đồ'!$C$49:$I$49,F$82-2019))</f>
        <v>23.156</v>
      </c>
      <c r="G86" s="9" t="str">
        <f>IF(G$82="","",INDEX('Dữ liệu biểu đồ'!$C$49:$I$49,G$82-2019))</f>
        <v>25.898</v>
      </c>
      <c r="H86" s="9" t="str">
        <f>IF(H$82="","",INDEX('Dữ liệu biểu đồ'!$C$49:$I$49,H$82-2019))</f>
        <v>25.608</v>
      </c>
      <c r="I86" s="9" t="str">
        <f>IF(I$82="","",INDEX('Dữ liệu biểu đồ'!$C$49:$I$49,I$82-2019))</f>
        <v>27.397</v>
      </c>
      <c r="J86" s="9" t="str">
        <f>IF(J$82="","",INDEX('Dữ liệu biểu đồ'!$C$49:$I$49,J$82-2019))</f>
        <v>27.758</v>
      </c>
      <c r="K86" s="9" t="str">
        <f>IF(K$82="","",INDEX('Dữ liệu biểu đồ'!$C$49:$I$49,K$82-2019))</f>
        <v>25.883</v>
      </c>
      <c r="L86" s="9" t="str">
        <f>IF(L$82="","",INDEX('Dữ liệu biểu đồ'!$C$49:$I$49,L$82-2019))</f>
        <v>27.453</v>
      </c>
      <c r="M86" s="10"/>
    </row>
    <row r="87" spans="2:13" ht="12.75" customHeight="1" x14ac:dyDescent="0.25">
      <c r="B87" s="44"/>
      <c r="C87" s="44"/>
      <c r="D87" s="44"/>
      <c r="E87" s="11"/>
      <c r="F87" s="12" t="str">
        <f>IF(F$82="","",IF(INDEX('Dữ liệu biểu đồ'!$J$49:$P$49,F$82-2019)="",INDEX('Dữ liệu biểu đồ'!$C$50:$I$50,F$82-2019)&amp;"",HYPERLINK(INDEX('Dữ liệu biểu đồ'!$J$49:$P$49,F$82-2019),INDEX('Dữ liệu biểu đồ'!$C$50:$I$50,F$82-2019))))</f>
        <v>tr. 88</v>
      </c>
      <c r="G87" s="12" t="str">
        <f>IF(G$82="","",IF(INDEX('Dữ liệu biểu đồ'!$J$49:$P$49,G$82-2019)="",INDEX('Dữ liệu biểu đồ'!$C$50:$I$50,G$82-2019)&amp;"",HYPERLINK(INDEX('Dữ liệu biểu đồ'!$J$49:$P$49,G$82-2019),INDEX('Dữ liệu biểu đồ'!$C$50:$I$50,G$82-2019))))</f>
        <v>tr. 86</v>
      </c>
      <c r="H87" s="12" t="str">
        <f>IF(H$82="","",IF(INDEX('Dữ liệu biểu đồ'!$J$49:$P$49,H$82-2019)="",INDEX('Dữ liệu biểu đồ'!$C$50:$I$50,H$82-2019)&amp;"",HYPERLINK(INDEX('Dữ liệu biểu đồ'!$J$49:$P$49,H$82-2019),INDEX('Dữ liệu biểu đồ'!$C$50:$I$50,H$82-2019))))</f>
        <v>tr. 85</v>
      </c>
      <c r="I87" s="12" t="str">
        <f>IF(I$82="","",IF(INDEX('Dữ liệu biểu đồ'!$J$49:$P$49,I$82-2019)="",INDEX('Dữ liệu biểu đồ'!$C$50:$I$50,I$82-2019)&amp;"",HYPERLINK(INDEX('Dữ liệu biểu đồ'!$J$49:$P$49,I$82-2019),INDEX('Dữ liệu biểu đồ'!$C$50:$I$50,I$82-2019))))</f>
        <v>tr. 83</v>
      </c>
      <c r="J87" s="12" t="str">
        <f>IF(J$82="","",IF(INDEX('Dữ liệu biểu đồ'!$J$49:$P$49,J$82-2019)="",INDEX('Dữ liệu biểu đồ'!$C$50:$I$50,J$82-2019)&amp;"",HYPERLINK(INDEX('Dữ liệu biểu đồ'!$J$49:$P$49,J$82-2019),INDEX('Dữ liệu biểu đồ'!$C$50:$I$50,J$82-2019))))</f>
        <v>tr. 84</v>
      </c>
      <c r="K87" s="12" t="str">
        <f>IF(K$82="","",IF(INDEX('Dữ liệu biểu đồ'!$J$49:$P$49,K$82-2019)="",INDEX('Dữ liệu biểu đồ'!$C$50:$I$50,K$82-2019)&amp;"",HYPERLINK(INDEX('Dữ liệu biểu đồ'!$J$49:$P$49,K$82-2019),INDEX('Dữ liệu biểu đồ'!$C$50:$I$50,K$82-2019))))</f>
        <v>tr. 82</v>
      </c>
      <c r="L87" s="12" t="str">
        <f>IF(L$82="","",IF(INDEX('Dữ liệu biểu đồ'!$J$49:$P$49,L$82-2019)="",INDEX('Dữ liệu biểu đồ'!$C$50:$I$50,L$82-2019)&amp;"",HYPERLINK(INDEX('Dữ liệu biểu đồ'!$J$49:$P$49,L$82-2019),INDEX('Dữ liệu biểu đồ'!$C$50:$I$50,L$82-2019))))</f>
        <v>tr. 83</v>
      </c>
      <c r="M87" s="11"/>
    </row>
    <row r="88" spans="2:13" ht="20.25" customHeight="1" x14ac:dyDescent="0.25">
      <c r="B88" s="43" t="s">
        <v>470</v>
      </c>
      <c r="C88" s="43"/>
      <c r="D88" s="43"/>
      <c r="E88" s="8" t="s">
        <v>468</v>
      </c>
      <c r="F88" s="9" t="str">
        <f>IF(F$82="","",INDEX('Dữ liệu biểu đồ'!$C$51:$I$51,F$82-2019))</f>
        <v>30</v>
      </c>
      <c r="G88" s="9" t="str">
        <f>IF(G$82="","",INDEX('Dữ liệu biểu đồ'!$C$51:$I$51,G$82-2019))</f>
        <v>25</v>
      </c>
      <c r="H88" s="9" t="str">
        <f>IF(H$82="","",INDEX('Dữ liệu biểu đồ'!$C$51:$I$51,H$82-2019))</f>
        <v>102</v>
      </c>
      <c r="I88" s="9" t="str">
        <f>IF(I$82="","",INDEX('Dữ liệu biểu đồ'!$C$51:$I$51,I$82-2019))</f>
        <v>58</v>
      </c>
      <c r="J88" s="9" t="str">
        <f>IF(J$82="","",INDEX('Dữ liệu biểu đồ'!$C$51:$I$51,J$82-2019))</f>
        <v>45</v>
      </c>
      <c r="K88" s="9" t="str">
        <f>IF(K$82="","",INDEX('Dữ liệu biểu đồ'!$C$51:$I$51,K$82-2019))</f>
        <v>48</v>
      </c>
      <c r="L88" s="9" t="str">
        <f>IF(L$82="","",INDEX('Dữ liệu biểu đồ'!$C$51:$I$51,L$82-2019))</f>
        <v>49</v>
      </c>
      <c r="M88" s="10"/>
    </row>
    <row r="89" spans="2:13" ht="12.75" customHeight="1" x14ac:dyDescent="0.25">
      <c r="B89" s="44"/>
      <c r="C89" s="44"/>
      <c r="D89" s="44"/>
      <c r="E89" s="11"/>
      <c r="F89" s="12" t="str">
        <f>IF(F$82="","",IF(INDEX('Dữ liệu biểu đồ'!$J$51:$P$51,F$82-2019)="",INDEX('Dữ liệu biểu đồ'!$C$52:$I$52,F$82-2019)&amp;"",HYPERLINK(INDEX('Dữ liệu biểu đồ'!$J$51:$P$51,F$82-2019),INDEX('Dữ liệu biểu đồ'!$C$52:$I$52,F$82-2019))))</f>
        <v>tr. 88</v>
      </c>
      <c r="G89" s="12" t="str">
        <f>IF(G$82="","",IF(INDEX('Dữ liệu biểu đồ'!$J$51:$P$51,G$82-2019)="",INDEX('Dữ liệu biểu đồ'!$C$52:$I$52,G$82-2019)&amp;"",HYPERLINK(INDEX('Dữ liệu biểu đồ'!$J$51:$P$51,G$82-2019),INDEX('Dữ liệu biểu đồ'!$C$52:$I$52,G$82-2019))))</f>
        <v>tr. 86</v>
      </c>
      <c r="H89" s="12" t="str">
        <f>IF(H$82="","",IF(INDEX('Dữ liệu biểu đồ'!$J$51:$P$51,H$82-2019)="",INDEX('Dữ liệu biểu đồ'!$C$52:$I$52,H$82-2019)&amp;"",HYPERLINK(INDEX('Dữ liệu biểu đồ'!$J$51:$P$51,H$82-2019),INDEX('Dữ liệu biểu đồ'!$C$52:$I$52,H$82-2019))))</f>
        <v>tr. 85</v>
      </c>
      <c r="I89" s="12" t="str">
        <f>IF(I$82="","",IF(INDEX('Dữ liệu biểu đồ'!$J$51:$P$51,I$82-2019)="",INDEX('Dữ liệu biểu đồ'!$C$52:$I$52,I$82-2019)&amp;"",HYPERLINK(INDEX('Dữ liệu biểu đồ'!$J$51:$P$51,I$82-2019),INDEX('Dữ liệu biểu đồ'!$C$52:$I$52,I$82-2019))))</f>
        <v>tr. 83</v>
      </c>
      <c r="J89" s="12" t="str">
        <f>IF(J$82="","",IF(INDEX('Dữ liệu biểu đồ'!$J$51:$P$51,J$82-2019)="",INDEX('Dữ liệu biểu đồ'!$C$52:$I$52,J$82-2019)&amp;"",HYPERLINK(INDEX('Dữ liệu biểu đồ'!$J$51:$P$51,J$82-2019),INDEX('Dữ liệu biểu đồ'!$C$52:$I$52,J$82-2019))))</f>
        <v>tr. 84</v>
      </c>
      <c r="K89" s="12" t="str">
        <f>IF(K$82="","",IF(INDEX('Dữ liệu biểu đồ'!$J$51:$P$51,K$82-2019)="",INDEX('Dữ liệu biểu đồ'!$C$52:$I$52,K$82-2019)&amp;"",HYPERLINK(INDEX('Dữ liệu biểu đồ'!$J$51:$P$51,K$82-2019),INDEX('Dữ liệu biểu đồ'!$C$52:$I$52,K$82-2019))))</f>
        <v>tr. 82</v>
      </c>
      <c r="L89" s="12" t="str">
        <f>IF(L$82="","",IF(INDEX('Dữ liệu biểu đồ'!$J$51:$P$51,L$82-2019)="",INDEX('Dữ liệu biểu đồ'!$C$52:$I$52,L$82-2019)&amp;"",HYPERLINK(INDEX('Dữ liệu biểu đồ'!$J$51:$P$51,L$82-2019),INDEX('Dữ liệu biểu đồ'!$C$52:$I$52,L$82-2019))))</f>
        <v>tr. 83</v>
      </c>
      <c r="M89" s="11"/>
    </row>
    <row r="90" spans="2:13" ht="20.25" customHeight="1" x14ac:dyDescent="0.25">
      <c r="B90" s="45" t="s">
        <v>471</v>
      </c>
      <c r="C90" s="45"/>
      <c r="D90" s="45"/>
      <c r="E90" s="13" t="s">
        <v>468</v>
      </c>
      <c r="F90" s="14" t="str">
        <f>IF(F$82="","",INDEX('Dữ liệu biểu đồ'!$C$53:$I$53,F$82-2019))</f>
        <v>35.568</v>
      </c>
      <c r="G90" s="14" t="str">
        <f>IF(G$82="","",INDEX('Dữ liệu biểu đồ'!$C$53:$I$53,G$82-2019))</f>
        <v>42.293</v>
      </c>
      <c r="H90" s="14" t="str">
        <f>IF(H$82="","",INDEX('Dữ liệu biểu đồ'!$C$53:$I$53,H$82-2019))</f>
        <v>44.436</v>
      </c>
      <c r="I90" s="14" t="str">
        <f>IF(I$82="","",INDEX('Dữ liệu biểu đồ'!$C$53:$I$53,I$82-2019))</f>
        <v>48.763</v>
      </c>
      <c r="J90" s="14" t="str">
        <f>IF(J$82="","",INDEX('Dữ liệu biểu đồ'!$C$53:$I$53,J$82-2019))</f>
        <v>49.322</v>
      </c>
      <c r="K90" s="14" t="str">
        <f>IF(K$82="","",INDEX('Dữ liệu biểu đồ'!$C$53:$I$53,K$82-2019))</f>
        <v>44.714</v>
      </c>
      <c r="L90" s="14" t="str">
        <f>IF(L$82="","",INDEX('Dữ liệu biểu đồ'!$C$53:$I$53,L$82-2019))</f>
        <v>45.222</v>
      </c>
      <c r="M90" s="15"/>
    </row>
    <row r="91" spans="2:13" ht="12.75" customHeight="1" x14ac:dyDescent="0.25">
      <c r="B91" s="44"/>
      <c r="C91" s="44"/>
      <c r="D91" s="44"/>
      <c r="E91" s="11"/>
      <c r="F91" s="12" t="str">
        <f>IF(F$82="","",IF(INDEX('Dữ liệu biểu đồ'!$J$53:$P$53,F$82-2019)="",INDEX('Dữ liệu biểu đồ'!$C$54:$I$54,F$82-2019)&amp;"",HYPERLINK(INDEX('Dữ liệu biểu đồ'!$J$53:$P$53,F$82-2019),INDEX('Dữ liệu biểu đồ'!$C$54:$I$54,F$82-2019))))</f>
        <v>tr. 88</v>
      </c>
      <c r="G91" s="12" t="str">
        <f>IF(G$82="","",IF(INDEX('Dữ liệu biểu đồ'!$J$53:$P$53,G$82-2019)="",INDEX('Dữ liệu biểu đồ'!$C$54:$I$54,G$82-2019)&amp;"",HYPERLINK(INDEX('Dữ liệu biểu đồ'!$J$53:$P$53,G$82-2019),INDEX('Dữ liệu biểu đồ'!$C$54:$I$54,G$82-2019))))</f>
        <v>tr. 86</v>
      </c>
      <c r="H91" s="12" t="str">
        <f>IF(H$82="","",IF(INDEX('Dữ liệu biểu đồ'!$J$53:$P$53,H$82-2019)="",INDEX('Dữ liệu biểu đồ'!$C$54:$I$54,H$82-2019)&amp;"",HYPERLINK(INDEX('Dữ liệu biểu đồ'!$J$53:$P$53,H$82-2019),INDEX('Dữ liệu biểu đồ'!$C$54:$I$54,H$82-2019))))</f>
        <v>tr. 85</v>
      </c>
      <c r="I91" s="12" t="str">
        <f>IF(I$82="","",IF(INDEX('Dữ liệu biểu đồ'!$J$53:$P$53,I$82-2019)="",INDEX('Dữ liệu biểu đồ'!$C$54:$I$54,I$82-2019)&amp;"",HYPERLINK(INDEX('Dữ liệu biểu đồ'!$J$53:$P$53,I$82-2019),INDEX('Dữ liệu biểu đồ'!$C$54:$I$54,I$82-2019))))</f>
        <v>tr. 83</v>
      </c>
      <c r="J91" s="12" t="str">
        <f>IF(J$82="","",IF(INDEX('Dữ liệu biểu đồ'!$J$53:$P$53,J$82-2019)="",INDEX('Dữ liệu biểu đồ'!$C$54:$I$54,J$82-2019)&amp;"",HYPERLINK(INDEX('Dữ liệu biểu đồ'!$J$53:$P$53,J$82-2019),INDEX('Dữ liệu biểu đồ'!$C$54:$I$54,J$82-2019))))</f>
        <v>tr. 84</v>
      </c>
      <c r="K91" s="12" t="str">
        <f>IF(K$82="","",IF(INDEX('Dữ liệu biểu đồ'!$J$53:$P$53,K$82-2019)="",INDEX('Dữ liệu biểu đồ'!$C$54:$I$54,K$82-2019)&amp;"",HYPERLINK(INDEX('Dữ liệu biểu đồ'!$J$53:$P$53,K$82-2019),INDEX('Dữ liệu biểu đồ'!$C$54:$I$54,K$82-2019))))</f>
        <v>tr. 82</v>
      </c>
      <c r="L91" s="12" t="str">
        <f>IF(L$82="","",IF(INDEX('Dữ liệu biểu đồ'!$J$53:$P$53,L$82-2019)="",INDEX('Dữ liệu biểu đồ'!$C$54:$I$54,L$82-2019)&amp;"",HYPERLINK(INDEX('Dữ liệu biểu đồ'!$J$53:$P$53,L$82-2019),INDEX('Dữ liệu biểu đồ'!$C$54:$I$54,L$82-2019))))</f>
        <v>tr. 83</v>
      </c>
      <c r="M91" s="11"/>
    </row>
    <row r="92" spans="2:13" ht="20.25" customHeight="1" x14ac:dyDescent="0.25">
      <c r="B92" s="42" t="s">
        <v>472</v>
      </c>
      <c r="C92" s="42"/>
      <c r="D92" s="42"/>
      <c r="E92" s="42"/>
      <c r="F92" s="42"/>
      <c r="G92" s="42"/>
      <c r="H92" s="42"/>
      <c r="I92" s="42"/>
      <c r="J92" s="42"/>
      <c r="K92" s="42"/>
      <c r="L92" s="42"/>
      <c r="M92" s="42"/>
    </row>
    <row r="93" spans="2:13" ht="20.25" customHeight="1" x14ac:dyDescent="0.25">
      <c r="B93" s="46" t="s">
        <v>4</v>
      </c>
      <c r="C93" s="46"/>
      <c r="D93" s="46"/>
      <c r="E93" s="16" t="s">
        <v>473</v>
      </c>
      <c r="F93" s="17" t="str">
        <f>IF(F$82="","",INDEX('Dữ liệu biểu đồ'!$C$55:$I$55,F$82-2019))</f>
        <v>34,8%</v>
      </c>
      <c r="G93" s="17" t="str">
        <f>IF(G$82="","",INDEX('Dữ liệu biểu đồ'!$C$55:$I$55,G$82-2019))</f>
        <v>38,7%</v>
      </c>
      <c r="H93" s="17" t="str">
        <f>IF(H$82="","",INDEX('Dữ liệu biểu đồ'!$C$55:$I$55,H$82-2019))</f>
        <v>42,1%</v>
      </c>
      <c r="I93" s="17" t="str">
        <f>IF(I$82="","",INDEX('Dữ liệu biểu đồ'!$C$55:$I$55,I$82-2019))</f>
        <v>43,7%</v>
      </c>
      <c r="J93" s="17" t="str">
        <f>IF(J$82="","",INDEX('Dữ liệu biểu đồ'!$C$55:$I$55,J$82-2019))</f>
        <v>43,6%</v>
      </c>
      <c r="K93" s="17" t="str">
        <f>IF(K$82="","",INDEX('Dữ liệu biểu đồ'!$C$55:$I$55,K$82-2019))</f>
        <v>42,0%</v>
      </c>
      <c r="L93" s="17" t="str">
        <f>IF(L$82="","",INDEX('Dữ liệu biểu đồ'!$C$55:$I$55,L$82-2019))</f>
        <v>39,2%</v>
      </c>
      <c r="M93" s="18"/>
    </row>
    <row r="94" spans="2:13" ht="20.25" customHeight="1" x14ac:dyDescent="0.25">
      <c r="B94" s="46" t="s">
        <v>5</v>
      </c>
      <c r="C94" s="46"/>
      <c r="D94" s="46"/>
      <c r="E94" s="16" t="s">
        <v>473</v>
      </c>
      <c r="F94" s="17" t="str">
        <f>IF(F$82="","",INDEX('Dữ liệu biểu đồ'!$C$57:$I$57,F$82-2019))</f>
        <v>65,1%</v>
      </c>
      <c r="G94" s="17" t="str">
        <f>IF(G$82="","",INDEX('Dữ liệu biểu đồ'!$C$57:$I$57,G$82-2019))</f>
        <v>61,2%</v>
      </c>
      <c r="H94" s="17" t="str">
        <f>IF(H$82="","",INDEX('Dữ liệu biểu đồ'!$C$57:$I$57,H$82-2019))</f>
        <v>57,6%</v>
      </c>
      <c r="I94" s="17" t="str">
        <f>IF(I$82="","",INDEX('Dữ liệu biểu đồ'!$C$57:$I$57,I$82-2019))</f>
        <v>56,2%</v>
      </c>
      <c r="J94" s="17" t="str">
        <f>IF(J$82="","",INDEX('Dữ liệu biểu đồ'!$C$57:$I$57,J$82-2019))</f>
        <v>56,3%</v>
      </c>
      <c r="K94" s="17" t="str">
        <f>IF(K$82="","",INDEX('Dữ liệu biểu đồ'!$C$57:$I$57,K$82-2019))</f>
        <v>57,9%</v>
      </c>
      <c r="L94" s="17" t="str">
        <f>IF(L$82="","",INDEX('Dữ liệu biểu đồ'!$C$57:$I$57,L$82-2019))</f>
        <v>60,7%</v>
      </c>
      <c r="M94" s="18"/>
    </row>
    <row r="95" spans="2:13" ht="20.25" customHeight="1" x14ac:dyDescent="0.25">
      <c r="B95" s="43" t="s">
        <v>474</v>
      </c>
      <c r="C95" s="43"/>
      <c r="D95" s="43"/>
      <c r="E95" s="8" t="s">
        <v>473</v>
      </c>
      <c r="F95" s="9" t="str">
        <f>IF(F$82="","",INDEX('Dữ liệu biểu đồ'!$C$59:$I$59,F$82-2019))</f>
        <v>35%</v>
      </c>
      <c r="G95" s="9" t="str">
        <f>IF(G$82="","",INDEX('Dữ liệu biểu đồ'!$C$59:$I$59,G$82-2019))</f>
        <v>39%</v>
      </c>
      <c r="H95" s="9" t="str">
        <f>IF(H$82="","",INDEX('Dữ liệu biểu đồ'!$C$59:$I$59,H$82-2019))</f>
        <v>42%</v>
      </c>
      <c r="I95" s="9" t="str">
        <f>IF(I$82="","",INDEX('Dữ liệu biểu đồ'!$C$59:$I$59,I$82-2019))</f>
        <v>44%</v>
      </c>
      <c r="J95" s="9" t="str">
        <f>IF(J$82="","",INDEX('Dữ liệu biểu đồ'!$C$59:$I$59,J$82-2019))</f>
        <v>44%</v>
      </c>
      <c r="K95" s="9" t="str">
        <f>IF(K$82="","",INDEX('Dữ liệu biểu đồ'!$C$59:$I$59,K$82-2019))</f>
        <v>42%</v>
      </c>
      <c r="L95" s="9" t="str">
        <f>IF(L$82="","",INDEX('Dữ liệu biểu đồ'!$C$59:$I$59,L$82-2019))</f>
        <v>Không công bố</v>
      </c>
      <c r="M95" s="10"/>
    </row>
    <row r="96" spans="2:13" ht="12.75" customHeight="1" x14ac:dyDescent="0.25">
      <c r="B96" s="44"/>
      <c r="C96" s="44"/>
      <c r="D96" s="44"/>
      <c r="E96" s="11"/>
      <c r="F96" s="12" t="str">
        <f>IF(F$82="","",IF(INDEX('Dữ liệu biểu đồ'!$J$59:$P$59,F$82-2019)="",INDEX('Dữ liệu biểu đồ'!$C$60:$I$60,F$82-2019)&amp;"",HYPERLINK(INDEX('Dữ liệu biểu đồ'!$J$59:$P$59,F$82-2019),INDEX('Dữ liệu biểu đồ'!$C$60:$I$60,F$82-2019))))</f>
        <v>tr. 32</v>
      </c>
      <c r="G96" s="12" t="str">
        <f>IF(G$82="","",IF(INDEX('Dữ liệu biểu đồ'!$J$59:$P$59,G$82-2019)="",INDEX('Dữ liệu biểu đồ'!$C$60:$I$60,G$82-2019)&amp;"",HYPERLINK(INDEX('Dữ liệu biểu đồ'!$J$59:$P$59,G$82-2019),INDEX('Dữ liệu biểu đồ'!$C$60:$I$60,G$82-2019))))</f>
        <v>tr. 33</v>
      </c>
      <c r="H96" s="12" t="str">
        <f>IF(H$82="","",IF(INDEX('Dữ liệu biểu đồ'!$J$59:$P$59,H$82-2019)="",INDEX('Dữ liệu biểu đồ'!$C$60:$I$60,H$82-2019)&amp;"",HYPERLINK(INDEX('Dữ liệu biểu đồ'!$J$59:$P$59,H$82-2019),INDEX('Dữ liệu biểu đồ'!$C$60:$I$60,H$82-2019))))</f>
        <v>tr. 28</v>
      </c>
      <c r="I96" s="12" t="str">
        <f>IF(I$82="","",IF(INDEX('Dữ liệu biểu đồ'!$J$59:$P$59,I$82-2019)="",INDEX('Dữ liệu biểu đồ'!$C$60:$I$60,I$82-2019)&amp;"",HYPERLINK(INDEX('Dữ liệu biểu đồ'!$J$59:$P$59,I$82-2019),INDEX('Dữ liệu biểu đồ'!$C$60:$I$60,I$82-2019))))</f>
        <v>tr. 28</v>
      </c>
      <c r="J96" s="12" t="str">
        <f>IF(J$82="","",IF(INDEX('Dữ liệu biểu đồ'!$J$59:$P$59,J$82-2019)="",INDEX('Dữ liệu biểu đồ'!$C$60:$I$60,J$82-2019)&amp;"",HYPERLINK(INDEX('Dữ liệu biểu đồ'!$J$59:$P$59,J$82-2019),INDEX('Dữ liệu biểu đồ'!$C$60:$I$60,J$82-2019))))</f>
        <v>tr. 30</v>
      </c>
      <c r="K96" s="12" t="str">
        <f>IF(K$82="","",IF(INDEX('Dữ liệu biểu đồ'!$J$59:$P$59,K$82-2019)="",INDEX('Dữ liệu biểu đồ'!$C$60:$I$60,K$82-2019)&amp;"",HYPERLINK(INDEX('Dữ liệu biểu đồ'!$J$59:$P$59,K$82-2019),INDEX('Dữ liệu biểu đồ'!$C$60:$I$60,K$82-2019))))</f>
        <v>tr. 29</v>
      </c>
      <c r="L96" s="12" t="str">
        <f>IF(L$82="","",IF(INDEX('Dữ liệu biểu đồ'!$J$59:$P$59,L$82-2019)="",INDEX('Dữ liệu biểu đồ'!$C$60:$I$60,L$82-2019)&amp;"",HYPERLINK(INDEX('Dữ liệu biểu đồ'!$J$59:$P$59,L$82-2019),INDEX('Dữ liệu biểu đồ'!$C$60:$I$60,L$82-2019))))</f>
        <v/>
      </c>
      <c r="M96" s="11"/>
    </row>
    <row r="97" spans="2:13" ht="20.25" customHeight="1" x14ac:dyDescent="0.25">
      <c r="B97" s="42" t="s">
        <v>458</v>
      </c>
      <c r="C97" s="42"/>
      <c r="D97" s="42"/>
      <c r="E97" s="42"/>
      <c r="F97" s="42"/>
      <c r="G97" s="42"/>
      <c r="H97" s="42"/>
      <c r="I97" s="42"/>
      <c r="J97" s="42"/>
      <c r="K97" s="42"/>
      <c r="L97" s="42"/>
      <c r="M97" s="42"/>
    </row>
    <row r="98" spans="2:13" ht="20.25" customHeight="1" x14ac:dyDescent="0.25">
      <c r="B98" s="46" t="s">
        <v>475</v>
      </c>
      <c r="C98" s="46"/>
      <c r="D98" s="46"/>
      <c r="E98" s="16" t="s">
        <v>473</v>
      </c>
      <c r="F98" s="17" t="str">
        <f>IF(F$82="","",INDEX('Dữ liệu biểu đồ'!$C$61:$I$61,F$82-2019))</f>
        <v>+5,4%</v>
      </c>
      <c r="G98" s="17" t="str">
        <f>IF(G$82="","",INDEX('Dữ liệu biểu đồ'!$C$61:$I$61,G$82-2019))</f>
        <v>+32,2%</v>
      </c>
      <c r="H98" s="17" t="str">
        <f>IF(H$82="","",INDEX('Dữ liệu biểu đồ'!$C$61:$I$61,H$82-2019))</f>
        <v>+14,4%</v>
      </c>
      <c r="I98" s="17" t="str">
        <f>IF(I$82="","",INDEX('Dữ liệu biểu đồ'!$C$61:$I$61,I$82-2019))</f>
        <v>+13,8%</v>
      </c>
      <c r="J98" s="17" t="str">
        <f>IF(J$82="","",INDEX('Dữ liệu biểu đồ'!$C$61:$I$61,J$82-2019))</f>
        <v>+1,0%</v>
      </c>
      <c r="K98" s="17" t="str">
        <f>IF(K$82="","",INDEX('Dữ liệu biểu đồ'!$C$61:$I$61,K$82-2019))</f>
        <v>−12,7%</v>
      </c>
      <c r="L98" s="17" t="str">
        <f>IF(L$82="","",INDEX('Dữ liệu biểu đồ'!$C$61:$I$61,L$82-2019))</f>
        <v>−5,7%</v>
      </c>
      <c r="M98" s="18"/>
    </row>
    <row r="99" spans="2:13" ht="20.25" customHeight="1" x14ac:dyDescent="0.25">
      <c r="B99" s="43" t="s">
        <v>476</v>
      </c>
      <c r="C99" s="43"/>
      <c r="D99" s="43"/>
      <c r="E99" s="8" t="s">
        <v>473</v>
      </c>
      <c r="F99" s="9" t="str">
        <f>IF(F$82="","",INDEX('Dữ liệu biểu đồ'!$C$63:$I$63,F$82-2019))</f>
        <v>+8%</v>
      </c>
      <c r="G99" s="9" t="str">
        <f>IF(G$82="","",INDEX('Dữ liệu biểu đồ'!$C$63:$I$63,G$82-2019))</f>
        <v>+30%</v>
      </c>
      <c r="H99" s="9" t="str">
        <f>IF(H$82="","",INDEX('Dữ liệu biểu đồ'!$C$63:$I$63,H$82-2019))</f>
        <v>+15%</v>
      </c>
      <c r="I99" s="9" t="str">
        <f>IF(I$82="","",INDEX('Dữ liệu biểu đồ'!$C$63:$I$63,I$82-2019))</f>
        <v>+20%</v>
      </c>
      <c r="J99" s="9" t="str">
        <f>IF(J$82="","",INDEX('Dữ liệu biểu đồ'!$C$63:$I$63,J$82-2019))</f>
        <v>+1%</v>
      </c>
      <c r="K99" s="9" t="str">
        <f>IF(K$82="","",INDEX('Dữ liệu biểu đồ'!$C$63:$I$63,K$82-2019))</f>
        <v>−12%</v>
      </c>
      <c r="L99" s="9" t="str">
        <f>IF(L$82="","",INDEX('Dữ liệu biểu đồ'!$C$63:$I$63,L$82-2019))</f>
        <v>−8%</v>
      </c>
      <c r="M99" s="10"/>
    </row>
    <row r="100" spans="2:13" ht="12.75" customHeight="1" x14ac:dyDescent="0.25">
      <c r="B100" s="44"/>
      <c r="C100" s="44"/>
      <c r="D100" s="44"/>
      <c r="E100" s="11"/>
      <c r="F100" s="12" t="str">
        <f>IF(F$82="","",IF(INDEX('Dữ liệu biểu đồ'!$J$63:$P$63,F$82-2019)="",INDEX('Dữ liệu biểu đồ'!$C$64:$I$64,F$82-2019)&amp;"",HYPERLINK(INDEX('Dữ liệu biểu đồ'!$J$63:$P$63,F$82-2019),INDEX('Dữ liệu biểu đồ'!$C$64:$I$64,F$82-2019))))</f>
        <v>tr. 31</v>
      </c>
      <c r="G100" s="12" t="str">
        <f>IF(G$82="","",IF(INDEX('Dữ liệu biểu đồ'!$J$63:$P$63,G$82-2019)="",INDEX('Dữ liệu biểu đồ'!$C$64:$I$64,G$82-2019)&amp;"",HYPERLINK(INDEX('Dữ liệu biểu đồ'!$J$63:$P$63,G$82-2019),INDEX('Dữ liệu biểu đồ'!$C$64:$I$64,G$82-2019))))</f>
        <v>tr. 32</v>
      </c>
      <c r="H100" s="12" t="str">
        <f>IF(H$82="","",IF(INDEX('Dữ liệu biểu đồ'!$J$63:$P$63,H$82-2019)="",INDEX('Dữ liệu biểu đồ'!$C$64:$I$64,H$82-2019)&amp;"",HYPERLINK(INDEX('Dữ liệu biểu đồ'!$J$63:$P$63,H$82-2019),INDEX('Dữ liệu biểu đồ'!$C$64:$I$64,H$82-2019))))</f>
        <v>tr. 32</v>
      </c>
      <c r="I100" s="12" t="str">
        <f>IF(I$82="","",IF(INDEX('Dữ liệu biểu đồ'!$J$63:$P$63,I$82-2019)="",INDEX('Dữ liệu biểu đồ'!$C$64:$I$64,I$82-2019)&amp;"",HYPERLINK(INDEX('Dữ liệu biểu đồ'!$J$63:$P$63,I$82-2019),INDEX('Dữ liệu biểu đồ'!$C$64:$I$64,I$82-2019))))</f>
        <v>tr. 32</v>
      </c>
      <c r="J100" s="12" t="str">
        <f>IF(J$82="","",IF(INDEX('Dữ liệu biểu đồ'!$J$63:$P$63,J$82-2019)="",INDEX('Dữ liệu biểu đồ'!$C$64:$I$64,J$82-2019)&amp;"",HYPERLINK(INDEX('Dữ liệu biểu đồ'!$J$63:$P$63,J$82-2019),INDEX('Dữ liệu biểu đồ'!$C$64:$I$64,J$82-2019))))</f>
        <v>tr. 34</v>
      </c>
      <c r="K100" s="12" t="str">
        <f>IF(K$82="","",IF(INDEX('Dữ liệu biểu đồ'!$J$63:$P$63,K$82-2019)="",INDEX('Dữ liệu biểu đồ'!$C$64:$I$64,K$82-2019)&amp;"",HYPERLINK(INDEX('Dữ liệu biểu đồ'!$J$63:$P$63,K$82-2019),INDEX('Dữ liệu biểu đồ'!$C$64:$I$64,K$82-2019))))</f>
        <v>tr. 33</v>
      </c>
      <c r="L100" s="12" t="str">
        <f>IF(L$82="","",IF(INDEX('Dữ liệu biểu đồ'!$J$63:$P$63,L$82-2019)="",INDEX('Dữ liệu biểu đồ'!$C$64:$I$64,L$82-2019)&amp;"",HYPERLINK(INDEX('Dữ liệu biểu đồ'!$J$63:$P$63,L$82-2019),INDEX('Dữ liệu biểu đồ'!$C$64:$I$64,L$82-2019))))</f>
        <v>tr. 32</v>
      </c>
      <c r="M100" s="11"/>
    </row>
    <row r="101" spans="2:13" ht="20.25" customHeight="1" x14ac:dyDescent="0.25">
      <c r="B101" s="46" t="s">
        <v>477</v>
      </c>
      <c r="C101" s="46"/>
      <c r="D101" s="46"/>
      <c r="E101" s="16" t="s">
        <v>473</v>
      </c>
      <c r="F101" s="17" t="str">
        <f>IF(F$82="","",INDEX('Dữ liệu biểu đồ'!$C$65:$I$65,F$82-2019))</f>
        <v>−8,9%</v>
      </c>
      <c r="G101" s="17" t="str">
        <f>IF(G$82="","",INDEX('Dữ liệu biểu đồ'!$C$65:$I$65,G$82-2019))</f>
        <v>+11,8%</v>
      </c>
      <c r="H101" s="17" t="str">
        <f>IF(H$82="","",INDEX('Dữ liệu biểu đồ'!$C$65:$I$65,H$82-2019))</f>
        <v>−1,1%</v>
      </c>
      <c r="I101" s="17" t="str">
        <f>IF(I$82="","",INDEX('Dữ liệu biểu đồ'!$C$65:$I$65,I$82-2019))</f>
        <v>+7,0%</v>
      </c>
      <c r="J101" s="17" t="str">
        <f>IF(J$82="","",INDEX('Dữ liệu biểu đồ'!$C$65:$I$65,J$82-2019))</f>
        <v>+1,3%</v>
      </c>
      <c r="K101" s="17" t="str">
        <f>IF(K$82="","",INDEX('Dữ liệu biểu đồ'!$C$65:$I$65,K$82-2019))</f>
        <v>−6,8%</v>
      </c>
      <c r="L101" s="17" t="str">
        <f>IF(L$82="","",INDEX('Dữ liệu biểu đồ'!$C$65:$I$65,L$82-2019))</f>
        <v>+6,1%</v>
      </c>
      <c r="M101" s="18"/>
    </row>
    <row r="102" spans="2:13" ht="20.25" customHeight="1" x14ac:dyDescent="0.25">
      <c r="B102" s="43" t="s">
        <v>478</v>
      </c>
      <c r="C102" s="43"/>
      <c r="D102" s="43"/>
      <c r="E102" s="8" t="s">
        <v>473</v>
      </c>
      <c r="F102" s="9" t="str">
        <f>IF(F$82="","",INDEX('Dữ liệu biểu đồ'!$C$67:$I$67,F$82-2019))</f>
        <v>−7%</v>
      </c>
      <c r="G102" s="9" t="str">
        <f>IF(G$82="","",INDEX('Dữ liệu biểu đồ'!$C$67:$I$67,G$82-2019))</f>
        <v>+10%</v>
      </c>
      <c r="H102" s="9" t="str">
        <f>IF(H$82="","",INDEX('Dữ liệu biểu đồ'!$C$67:$I$67,H$82-2019))</f>
        <v>−1%</v>
      </c>
      <c r="I102" s="9" t="str">
        <f>IF(I$82="","",INDEX('Dữ liệu biểu đồ'!$C$67:$I$67,I$82-2019))</f>
        <v>+14%</v>
      </c>
      <c r="J102" s="9" t="str">
        <f>IF(J$82="","",INDEX('Dữ liệu biểu đồ'!$C$67:$I$67,J$82-2019))</f>
        <v>+2%</v>
      </c>
      <c r="K102" s="9" t="str">
        <f>IF(K$82="","",INDEX('Dữ liệu biểu đồ'!$C$67:$I$67,K$82-2019))</f>
        <v>−6%</v>
      </c>
      <c r="L102" s="9" t="str">
        <f>IF(L$82="","",INDEX('Dữ liệu biểu đồ'!$C$67:$I$67,L$82-2019))</f>
        <v>+4%</v>
      </c>
      <c r="M102" s="10"/>
    </row>
    <row r="103" spans="2:13" ht="12.75" customHeight="1" x14ac:dyDescent="0.25">
      <c r="B103" s="44"/>
      <c r="C103" s="44"/>
      <c r="D103" s="44"/>
      <c r="E103" s="11"/>
      <c r="F103" s="12" t="str">
        <f>IF(F$82="","",IF(INDEX('Dữ liệu biểu đồ'!$J$67:$P$67,F$82-2019)="",INDEX('Dữ liệu biểu đồ'!$C$68:$I$68,F$82-2019)&amp;"",HYPERLINK(INDEX('Dữ liệu biểu đồ'!$J$67:$P$67,F$82-2019),INDEX('Dữ liệu biểu đồ'!$C$68:$I$68,F$82-2019))))</f>
        <v>tr. 31</v>
      </c>
      <c r="G103" s="12" t="str">
        <f>IF(G$82="","",IF(INDEX('Dữ liệu biểu đồ'!$J$67:$P$67,G$82-2019)="",INDEX('Dữ liệu biểu đồ'!$C$68:$I$68,G$82-2019)&amp;"",HYPERLINK(INDEX('Dữ liệu biểu đồ'!$J$67:$P$67,G$82-2019),INDEX('Dữ liệu biểu đồ'!$C$68:$I$68,G$82-2019))))</f>
        <v>tr. 32</v>
      </c>
      <c r="H103" s="12" t="str">
        <f>IF(H$82="","",IF(INDEX('Dữ liệu biểu đồ'!$J$67:$P$67,H$82-2019)="",INDEX('Dữ liệu biểu đồ'!$C$68:$I$68,H$82-2019)&amp;"",HYPERLINK(INDEX('Dữ liệu biểu đồ'!$J$67:$P$67,H$82-2019),INDEX('Dữ liệu biểu đồ'!$C$68:$I$68,H$82-2019))))</f>
        <v>tr. 32</v>
      </c>
      <c r="I103" s="12" t="str">
        <f>IF(I$82="","",IF(INDEX('Dữ liệu biểu đồ'!$J$67:$P$67,I$82-2019)="",INDEX('Dữ liệu biểu đồ'!$C$68:$I$68,I$82-2019)&amp;"",HYPERLINK(INDEX('Dữ liệu biểu đồ'!$J$67:$P$67,I$82-2019),INDEX('Dữ liệu biểu đồ'!$C$68:$I$68,I$82-2019))))</f>
        <v>tr. 32</v>
      </c>
      <c r="J103" s="12" t="str">
        <f>IF(J$82="","",IF(INDEX('Dữ liệu biểu đồ'!$J$67:$P$67,J$82-2019)="",INDEX('Dữ liệu biểu đồ'!$C$68:$I$68,J$82-2019)&amp;"",HYPERLINK(INDEX('Dữ liệu biểu đồ'!$J$67:$P$67,J$82-2019),INDEX('Dữ liệu biểu đồ'!$C$68:$I$68,J$82-2019))))</f>
        <v>tr. 34</v>
      </c>
      <c r="K103" s="12" t="str">
        <f>IF(K$82="","",IF(INDEX('Dữ liệu biểu đồ'!$J$67:$P$67,K$82-2019)="",INDEX('Dữ liệu biểu đồ'!$C$68:$I$68,K$82-2019)&amp;"",HYPERLINK(INDEX('Dữ liệu biểu đồ'!$J$67:$P$67,K$82-2019),INDEX('Dữ liệu biểu đồ'!$C$68:$I$68,K$82-2019))))</f>
        <v>tr. 33</v>
      </c>
      <c r="L103" s="12" t="str">
        <f>IF(L$82="","",IF(INDEX('Dữ liệu biểu đồ'!$J$67:$P$67,L$82-2019)="",INDEX('Dữ liệu biểu đồ'!$C$68:$I$68,L$82-2019)&amp;"",HYPERLINK(INDEX('Dữ liệu biểu đồ'!$J$67:$P$67,L$82-2019),INDEX('Dữ liệu biểu đồ'!$C$68:$I$68,L$82-2019))))</f>
        <v>tr. 32</v>
      </c>
      <c r="M103" s="11"/>
    </row>
    <row r="104" spans="2:13" ht="20.25" customHeight="1" x14ac:dyDescent="0.25">
      <c r="B104" s="46" t="s">
        <v>479</v>
      </c>
      <c r="C104" s="46"/>
      <c r="D104" s="46"/>
      <c r="E104" s="16" t="s">
        <v>473</v>
      </c>
      <c r="F104" s="17" t="str">
        <f>IF(F$82="","",INDEX('Dữ liệu biểu đồ'!$C$69:$I$69,F$82-2019))</f>
        <v>−4,4%</v>
      </c>
      <c r="G104" s="17" t="str">
        <f>IF(G$82="","",INDEX('Dữ liệu biểu đồ'!$C$69:$I$69,G$82-2019))</f>
        <v>+18,9%</v>
      </c>
      <c r="H104" s="17" t="str">
        <f>IF(H$82="","",INDEX('Dữ liệu biểu đồ'!$C$69:$I$69,H$82-2019))</f>
        <v>+5,1%</v>
      </c>
      <c r="I104" s="17" t="str">
        <f>IF(I$82="","",INDEX('Dữ liệu biểu đồ'!$C$69:$I$69,I$82-2019))</f>
        <v>+9,7%</v>
      </c>
      <c r="J104" s="17" t="str">
        <f>IF(J$82="","",INDEX('Dữ liệu biểu đồ'!$C$69:$I$69,J$82-2019))</f>
        <v>+1,1%</v>
      </c>
      <c r="K104" s="17" t="str">
        <f>IF(K$82="","",INDEX('Dữ liệu biểu đồ'!$C$69:$I$69,K$82-2019))</f>
        <v>−9,3%</v>
      </c>
      <c r="L104" s="17" t="str">
        <f>IF(L$82="","",INDEX('Dữ liệu biểu đồ'!$C$69:$I$69,L$82-2019))</f>
        <v>+1,1%</v>
      </c>
      <c r="M104" s="18"/>
    </row>
    <row r="105" spans="2:13" ht="20.25" customHeight="1" x14ac:dyDescent="0.25">
      <c r="B105" s="42" t="s">
        <v>480</v>
      </c>
      <c r="C105" s="42"/>
      <c r="D105" s="42"/>
      <c r="E105" s="42"/>
      <c r="F105" s="42"/>
      <c r="G105" s="42"/>
      <c r="H105" s="42"/>
      <c r="I105" s="42"/>
      <c r="J105" s="42"/>
      <c r="K105" s="42"/>
      <c r="L105" s="42"/>
      <c r="M105" s="42"/>
    </row>
    <row r="106" spans="2:13" ht="20.25" customHeight="1" x14ac:dyDescent="0.25">
      <c r="B106" s="43" t="s">
        <v>481</v>
      </c>
      <c r="C106" s="43"/>
      <c r="D106" s="43"/>
      <c r="E106" s="8" t="s">
        <v>482</v>
      </c>
      <c r="F106" s="9" t="str">
        <f>IF(F$82="","",INDEX('Dữ liệu biểu đồ'!$C$71:$I$71,F$82-2019))</f>
        <v>5,5</v>
      </c>
      <c r="G106" s="9" t="str">
        <f>IF(G$82="","",INDEX('Dữ liệu biểu đồ'!$C$71:$I$71,G$82-2019))</f>
        <v>9,1</v>
      </c>
      <c r="H106" s="9" t="str">
        <f>IF(H$82="","",INDEX('Dữ liệu biểu đồ'!$C$71:$I$71,H$82-2019))</f>
        <v>10,7</v>
      </c>
      <c r="I106" s="9" t="str">
        <f>IF(I$82="","",INDEX('Dữ liệu biểu đồ'!$C$71:$I$71,I$82-2019))</f>
        <v>12,6</v>
      </c>
      <c r="J106" s="9" t="str">
        <f>IF(J$82="","",INDEX('Dữ liệu biểu đồ'!$C$71:$I$71,J$82-2019))</f>
        <v>12,1</v>
      </c>
      <c r="K106" s="9" t="str">
        <f>IF(K$82="","",INDEX('Dữ liệu biểu đồ'!$C$71:$I$71,K$82-2019))</f>
        <v>9,6</v>
      </c>
      <c r="L106" s="9" t="str">
        <f>IF(L$82="","",INDEX('Dữ liệu biểu đồ'!$C$71:$I$71,L$82-2019))</f>
        <v>8,6</v>
      </c>
      <c r="M106" s="10"/>
    </row>
    <row r="107" spans="2:13" ht="12.75" customHeight="1" x14ac:dyDescent="0.25">
      <c r="B107" s="44"/>
      <c r="C107" s="44"/>
      <c r="D107" s="44"/>
      <c r="E107" s="11"/>
      <c r="F107" s="12" t="str">
        <f>IF(F$82="","",IF(INDEX('Dữ liệu biểu đồ'!$J$71:$P$71,F$82-2019)="",INDEX('Dữ liệu biểu đồ'!$C$72:$I$72,F$82-2019)&amp;"",HYPERLINK(INDEX('Dữ liệu biểu đồ'!$J$71:$P$71,F$82-2019),INDEX('Dữ liệu biểu đồ'!$C$72:$I$72,F$82-2019))))</f>
        <v>tr. 32</v>
      </c>
      <c r="G107" s="12" t="str">
        <f>IF(G$82="","",IF(INDEX('Dữ liệu biểu đồ'!$J$71:$P$71,G$82-2019)="",INDEX('Dữ liệu biểu đồ'!$C$72:$I$72,G$82-2019)&amp;"",HYPERLINK(INDEX('Dữ liệu biểu đồ'!$J$71:$P$71,G$82-2019),INDEX('Dữ liệu biểu đồ'!$C$72:$I$72,G$82-2019))))</f>
        <v>tr. 33</v>
      </c>
      <c r="H107" s="12" t="str">
        <f>IF(H$82="","",IF(INDEX('Dữ liệu biểu đồ'!$J$71:$P$71,H$82-2019)="",INDEX('Dữ liệu biểu đồ'!$C$72:$I$72,H$82-2019)&amp;"",HYPERLINK(INDEX('Dữ liệu biểu đồ'!$J$71:$P$71,H$82-2019),INDEX('Dữ liệu biểu đồ'!$C$72:$I$72,H$82-2019))))</f>
        <v>tr. 33</v>
      </c>
      <c r="I107" s="12" t="str">
        <f>IF(I$82="","",IF(INDEX('Dữ liệu biểu đồ'!$J$71:$P$71,I$82-2019)="",INDEX('Dữ liệu biểu đồ'!$C$72:$I$72,I$82-2019)&amp;"",HYPERLINK(INDEX('Dữ liệu biểu đồ'!$J$71:$P$71,I$82-2019),INDEX('Dữ liệu biểu đồ'!$C$72:$I$72,I$82-2019))))</f>
        <v>tr. 33</v>
      </c>
      <c r="J107" s="12" t="str">
        <f>IF(J$82="","",IF(INDEX('Dữ liệu biểu đồ'!$J$71:$P$71,J$82-2019)="",INDEX('Dữ liệu biểu đồ'!$C$72:$I$72,J$82-2019)&amp;"",HYPERLINK(INDEX('Dữ liệu biểu đồ'!$J$71:$P$71,J$82-2019),INDEX('Dữ liệu biểu đồ'!$C$72:$I$72,J$82-2019))))</f>
        <v>tr. 35</v>
      </c>
      <c r="K107" s="12" t="str">
        <f>IF(K$82="","",IF(INDEX('Dữ liệu biểu đồ'!$J$71:$P$71,K$82-2019)="",INDEX('Dữ liệu biểu đồ'!$C$72:$I$72,K$82-2019)&amp;"",HYPERLINK(INDEX('Dữ liệu biểu đồ'!$J$71:$P$71,K$82-2019),INDEX('Dữ liệu biểu đồ'!$C$72:$I$72,K$82-2019))))</f>
        <v>tr. 34</v>
      </c>
      <c r="L107" s="12" t="str">
        <f>IF(L$82="","",IF(INDEX('Dữ liệu biểu đồ'!$J$71:$P$71,L$82-2019)="",INDEX('Dữ liệu biểu đồ'!$C$72:$I$72,L$82-2019)&amp;"",HYPERLINK(INDEX('Dữ liệu biểu đồ'!$J$71:$P$71,L$82-2019),INDEX('Dữ liệu biểu đồ'!$C$72:$I$72,L$82-2019))))</f>
        <v>tr. 33</v>
      </c>
      <c r="M107" s="11"/>
    </row>
    <row r="108" spans="2:13" ht="20.25" customHeight="1" x14ac:dyDescent="0.25">
      <c r="B108" s="46" t="s">
        <v>483</v>
      </c>
      <c r="C108" s="46"/>
      <c r="D108" s="46"/>
      <c r="E108" s="16" t="s">
        <v>473</v>
      </c>
      <c r="F108" s="17" t="str">
        <f>IF(F$82="","",INDEX('Dữ liệu biểu đồ'!$C$73:$I$73,F$82-2019))</f>
        <v>44%</v>
      </c>
      <c r="G108" s="17" t="str">
        <f>IF(G$82="","",INDEX('Dữ liệu biểu đồ'!$C$73:$I$73,G$82-2019))</f>
        <v>56%</v>
      </c>
      <c r="H108" s="17" t="str">
        <f>IF(H$82="","",INDEX('Dữ liệu biểu đồ'!$C$73:$I$73,H$82-2019))</f>
        <v>57%</v>
      </c>
      <c r="I108" s="17" t="str">
        <f>IF(I$82="","",INDEX('Dữ liệu biểu đồ'!$C$73:$I$73,I$82-2019))</f>
        <v>59%</v>
      </c>
      <c r="J108" s="17" t="str">
        <f>IF(J$82="","",INDEX('Dữ liệu biểu đồ'!$C$73:$I$73,J$82-2019))</f>
        <v>56%</v>
      </c>
      <c r="K108" s="17" t="str">
        <f>IF(K$82="","",INDEX('Dữ liệu biểu đồ'!$C$73:$I$73,K$82-2019))</f>
        <v>51%</v>
      </c>
      <c r="L108" s="17" t="str">
        <f>IF(L$82="","",INDEX('Dữ liệu biểu đồ'!$C$73:$I$73,L$82-2019))</f>
        <v>49%</v>
      </c>
      <c r="M108" s="18"/>
    </row>
  </sheetData>
  <mergeCells count="50">
    <mergeCell ref="B105:M105"/>
    <mergeCell ref="B106:D106"/>
    <mergeCell ref="B107:D107"/>
    <mergeCell ref="B108:D108"/>
    <mergeCell ref="B100:D100"/>
    <mergeCell ref="B101:D101"/>
    <mergeCell ref="B102:D102"/>
    <mergeCell ref="B103:D103"/>
    <mergeCell ref="B104:D104"/>
    <mergeCell ref="B95:D95"/>
    <mergeCell ref="B96:D96"/>
    <mergeCell ref="B97:M97"/>
    <mergeCell ref="B98:D98"/>
    <mergeCell ref="B99:D99"/>
    <mergeCell ref="B90:D90"/>
    <mergeCell ref="B91:D91"/>
    <mergeCell ref="B92:M92"/>
    <mergeCell ref="B93:D93"/>
    <mergeCell ref="B94:D94"/>
    <mergeCell ref="B85:D85"/>
    <mergeCell ref="B86:D86"/>
    <mergeCell ref="B87:D87"/>
    <mergeCell ref="B88:D88"/>
    <mergeCell ref="B89:D89"/>
    <mergeCell ref="B80:M80"/>
    <mergeCell ref="B81:M81"/>
    <mergeCell ref="B82:D82"/>
    <mergeCell ref="B83:M83"/>
    <mergeCell ref="B84:D84"/>
    <mergeCell ref="B59:G59"/>
    <mergeCell ref="H59:M59"/>
    <mergeCell ref="B61:G61"/>
    <mergeCell ref="B62:G62"/>
    <mergeCell ref="B78:G78"/>
    <mergeCell ref="H61:M78"/>
    <mergeCell ref="B38:M38"/>
    <mergeCell ref="B40:G40"/>
    <mergeCell ref="B41:G41"/>
    <mergeCell ref="H40:M40"/>
    <mergeCell ref="H41:M41"/>
    <mergeCell ref="B12:G16"/>
    <mergeCell ref="I12:M12"/>
    <mergeCell ref="I13:M16"/>
    <mergeCell ref="B19:M19"/>
    <mergeCell ref="B20:M20"/>
    <mergeCell ref="B2:I2"/>
    <mergeCell ref="B3:I4"/>
    <mergeCell ref="B6:C6"/>
    <mergeCell ref="D6:E6"/>
    <mergeCell ref="J8:M10"/>
  </mergeCells>
  <hyperlinks>
    <hyperlink ref="M2" r:id="rId1" xr:uid="{00000000-0004-0000-0000-000000000000}"/>
    <hyperlink ref="M3" location="'Nguồn và phương pháp'!A1" display="Nguồn và phương pháp" xr:uid="{00000000-0004-0000-0000-000001000000}"/>
    <hyperlink ref="M4" r:id="rId2" xr:uid="{00000000-0004-0000-0000-000002000000}"/>
    <hyperlink ref="D6" location="'Kết quả tài chính'!A1" display="Kết quả tài chính" xr:uid="{00000000-0004-0000-0000-000003000000}"/>
  </hyperlinks>
  <pageMargins left="0.3" right="0.3" top="0.4" bottom="0.4" header="0.3" footer="0.3"/>
  <pageSetup paperSize="9" scale="79" orientation="landscape"/>
  <rowBreaks count="2" manualBreakCount="2">
    <brk id="39" max="16383" man="1"/>
    <brk id="79" max="16383" man="1"/>
  </rowBreaks>
  <drawing r:id="rId3"/>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M103"/>
  <sheetViews>
    <sheetView showGridLines="0" workbookViewId="0"/>
  </sheetViews>
  <sheetFormatPr defaultRowHeight="15" customHeight="1" x14ac:dyDescent="0.25"/>
  <cols>
    <col min="1" max="1" width="3.453125" customWidth="1"/>
    <col min="2" max="13" width="14.26953125" customWidth="1"/>
    <col min="14" max="14" width="3.453125" customWidth="1"/>
  </cols>
  <sheetData>
    <row r="1" spans="2:13" ht="9" customHeight="1" x14ac:dyDescent="0.25"/>
    <row r="2" spans="2:13" ht="36" customHeight="1" x14ac:dyDescent="0.25">
      <c r="B2" s="28" t="s">
        <v>446</v>
      </c>
      <c r="C2" s="28"/>
      <c r="D2" s="28"/>
      <c r="E2" s="28"/>
      <c r="F2" s="28"/>
      <c r="G2" s="28"/>
      <c r="H2" s="28"/>
      <c r="I2" s="28"/>
      <c r="M2" s="1" t="s">
        <v>448</v>
      </c>
    </row>
    <row r="3" spans="2:13" ht="15" customHeight="1" x14ac:dyDescent="0.25">
      <c r="B3" s="29" t="s">
        <v>447</v>
      </c>
      <c r="C3" s="29"/>
      <c r="D3" s="29"/>
      <c r="E3" s="29"/>
      <c r="F3" s="29"/>
      <c r="G3" s="29"/>
      <c r="H3" s="29"/>
      <c r="I3" s="29"/>
      <c r="M3" s="1" t="s">
        <v>449</v>
      </c>
    </row>
    <row r="4" spans="2:13" ht="15" customHeight="1" x14ac:dyDescent="0.25">
      <c r="B4" s="29"/>
      <c r="C4" s="29"/>
      <c r="D4" s="29"/>
      <c r="E4" s="29"/>
      <c r="F4" s="29"/>
      <c r="G4" s="29"/>
      <c r="H4" s="29"/>
      <c r="I4" s="29"/>
      <c r="M4" s="1" t="s">
        <v>450</v>
      </c>
    </row>
    <row r="5" spans="2:13" ht="9" customHeight="1" x14ac:dyDescent="0.25"/>
    <row r="6" spans="2:13" ht="27" customHeight="1" x14ac:dyDescent="0.25">
      <c r="B6" s="31" t="s">
        <v>118</v>
      </c>
      <c r="C6" s="31"/>
      <c r="D6" s="30" t="s">
        <v>247</v>
      </c>
      <c r="E6" s="30"/>
      <c r="F6" s="2"/>
      <c r="G6" s="2"/>
      <c r="H6" s="2"/>
      <c r="I6" s="2"/>
      <c r="J6" s="2"/>
      <c r="K6" s="2"/>
      <c r="L6" s="2"/>
      <c r="M6" s="2"/>
    </row>
    <row r="7" spans="2:13" ht="9" customHeight="1" x14ac:dyDescent="0.25"/>
    <row r="8" spans="2:13" ht="18" customHeight="1" x14ac:dyDescent="0.25">
      <c r="J8" s="32" t="s">
        <v>451</v>
      </c>
      <c r="K8" s="32"/>
      <c r="L8" s="32"/>
      <c r="M8" s="32"/>
    </row>
    <row r="9" spans="2:13" ht="18" customHeight="1" x14ac:dyDescent="0.25">
      <c r="J9" s="32"/>
      <c r="K9" s="32"/>
      <c r="L9" s="32"/>
      <c r="M9" s="32"/>
    </row>
    <row r="10" spans="2:13" ht="18" customHeight="1" x14ac:dyDescent="0.25">
      <c r="J10" s="32"/>
      <c r="K10" s="32"/>
      <c r="L10" s="32"/>
      <c r="M10" s="32"/>
    </row>
    <row r="11" spans="2:13" ht="12" customHeight="1" x14ac:dyDescent="0.25"/>
    <row r="12" spans="2:13" ht="15" customHeight="1" x14ac:dyDescent="0.25">
      <c r="B12" s="33" t="s">
        <v>484</v>
      </c>
      <c r="C12" s="33"/>
      <c r="D12" s="33"/>
      <c r="E12" s="33"/>
      <c r="F12" s="33"/>
      <c r="G12" s="33"/>
      <c r="I12" s="34" t="s">
        <v>453</v>
      </c>
      <c r="J12" s="34"/>
      <c r="K12" s="34"/>
      <c r="L12" s="34"/>
      <c r="M12" s="34"/>
    </row>
    <row r="13" spans="2:13" ht="21" customHeight="1" x14ac:dyDescent="0.25">
      <c r="B13" s="33"/>
      <c r="C13" s="33"/>
      <c r="D13" s="33"/>
      <c r="E13" s="33"/>
      <c r="F13" s="33"/>
      <c r="G13" s="33"/>
      <c r="I13" s="35" t="str">
        <f>'Dữ liệu biểu đồ'!$C$28</f>
        <v>Doanh thu NIKE, Inc. đi từ 37,4 (FY2020) đến 46,4 tỷ USD (FY2026). Biên lợi nhuận gộp là 43,4% (FY2020) và 42,9% (FY2026), còn biên EBIT (non‑GAAP) là 8,0% (FY2020) và 8,3% (FY2026), cao nhất 15,5% (FY2021). Hàng tồn kho cuối kỳ đi từ 7,4 đến 7,5 tỷ USD.</v>
      </c>
      <c r="J13" s="35"/>
      <c r="K13" s="35"/>
      <c r="L13" s="35"/>
      <c r="M13" s="35"/>
    </row>
    <row r="14" spans="2:13" ht="21" customHeight="1" x14ac:dyDescent="0.25">
      <c r="B14" s="33"/>
      <c r="C14" s="33"/>
      <c r="D14" s="33"/>
      <c r="E14" s="33"/>
      <c r="F14" s="33"/>
      <c r="G14" s="33"/>
      <c r="I14" s="35"/>
      <c r="J14" s="35"/>
      <c r="K14" s="35"/>
      <c r="L14" s="35"/>
      <c r="M14" s="35"/>
    </row>
    <row r="15" spans="2:13" ht="21" customHeight="1" x14ac:dyDescent="0.25">
      <c r="B15" s="33"/>
      <c r="C15" s="33"/>
      <c r="D15" s="33"/>
      <c r="E15" s="33"/>
      <c r="F15" s="33"/>
      <c r="G15" s="33"/>
      <c r="I15" s="35"/>
      <c r="J15" s="35"/>
      <c r="K15" s="35"/>
      <c r="L15" s="35"/>
      <c r="M15" s="35"/>
    </row>
    <row r="16" spans="2:13" ht="21" customHeight="1" x14ac:dyDescent="0.25">
      <c r="B16" s="33"/>
      <c r="C16" s="33"/>
      <c r="D16" s="33"/>
      <c r="E16" s="33"/>
      <c r="F16" s="33"/>
      <c r="G16" s="33"/>
      <c r="I16" s="35"/>
      <c r="J16" s="35"/>
      <c r="K16" s="35"/>
      <c r="L16" s="35"/>
      <c r="M16" s="35"/>
    </row>
    <row r="17" spans="2:13" ht="9" customHeight="1" x14ac:dyDescent="0.25">
      <c r="B17" s="4"/>
      <c r="C17" s="4"/>
      <c r="D17" s="4"/>
      <c r="E17" s="4"/>
      <c r="F17" s="4"/>
      <c r="G17" s="4"/>
      <c r="H17" s="4"/>
      <c r="I17" s="4"/>
      <c r="J17" s="4"/>
      <c r="K17" s="4"/>
      <c r="L17" s="4"/>
      <c r="M17" s="4"/>
    </row>
    <row r="19" spans="2:13" ht="18.75" customHeight="1" x14ac:dyDescent="0.25">
      <c r="B19" s="36" t="s">
        <v>485</v>
      </c>
      <c r="C19" s="36"/>
      <c r="D19" s="36"/>
      <c r="E19" s="36"/>
      <c r="F19" s="36" t="s">
        <v>17</v>
      </c>
      <c r="G19" s="36"/>
      <c r="H19" s="36"/>
      <c r="I19" s="36"/>
      <c r="J19" s="36" t="s">
        <v>488</v>
      </c>
      <c r="K19" s="36"/>
      <c r="L19" s="36"/>
      <c r="M19" s="36"/>
    </row>
    <row r="20" spans="2:13" ht="27" customHeight="1" x14ac:dyDescent="0.25">
      <c r="B20" s="37" t="s">
        <v>486</v>
      </c>
      <c r="C20" s="37"/>
      <c r="D20" s="37"/>
      <c r="E20" s="37"/>
      <c r="F20" s="37" t="s">
        <v>487</v>
      </c>
      <c r="G20" s="37"/>
      <c r="H20" s="37"/>
      <c r="I20" s="37"/>
      <c r="J20" s="37" t="s">
        <v>489</v>
      </c>
      <c r="K20" s="37"/>
      <c r="L20" s="37"/>
      <c r="M20" s="37"/>
    </row>
    <row r="34" spans="2:13" ht="38.25" customHeight="1" x14ac:dyDescent="0.25">
      <c r="B34" s="38" t="str">
        <f>"Nguồn: Consolidated Statements of Income."&amp;'Dữ liệu biểu đồ'!$C$31</f>
        <v>Nguồn: Consolidated Statements of Income. Báo cáo: 10‑K FY2020–FY2026 (danh sách ở sheet “Nguồn và phương pháp”).</v>
      </c>
      <c r="C34" s="38"/>
      <c r="D34" s="38"/>
      <c r="E34" s="38"/>
      <c r="F34" s="38" t="str">
        <f>"Nguồn: Consolidated Statements of Income. Biên lợi nhuận gộp do nhóm tự tính."&amp;'Dữ liệu biểu đồ'!$C$31</f>
        <v>Nguồn: Consolidated Statements of Income. Biên lợi nhuận gộp do nhóm tự tính. Báo cáo: 10‑K FY2020–FY2026 (danh sách ở sheet “Nguồn và phương pháp”).</v>
      </c>
      <c r="G34" s="38"/>
      <c r="H34" s="38"/>
      <c r="I34" s="38"/>
      <c r="J34" s="38" t="str">
        <f>"Nguồn: Consolidated Statements of Income. Tỷ lệ do nhóm tự tính. Nhãn trên cột là tổng SG&amp;A / doanh thu."&amp;'Dữ liệu biểu đồ'!$C$31</f>
        <v>Nguồn: Consolidated Statements of Income. Tỷ lệ do nhóm tự tính. Nhãn trên cột là tổng SG&amp;A / doanh thu. Báo cáo: 10‑K FY2020–FY2026 (danh sách ở sheet “Nguồn và phương pháp”).</v>
      </c>
      <c r="K34" s="38"/>
      <c r="L34" s="38"/>
      <c r="M34" s="38"/>
    </row>
    <row r="36" spans="2:13" ht="18.75" customHeight="1" x14ac:dyDescent="0.25">
      <c r="B36" s="36" t="s">
        <v>490</v>
      </c>
      <c r="C36" s="36"/>
      <c r="D36" s="36"/>
      <c r="E36" s="36"/>
      <c r="F36" s="36" t="s">
        <v>492</v>
      </c>
      <c r="G36" s="36"/>
      <c r="H36" s="36"/>
      <c r="I36" s="36"/>
      <c r="J36" s="36" t="s">
        <v>23</v>
      </c>
      <c r="K36" s="36"/>
      <c r="L36" s="36"/>
      <c r="M36" s="36"/>
    </row>
    <row r="37" spans="2:13" ht="27" customHeight="1" x14ac:dyDescent="0.25">
      <c r="B37" s="37" t="s">
        <v>491</v>
      </c>
      <c r="C37" s="37"/>
      <c r="D37" s="37"/>
      <c r="E37" s="37"/>
      <c r="F37" s="37" t="s">
        <v>493</v>
      </c>
      <c r="G37" s="37"/>
      <c r="H37" s="37"/>
      <c r="I37" s="37"/>
      <c r="J37" s="37" t="s">
        <v>494</v>
      </c>
      <c r="K37" s="37"/>
      <c r="L37" s="37"/>
      <c r="M37" s="37"/>
    </row>
    <row r="51" spans="2:13" ht="38.25" customHeight="1" x14ac:dyDescent="0.25">
      <c r="B51" s="38" t="str">
        <f>"Nguồn: bảng EBIT trong MD&amp;A (Item 7) và Consolidated Statements of Income. Biên EBIT do nhóm tự tính."&amp;'Dữ liệu biểu đồ'!$C$31</f>
        <v>Nguồn: bảng EBIT trong MD&amp;A (Item 7) và Consolidated Statements of Income. Biên EBIT do nhóm tự tính. Báo cáo: 10‑K FY2020–FY2026 (danh sách ở sheet “Nguồn và phương pháp”).</v>
      </c>
      <c r="C51" s="38"/>
      <c r="D51" s="38"/>
      <c r="E51" s="38"/>
      <c r="F51" s="38" t="str">
        <f>"Nguồn: Consolidated Balance Sheets."&amp;'Dữ liệu biểu đồ'!$C$31</f>
        <v>Nguồn: Consolidated Balance Sheets. Báo cáo: 10‑K FY2020–FY2026 (danh sách ở sheet “Nguồn và phương pháp”).</v>
      </c>
      <c r="G51" s="38"/>
      <c r="H51" s="38"/>
      <c r="I51" s="38"/>
      <c r="J51" s="38" t="str">
        <f>"Nguồn: Consolidated Balance Sheets và Statements of Income. Chỉ số do nhóm tự tính."&amp;'Dữ liệu biểu đồ'!$C$31</f>
        <v>Nguồn: Consolidated Balance Sheets và Statements of Income. Chỉ số do nhóm tự tính. Báo cáo: 10‑K FY2020–FY2026 (danh sách ở sheet “Nguồn và phương pháp”).</v>
      </c>
      <c r="K51" s="38"/>
      <c r="L51" s="38"/>
      <c r="M51" s="38"/>
    </row>
    <row r="53" spans="2:13" ht="20.25" customHeight="1" x14ac:dyDescent="0.25">
      <c r="B53" s="36" t="s">
        <v>495</v>
      </c>
      <c r="C53" s="36"/>
      <c r="D53" s="36"/>
      <c r="E53" s="36"/>
      <c r="F53" s="36"/>
      <c r="G53" s="36"/>
      <c r="H53" s="36"/>
      <c r="I53" s="36"/>
      <c r="J53" s="36"/>
      <c r="K53" s="36"/>
      <c r="L53" s="36"/>
      <c r="M53" s="36"/>
    </row>
    <row r="54" spans="2:13" ht="27" customHeight="1" x14ac:dyDescent="0.25">
      <c r="B54" s="39" t="s">
        <v>496</v>
      </c>
      <c r="C54" s="39"/>
      <c r="D54" s="39"/>
      <c r="E54" s="39"/>
      <c r="F54" s="39" t="s">
        <v>497</v>
      </c>
      <c r="G54" s="39"/>
      <c r="H54" s="39"/>
      <c r="I54" s="39"/>
      <c r="J54" s="39" t="s">
        <v>498</v>
      </c>
      <c r="K54" s="39"/>
      <c r="L54" s="39"/>
      <c r="M54" s="39"/>
    </row>
    <row r="55" spans="2:13" ht="27" customHeight="1" x14ac:dyDescent="0.25">
      <c r="B55" s="39"/>
      <c r="C55" s="39"/>
      <c r="D55" s="39"/>
      <c r="E55" s="39"/>
      <c r="F55" s="39"/>
      <c r="G55" s="39"/>
      <c r="H55" s="39"/>
      <c r="I55" s="39"/>
      <c r="J55" s="39"/>
      <c r="K55" s="39"/>
      <c r="L55" s="39"/>
      <c r="M55" s="39"/>
    </row>
    <row r="56" spans="2:13" ht="27" customHeight="1" x14ac:dyDescent="0.25">
      <c r="B56" s="39"/>
      <c r="C56" s="39"/>
      <c r="D56" s="39"/>
      <c r="E56" s="39"/>
      <c r="F56" s="39"/>
      <c r="G56" s="39"/>
      <c r="H56" s="39"/>
      <c r="I56" s="39"/>
      <c r="J56" s="39"/>
      <c r="K56" s="39"/>
      <c r="L56" s="39"/>
      <c r="M56" s="39"/>
    </row>
    <row r="57" spans="2:13" ht="27" customHeight="1" x14ac:dyDescent="0.25">
      <c r="B57" s="39"/>
      <c r="C57" s="39"/>
      <c r="D57" s="39"/>
      <c r="E57" s="39"/>
      <c r="F57" s="39"/>
      <c r="G57" s="39"/>
      <c r="H57" s="39"/>
      <c r="I57" s="39"/>
      <c r="J57" s="39"/>
      <c r="K57" s="39"/>
      <c r="L57" s="39"/>
      <c r="M57" s="39"/>
    </row>
    <row r="59" spans="2:13" ht="21.75" customHeight="1" x14ac:dyDescent="0.25">
      <c r="B59" s="40" t="s">
        <v>499</v>
      </c>
      <c r="C59" s="40"/>
      <c r="D59" s="40"/>
      <c r="E59" s="40"/>
      <c r="F59" s="40"/>
      <c r="G59" s="40"/>
      <c r="H59" s="40"/>
      <c r="I59" s="40"/>
      <c r="J59" s="40"/>
      <c r="K59" s="40"/>
      <c r="L59" s="40"/>
      <c r="M59" s="40"/>
    </row>
    <row r="60" spans="2:13" ht="18" customHeight="1" x14ac:dyDescent="0.25">
      <c r="B60" s="34" t="s">
        <v>500</v>
      </c>
      <c r="C60" s="34"/>
      <c r="D60" s="34"/>
      <c r="E60" s="34"/>
      <c r="F60" s="34"/>
      <c r="G60" s="34"/>
      <c r="H60" s="34"/>
      <c r="I60" s="34"/>
      <c r="J60" s="34"/>
      <c r="K60" s="34"/>
      <c r="L60" s="34"/>
      <c r="M60" s="34"/>
    </row>
    <row r="61" spans="2:13" ht="20.25" customHeight="1" x14ac:dyDescent="0.3">
      <c r="B61" s="41" t="s">
        <v>464</v>
      </c>
      <c r="C61" s="41"/>
      <c r="D61" s="41"/>
      <c r="E61" s="6" t="s">
        <v>465</v>
      </c>
      <c r="F61" s="7">
        <f>IFERROR(_xlfn.AGGREGATE(15,5,'Dữ liệu biểu đồ'!$B$5:$B$11,1),"")</f>
        <v>2020</v>
      </c>
      <c r="G61" s="7">
        <f>IFERROR(_xlfn.AGGREGATE(15,5,'Dữ liệu biểu đồ'!$B$5:$B$11,2),"")</f>
        <v>2021</v>
      </c>
      <c r="H61" s="7">
        <f>IFERROR(_xlfn.AGGREGATE(15,5,'Dữ liệu biểu đồ'!$B$5:$B$11,3),"")</f>
        <v>2022</v>
      </c>
      <c r="I61" s="7">
        <f>IFERROR(_xlfn.AGGREGATE(15,5,'Dữ liệu biểu đồ'!$B$5:$B$11,4),"")</f>
        <v>2023</v>
      </c>
      <c r="J61" s="7">
        <f>IFERROR(_xlfn.AGGREGATE(15,5,'Dữ liệu biểu đồ'!$B$5:$B$11,5),"")</f>
        <v>2024</v>
      </c>
      <c r="K61" s="7">
        <f>IFERROR(_xlfn.AGGREGATE(15,5,'Dữ liệu biểu đồ'!$B$5:$B$11,6),"")</f>
        <v>2025</v>
      </c>
      <c r="L61" s="7">
        <f>IFERROR(_xlfn.AGGREGATE(15,5,'Dữ liệu biểu đồ'!$B$5:$B$11,7),"")</f>
        <v>2026</v>
      </c>
      <c r="M61" s="6"/>
    </row>
    <row r="62" spans="2:13" ht="20.25" customHeight="1" x14ac:dyDescent="0.25">
      <c r="B62" s="42" t="s">
        <v>501</v>
      </c>
      <c r="C62" s="42"/>
      <c r="D62" s="42"/>
      <c r="E62" s="42"/>
      <c r="F62" s="42"/>
      <c r="G62" s="42"/>
      <c r="H62" s="42"/>
      <c r="I62" s="42"/>
      <c r="J62" s="42"/>
      <c r="K62" s="42"/>
      <c r="L62" s="42"/>
      <c r="M62" s="42"/>
    </row>
    <row r="63" spans="2:13" ht="20.25" customHeight="1" x14ac:dyDescent="0.25">
      <c r="B63" s="45" t="s">
        <v>485</v>
      </c>
      <c r="C63" s="45"/>
      <c r="D63" s="45"/>
      <c r="E63" s="13" t="s">
        <v>468</v>
      </c>
      <c r="F63" s="14" t="str">
        <f>IF(F$61="","",INDEX('Dữ liệu biểu đồ'!$C$75:$I$75,F$61-2019))</f>
        <v>37.403</v>
      </c>
      <c r="G63" s="14" t="str">
        <f>IF(G$61="","",INDEX('Dữ liệu biểu đồ'!$C$75:$I$75,G$61-2019))</f>
        <v>44.538</v>
      </c>
      <c r="H63" s="14" t="str">
        <f>IF(H$61="","",INDEX('Dữ liệu biểu đồ'!$C$75:$I$75,H$61-2019))</f>
        <v>46.710</v>
      </c>
      <c r="I63" s="14" t="str">
        <f>IF(I$61="","",INDEX('Dữ liệu biểu đồ'!$C$75:$I$75,I$61-2019))</f>
        <v>51.217</v>
      </c>
      <c r="J63" s="14" t="str">
        <f>IF(J$61="","",INDEX('Dữ liệu biểu đồ'!$C$75:$I$75,J$61-2019))</f>
        <v>51.362</v>
      </c>
      <c r="K63" s="14" t="str">
        <f>IF(K$61="","",INDEX('Dữ liệu biểu đồ'!$C$75:$I$75,K$61-2019))</f>
        <v>46.309</v>
      </c>
      <c r="L63" s="14" t="str">
        <f>IF(L$61="","",INDEX('Dữ liệu biểu đồ'!$C$75:$I$75,L$61-2019))</f>
        <v>46.398</v>
      </c>
      <c r="M63" s="15"/>
    </row>
    <row r="64" spans="2:13" ht="12.75" customHeight="1" x14ac:dyDescent="0.25">
      <c r="B64" s="44"/>
      <c r="C64" s="44"/>
      <c r="D64" s="44"/>
      <c r="E64" s="11"/>
      <c r="F64" s="12" t="str">
        <f>IF(F$61="","",IF(INDEX('Dữ liệu biểu đồ'!$J$75:$P$75,F$61-2019)="",INDEX('Dữ liệu biểu đồ'!$C$76:$I$76,F$61-2019)&amp;"",HYPERLINK(INDEX('Dữ liệu biểu đồ'!$J$75:$P$75,F$61-2019),INDEX('Dữ liệu biểu đồ'!$C$76:$I$76,F$61-2019))))</f>
        <v>tr. 56</v>
      </c>
      <c r="G64" s="12" t="str">
        <f>IF(G$61="","",IF(INDEX('Dữ liệu biểu đồ'!$J$75:$P$75,G$61-2019)="",INDEX('Dữ liệu biểu đồ'!$C$76:$I$76,G$61-2019)&amp;"",HYPERLINK(INDEX('Dữ liệu biểu đồ'!$J$75:$P$75,G$61-2019),INDEX('Dữ liệu biểu đồ'!$C$76:$I$76,G$61-2019))))</f>
        <v>tr. 57</v>
      </c>
      <c r="H64" s="12" t="str">
        <f>IF(H$61="","",IF(INDEX('Dữ liệu biểu đồ'!$J$75:$P$75,H$61-2019)="",INDEX('Dữ liệu biểu đồ'!$C$76:$I$76,H$61-2019)&amp;"",HYPERLINK(INDEX('Dữ liệu biểu đồ'!$J$75:$P$75,H$61-2019),INDEX('Dữ liệu biểu đồ'!$C$76:$I$76,H$61-2019))))</f>
        <v>tr. 56</v>
      </c>
      <c r="I64" s="12" t="str">
        <f>IF(I$61="","",IF(INDEX('Dữ liệu biểu đồ'!$J$75:$P$75,I$61-2019)="",INDEX('Dữ liệu biểu đồ'!$C$76:$I$76,I$61-2019)&amp;"",HYPERLINK(INDEX('Dữ liệu biểu đồ'!$J$75:$P$75,I$61-2019),INDEX('Dữ liệu biểu đồ'!$C$76:$I$76,I$61-2019))))</f>
        <v>tr. 55</v>
      </c>
      <c r="J64" s="12" t="str">
        <f>IF(J$61="","",IF(INDEX('Dữ liệu biểu đồ'!$J$75:$P$75,J$61-2019)="",INDEX('Dữ liệu biểu đồ'!$C$76:$I$76,J$61-2019)&amp;"",HYPERLINK(INDEX('Dữ liệu biểu đồ'!$J$75:$P$75,J$61-2019),INDEX('Dữ liệu biểu đồ'!$C$76:$I$76,J$61-2019))))</f>
        <v>tr. 57</v>
      </c>
      <c r="K64" s="12" t="str">
        <f>IF(K$61="","",IF(INDEX('Dữ liệu biểu đồ'!$J$75:$P$75,K$61-2019)="",INDEX('Dữ liệu biểu đồ'!$C$76:$I$76,K$61-2019)&amp;"",HYPERLINK(INDEX('Dữ liệu biểu đồ'!$J$75:$P$75,K$61-2019),INDEX('Dữ liệu biểu đồ'!$C$76:$I$76,K$61-2019))))</f>
        <v>tr. 56</v>
      </c>
      <c r="L64" s="12" t="str">
        <f>IF(L$61="","",IF(INDEX('Dữ liệu biểu đồ'!$J$75:$P$75,L$61-2019)="",INDEX('Dữ liệu biểu đồ'!$C$76:$I$76,L$61-2019)&amp;"",HYPERLINK(INDEX('Dữ liệu biểu đồ'!$J$75:$P$75,L$61-2019),INDEX('Dữ liệu biểu đồ'!$C$76:$I$76,L$61-2019))))</f>
        <v>tr. 55</v>
      </c>
      <c r="M64" s="11"/>
    </row>
    <row r="65" spans="2:13" ht="20.25" customHeight="1" x14ac:dyDescent="0.25">
      <c r="B65" s="43" t="s">
        <v>502</v>
      </c>
      <c r="C65" s="43"/>
      <c r="D65" s="43"/>
      <c r="E65" s="8" t="s">
        <v>468</v>
      </c>
      <c r="F65" s="9" t="str">
        <f>IF(F$61="","",INDEX('Dữ liệu biểu đồ'!$C$77:$I$77,F$61-2019))</f>
        <v>21.162</v>
      </c>
      <c r="G65" s="9" t="str">
        <f>IF(G$61="","",INDEX('Dữ liệu biểu đồ'!$C$77:$I$77,G$61-2019))</f>
        <v>24.576</v>
      </c>
      <c r="H65" s="9" t="str">
        <f>IF(H$61="","",INDEX('Dữ liệu biểu đồ'!$C$77:$I$77,H$61-2019))</f>
        <v>25.231</v>
      </c>
      <c r="I65" s="9" t="str">
        <f>IF(I$61="","",INDEX('Dữ liệu biểu đồ'!$C$77:$I$77,I$61-2019))</f>
        <v>28.925</v>
      </c>
      <c r="J65" s="9" t="str">
        <f>IF(J$61="","",INDEX('Dữ liệu biểu đồ'!$C$77:$I$77,J$61-2019))</f>
        <v>28.475</v>
      </c>
      <c r="K65" s="9" t="str">
        <f>IF(K$61="","",INDEX('Dữ liệu biểu đồ'!$C$77:$I$77,K$61-2019))</f>
        <v>26.519</v>
      </c>
      <c r="L65" s="9" t="str">
        <f>IF(L$61="","",INDEX('Dữ liệu biểu đồ'!$C$77:$I$77,L$61-2019))</f>
        <v>26.487</v>
      </c>
      <c r="M65" s="10"/>
    </row>
    <row r="66" spans="2:13" ht="12.75" customHeight="1" x14ac:dyDescent="0.25">
      <c r="B66" s="44"/>
      <c r="C66" s="44"/>
      <c r="D66" s="44"/>
      <c r="E66" s="11"/>
      <c r="F66" s="12" t="str">
        <f>IF(F$61="","",IF(INDEX('Dữ liệu biểu đồ'!$J$77:$P$77,F$61-2019)="",INDEX('Dữ liệu biểu đồ'!$C$78:$I$78,F$61-2019)&amp;"",HYPERLINK(INDEX('Dữ liệu biểu đồ'!$J$77:$P$77,F$61-2019),INDEX('Dữ liệu biểu đồ'!$C$78:$I$78,F$61-2019))))</f>
        <v>tr. 56</v>
      </c>
      <c r="G66" s="12" t="str">
        <f>IF(G$61="","",IF(INDEX('Dữ liệu biểu đồ'!$J$77:$P$77,G$61-2019)="",INDEX('Dữ liệu biểu đồ'!$C$78:$I$78,G$61-2019)&amp;"",HYPERLINK(INDEX('Dữ liệu biểu đồ'!$J$77:$P$77,G$61-2019),INDEX('Dữ liệu biểu đồ'!$C$78:$I$78,G$61-2019))))</f>
        <v>tr. 57</v>
      </c>
      <c r="H66" s="12" t="str">
        <f>IF(H$61="","",IF(INDEX('Dữ liệu biểu đồ'!$J$77:$P$77,H$61-2019)="",INDEX('Dữ liệu biểu đồ'!$C$78:$I$78,H$61-2019)&amp;"",HYPERLINK(INDEX('Dữ liệu biểu đồ'!$J$77:$P$77,H$61-2019),INDEX('Dữ liệu biểu đồ'!$C$78:$I$78,H$61-2019))))</f>
        <v>tr. 56</v>
      </c>
      <c r="I66" s="12" t="str">
        <f>IF(I$61="","",IF(INDEX('Dữ liệu biểu đồ'!$J$77:$P$77,I$61-2019)="",INDEX('Dữ liệu biểu đồ'!$C$78:$I$78,I$61-2019)&amp;"",HYPERLINK(INDEX('Dữ liệu biểu đồ'!$J$77:$P$77,I$61-2019),INDEX('Dữ liệu biểu đồ'!$C$78:$I$78,I$61-2019))))</f>
        <v>tr. 55</v>
      </c>
      <c r="J66" s="12" t="str">
        <f>IF(J$61="","",IF(INDEX('Dữ liệu biểu đồ'!$J$77:$P$77,J$61-2019)="",INDEX('Dữ liệu biểu đồ'!$C$78:$I$78,J$61-2019)&amp;"",HYPERLINK(INDEX('Dữ liệu biểu đồ'!$J$77:$P$77,J$61-2019),INDEX('Dữ liệu biểu đồ'!$C$78:$I$78,J$61-2019))))</f>
        <v>tr. 57</v>
      </c>
      <c r="K66" s="12" t="str">
        <f>IF(K$61="","",IF(INDEX('Dữ liệu biểu đồ'!$J$77:$P$77,K$61-2019)="",INDEX('Dữ liệu biểu đồ'!$C$78:$I$78,K$61-2019)&amp;"",HYPERLINK(INDEX('Dữ liệu biểu đồ'!$J$77:$P$77,K$61-2019),INDEX('Dữ liệu biểu đồ'!$C$78:$I$78,K$61-2019))))</f>
        <v>tr. 56</v>
      </c>
      <c r="L66" s="12" t="str">
        <f>IF(L$61="","",IF(INDEX('Dữ liệu biểu đồ'!$J$77:$P$77,L$61-2019)="",INDEX('Dữ liệu biểu đồ'!$C$78:$I$78,L$61-2019)&amp;"",HYPERLINK(INDEX('Dữ liệu biểu đồ'!$J$77:$P$77,L$61-2019),INDEX('Dữ liệu biểu đồ'!$C$78:$I$78,L$61-2019))))</f>
        <v>tr. 55</v>
      </c>
      <c r="M66" s="11"/>
    </row>
    <row r="67" spans="2:13" ht="20.25" customHeight="1" x14ac:dyDescent="0.25">
      <c r="B67" s="45" t="s">
        <v>503</v>
      </c>
      <c r="C67" s="45"/>
      <c r="D67" s="45"/>
      <c r="E67" s="13" t="s">
        <v>468</v>
      </c>
      <c r="F67" s="14" t="str">
        <f>IF(F$61="","",INDEX('Dữ liệu biểu đồ'!$C$79:$I$79,F$61-2019))</f>
        <v>16.241</v>
      </c>
      <c r="G67" s="14" t="str">
        <f>IF(G$61="","",INDEX('Dữ liệu biểu đồ'!$C$79:$I$79,G$61-2019))</f>
        <v>19.962</v>
      </c>
      <c r="H67" s="14" t="str">
        <f>IF(H$61="","",INDEX('Dữ liệu biểu đồ'!$C$79:$I$79,H$61-2019))</f>
        <v>21.479</v>
      </c>
      <c r="I67" s="14" t="str">
        <f>IF(I$61="","",INDEX('Dữ liệu biểu đồ'!$C$79:$I$79,I$61-2019))</f>
        <v>22.292</v>
      </c>
      <c r="J67" s="14" t="str">
        <f>IF(J$61="","",INDEX('Dữ liệu biểu đồ'!$C$79:$I$79,J$61-2019))</f>
        <v>22.887</v>
      </c>
      <c r="K67" s="14" t="str">
        <f>IF(K$61="","",INDEX('Dữ liệu biểu đồ'!$C$79:$I$79,K$61-2019))</f>
        <v>19.790</v>
      </c>
      <c r="L67" s="14" t="str">
        <f>IF(L$61="","",INDEX('Dữ liệu biểu đồ'!$C$79:$I$79,L$61-2019))</f>
        <v>19.911</v>
      </c>
      <c r="M67" s="15"/>
    </row>
    <row r="68" spans="2:13" ht="12.75" customHeight="1" x14ac:dyDescent="0.25">
      <c r="B68" s="44"/>
      <c r="C68" s="44"/>
      <c r="D68" s="44"/>
      <c r="E68" s="11"/>
      <c r="F68" s="12" t="str">
        <f>IF(F$61="","",IF(INDEX('Dữ liệu biểu đồ'!$J$79:$P$79,F$61-2019)="",INDEX('Dữ liệu biểu đồ'!$C$80:$I$80,F$61-2019)&amp;"",HYPERLINK(INDEX('Dữ liệu biểu đồ'!$J$79:$P$79,F$61-2019),INDEX('Dữ liệu biểu đồ'!$C$80:$I$80,F$61-2019))))</f>
        <v>tr. 56</v>
      </c>
      <c r="G68" s="12" t="str">
        <f>IF(G$61="","",IF(INDEX('Dữ liệu biểu đồ'!$J$79:$P$79,G$61-2019)="",INDEX('Dữ liệu biểu đồ'!$C$80:$I$80,G$61-2019)&amp;"",HYPERLINK(INDEX('Dữ liệu biểu đồ'!$J$79:$P$79,G$61-2019),INDEX('Dữ liệu biểu đồ'!$C$80:$I$80,G$61-2019))))</f>
        <v>tr. 57</v>
      </c>
      <c r="H68" s="12" t="str">
        <f>IF(H$61="","",IF(INDEX('Dữ liệu biểu đồ'!$J$79:$P$79,H$61-2019)="",INDEX('Dữ liệu biểu đồ'!$C$80:$I$80,H$61-2019)&amp;"",HYPERLINK(INDEX('Dữ liệu biểu đồ'!$J$79:$P$79,H$61-2019),INDEX('Dữ liệu biểu đồ'!$C$80:$I$80,H$61-2019))))</f>
        <v>tr. 56</v>
      </c>
      <c r="I68" s="12" t="str">
        <f>IF(I$61="","",IF(INDEX('Dữ liệu biểu đồ'!$J$79:$P$79,I$61-2019)="",INDEX('Dữ liệu biểu đồ'!$C$80:$I$80,I$61-2019)&amp;"",HYPERLINK(INDEX('Dữ liệu biểu đồ'!$J$79:$P$79,I$61-2019),INDEX('Dữ liệu biểu đồ'!$C$80:$I$80,I$61-2019))))</f>
        <v>tr. 55</v>
      </c>
      <c r="J68" s="12" t="str">
        <f>IF(J$61="","",IF(INDEX('Dữ liệu biểu đồ'!$J$79:$P$79,J$61-2019)="",INDEX('Dữ liệu biểu đồ'!$C$80:$I$80,J$61-2019)&amp;"",HYPERLINK(INDEX('Dữ liệu biểu đồ'!$J$79:$P$79,J$61-2019),INDEX('Dữ liệu biểu đồ'!$C$80:$I$80,J$61-2019))))</f>
        <v>tr. 57</v>
      </c>
      <c r="K68" s="12" t="str">
        <f>IF(K$61="","",IF(INDEX('Dữ liệu biểu đồ'!$J$79:$P$79,K$61-2019)="",INDEX('Dữ liệu biểu đồ'!$C$80:$I$80,K$61-2019)&amp;"",HYPERLINK(INDEX('Dữ liệu biểu đồ'!$J$79:$P$79,K$61-2019),INDEX('Dữ liệu biểu đồ'!$C$80:$I$80,K$61-2019))))</f>
        <v>tr. 56</v>
      </c>
      <c r="L68" s="12" t="str">
        <f>IF(L$61="","",IF(INDEX('Dữ liệu biểu đồ'!$J$79:$P$79,L$61-2019)="",INDEX('Dữ liệu biểu đồ'!$C$80:$I$80,L$61-2019)&amp;"",HYPERLINK(INDEX('Dữ liệu biểu đồ'!$J$79:$P$79,L$61-2019),INDEX('Dữ liệu biểu đồ'!$C$80:$I$80,L$61-2019))))</f>
        <v>tr. 55</v>
      </c>
      <c r="M68" s="11"/>
    </row>
    <row r="69" spans="2:13" ht="20.25" customHeight="1" x14ac:dyDescent="0.25">
      <c r="B69" s="43" t="s">
        <v>504</v>
      </c>
      <c r="C69" s="43"/>
      <c r="D69" s="43"/>
      <c r="E69" s="8" t="s">
        <v>468</v>
      </c>
      <c r="F69" s="9" t="str">
        <f>IF(F$61="","",INDEX('Dữ liệu biểu đồ'!$C$81:$I$81,F$61-2019))</f>
        <v>3.592</v>
      </c>
      <c r="G69" s="9" t="str">
        <f>IF(G$61="","",INDEX('Dữ liệu biểu đồ'!$C$81:$I$81,G$61-2019))</f>
        <v>3.114</v>
      </c>
      <c r="H69" s="9" t="str">
        <f>IF(H$61="","",INDEX('Dữ liệu biểu đồ'!$C$81:$I$81,H$61-2019))</f>
        <v>3.850</v>
      </c>
      <c r="I69" s="9" t="str">
        <f>IF(I$61="","",INDEX('Dữ liệu biểu đồ'!$C$81:$I$81,I$61-2019))</f>
        <v>4.060</v>
      </c>
      <c r="J69" s="9" t="str">
        <f>IF(J$61="","",INDEX('Dữ liệu biểu đồ'!$C$81:$I$81,J$61-2019))</f>
        <v>4.285</v>
      </c>
      <c r="K69" s="9" t="str">
        <f>IF(K$61="","",INDEX('Dữ liệu biểu đồ'!$C$81:$I$81,K$61-2019))</f>
        <v>4.689</v>
      </c>
      <c r="L69" s="9" t="str">
        <f>IF(L$61="","",INDEX('Dữ liệu biểu đồ'!$C$81:$I$81,L$61-2019))</f>
        <v>4.754</v>
      </c>
      <c r="M69" s="10"/>
    </row>
    <row r="70" spans="2:13" ht="12.75" customHeight="1" x14ac:dyDescent="0.25">
      <c r="B70" s="44"/>
      <c r="C70" s="44"/>
      <c r="D70" s="44"/>
      <c r="E70" s="11"/>
      <c r="F70" s="12" t="str">
        <f>IF(F$61="","",IF(INDEX('Dữ liệu biểu đồ'!$J$81:$P$81,F$61-2019)="",INDEX('Dữ liệu biểu đồ'!$C$82:$I$82,F$61-2019)&amp;"",HYPERLINK(INDEX('Dữ liệu biểu đồ'!$J$81:$P$81,F$61-2019),INDEX('Dữ liệu biểu đồ'!$C$82:$I$82,F$61-2019))))</f>
        <v>tr. 56</v>
      </c>
      <c r="G70" s="12" t="str">
        <f>IF(G$61="","",IF(INDEX('Dữ liệu biểu đồ'!$J$81:$P$81,G$61-2019)="",INDEX('Dữ liệu biểu đồ'!$C$82:$I$82,G$61-2019)&amp;"",HYPERLINK(INDEX('Dữ liệu biểu đồ'!$J$81:$P$81,G$61-2019),INDEX('Dữ liệu biểu đồ'!$C$82:$I$82,G$61-2019))))</f>
        <v>tr. 57</v>
      </c>
      <c r="H70" s="12" t="str">
        <f>IF(H$61="","",IF(INDEX('Dữ liệu biểu đồ'!$J$81:$P$81,H$61-2019)="",INDEX('Dữ liệu biểu đồ'!$C$82:$I$82,H$61-2019)&amp;"",HYPERLINK(INDEX('Dữ liệu biểu đồ'!$J$81:$P$81,H$61-2019),INDEX('Dữ liệu biểu đồ'!$C$82:$I$82,H$61-2019))))</f>
        <v>tr. 56</v>
      </c>
      <c r="I70" s="12" t="str">
        <f>IF(I$61="","",IF(INDEX('Dữ liệu biểu đồ'!$J$81:$P$81,I$61-2019)="",INDEX('Dữ liệu biểu đồ'!$C$82:$I$82,I$61-2019)&amp;"",HYPERLINK(INDEX('Dữ liệu biểu đồ'!$J$81:$P$81,I$61-2019),INDEX('Dữ liệu biểu đồ'!$C$82:$I$82,I$61-2019))))</f>
        <v>tr. 55</v>
      </c>
      <c r="J70" s="12" t="str">
        <f>IF(J$61="","",IF(INDEX('Dữ liệu biểu đồ'!$J$81:$P$81,J$61-2019)="",INDEX('Dữ liệu biểu đồ'!$C$82:$I$82,J$61-2019)&amp;"",HYPERLINK(INDEX('Dữ liệu biểu đồ'!$J$81:$P$81,J$61-2019),INDEX('Dữ liệu biểu đồ'!$C$82:$I$82,J$61-2019))))</f>
        <v>tr. 57</v>
      </c>
      <c r="K70" s="12" t="str">
        <f>IF(K$61="","",IF(INDEX('Dữ liệu biểu đồ'!$J$81:$P$81,K$61-2019)="",INDEX('Dữ liệu biểu đồ'!$C$82:$I$82,K$61-2019)&amp;"",HYPERLINK(INDEX('Dữ liệu biểu đồ'!$J$81:$P$81,K$61-2019),INDEX('Dữ liệu biểu đồ'!$C$82:$I$82,K$61-2019))))</f>
        <v>tr. 56</v>
      </c>
      <c r="L70" s="12" t="str">
        <f>IF(L$61="","",IF(INDEX('Dữ liệu biểu đồ'!$J$81:$P$81,L$61-2019)="",INDEX('Dữ liệu biểu đồ'!$C$82:$I$82,L$61-2019)&amp;"",HYPERLINK(INDEX('Dữ liệu biểu đồ'!$J$81:$P$81,L$61-2019),INDEX('Dữ liệu biểu đồ'!$C$82:$I$82,L$61-2019))))</f>
        <v>tr. 55</v>
      </c>
      <c r="M70" s="11"/>
    </row>
    <row r="71" spans="2:13" ht="20.25" customHeight="1" x14ac:dyDescent="0.25">
      <c r="B71" s="43" t="s">
        <v>505</v>
      </c>
      <c r="C71" s="43"/>
      <c r="D71" s="43"/>
      <c r="E71" s="8" t="s">
        <v>468</v>
      </c>
      <c r="F71" s="9" t="str">
        <f>IF(F$61="","",INDEX('Dữ liệu biểu đồ'!$C$83:$I$83,F$61-2019))</f>
        <v>9.534</v>
      </c>
      <c r="G71" s="9" t="str">
        <f>IF(G$61="","",INDEX('Dữ liệu biểu đồ'!$C$83:$I$83,G$61-2019))</f>
        <v>9.911</v>
      </c>
      <c r="H71" s="9" t="str">
        <f>IF(H$61="","",INDEX('Dữ liệu biểu đồ'!$C$83:$I$83,H$61-2019))</f>
        <v>10.954</v>
      </c>
      <c r="I71" s="9" t="str">
        <f>IF(I$61="","",INDEX('Dữ liệu biểu đồ'!$C$83:$I$83,I$61-2019))</f>
        <v>12.317</v>
      </c>
      <c r="J71" s="9" t="str">
        <f>IF(J$61="","",INDEX('Dữ liệu biểu đồ'!$C$83:$I$83,J$61-2019))</f>
        <v>12.291</v>
      </c>
      <c r="K71" s="9" t="str">
        <f>IF(K$61="","",INDEX('Dữ liệu biểu đồ'!$C$83:$I$83,K$61-2019))</f>
        <v>11.399</v>
      </c>
      <c r="L71" s="9" t="str">
        <f>IF(L$61="","",INDEX('Dữ liệu biểu đồ'!$C$83:$I$83,L$61-2019))</f>
        <v>11.360</v>
      </c>
      <c r="M71" s="10"/>
    </row>
    <row r="72" spans="2:13" ht="12.75" customHeight="1" x14ac:dyDescent="0.25">
      <c r="B72" s="44"/>
      <c r="C72" s="44"/>
      <c r="D72" s="44"/>
      <c r="E72" s="11"/>
      <c r="F72" s="12" t="str">
        <f>IF(F$61="","",IF(INDEX('Dữ liệu biểu đồ'!$J$83:$P$83,F$61-2019)="",INDEX('Dữ liệu biểu đồ'!$C$84:$I$84,F$61-2019)&amp;"",HYPERLINK(INDEX('Dữ liệu biểu đồ'!$J$83:$P$83,F$61-2019),INDEX('Dữ liệu biểu đồ'!$C$84:$I$84,F$61-2019))))</f>
        <v>tr. 56</v>
      </c>
      <c r="G72" s="12" t="str">
        <f>IF(G$61="","",IF(INDEX('Dữ liệu biểu đồ'!$J$83:$P$83,G$61-2019)="",INDEX('Dữ liệu biểu đồ'!$C$84:$I$84,G$61-2019)&amp;"",HYPERLINK(INDEX('Dữ liệu biểu đồ'!$J$83:$P$83,G$61-2019),INDEX('Dữ liệu biểu đồ'!$C$84:$I$84,G$61-2019))))</f>
        <v>tr. 57</v>
      </c>
      <c r="H72" s="12" t="str">
        <f>IF(H$61="","",IF(INDEX('Dữ liệu biểu đồ'!$J$83:$P$83,H$61-2019)="",INDEX('Dữ liệu biểu đồ'!$C$84:$I$84,H$61-2019)&amp;"",HYPERLINK(INDEX('Dữ liệu biểu đồ'!$J$83:$P$83,H$61-2019),INDEX('Dữ liệu biểu đồ'!$C$84:$I$84,H$61-2019))))</f>
        <v>tr. 56</v>
      </c>
      <c r="I72" s="12" t="str">
        <f>IF(I$61="","",IF(INDEX('Dữ liệu biểu đồ'!$J$83:$P$83,I$61-2019)="",INDEX('Dữ liệu biểu đồ'!$C$84:$I$84,I$61-2019)&amp;"",HYPERLINK(INDEX('Dữ liệu biểu đồ'!$J$83:$P$83,I$61-2019),INDEX('Dữ liệu biểu đồ'!$C$84:$I$84,I$61-2019))))</f>
        <v>tr. 55</v>
      </c>
      <c r="J72" s="12" t="str">
        <f>IF(J$61="","",IF(INDEX('Dữ liệu biểu đồ'!$J$83:$P$83,J$61-2019)="",INDEX('Dữ liệu biểu đồ'!$C$84:$I$84,J$61-2019)&amp;"",HYPERLINK(INDEX('Dữ liệu biểu đồ'!$J$83:$P$83,J$61-2019),INDEX('Dữ liệu biểu đồ'!$C$84:$I$84,J$61-2019))))</f>
        <v>tr. 57</v>
      </c>
      <c r="K72" s="12" t="str">
        <f>IF(K$61="","",IF(INDEX('Dữ liệu biểu đồ'!$J$83:$P$83,K$61-2019)="",INDEX('Dữ liệu biểu đồ'!$C$84:$I$84,K$61-2019)&amp;"",HYPERLINK(INDEX('Dữ liệu biểu đồ'!$J$83:$P$83,K$61-2019),INDEX('Dữ liệu biểu đồ'!$C$84:$I$84,K$61-2019))))</f>
        <v>tr. 56</v>
      </c>
      <c r="L72" s="12" t="str">
        <f>IF(L$61="","",IF(INDEX('Dữ liệu biểu đồ'!$J$83:$P$83,L$61-2019)="",INDEX('Dữ liệu biểu đồ'!$C$84:$I$84,L$61-2019)&amp;"",HYPERLINK(INDEX('Dữ liệu biểu đồ'!$J$83:$P$83,L$61-2019),INDEX('Dữ liệu biểu đồ'!$C$84:$I$84,L$61-2019))))</f>
        <v>tr. 55</v>
      </c>
      <c r="M72" s="11"/>
    </row>
    <row r="73" spans="2:13" ht="20.25" customHeight="1" x14ac:dyDescent="0.25">
      <c r="B73" s="45" t="s">
        <v>506</v>
      </c>
      <c r="C73" s="45"/>
      <c r="D73" s="45"/>
      <c r="E73" s="13" t="s">
        <v>468</v>
      </c>
      <c r="F73" s="14" t="str">
        <f>IF(F$61="","",INDEX('Dữ liệu biểu đồ'!$C$85:$I$85,F$61-2019))</f>
        <v>13.126</v>
      </c>
      <c r="G73" s="14" t="str">
        <f>IF(G$61="","",INDEX('Dữ liệu biểu đồ'!$C$85:$I$85,G$61-2019))</f>
        <v>13.025</v>
      </c>
      <c r="H73" s="14" t="str">
        <f>IF(H$61="","",INDEX('Dữ liệu biểu đồ'!$C$85:$I$85,H$61-2019))</f>
        <v>14.804</v>
      </c>
      <c r="I73" s="14" t="str">
        <f>IF(I$61="","",INDEX('Dữ liệu biểu đồ'!$C$85:$I$85,I$61-2019))</f>
        <v>16.377</v>
      </c>
      <c r="J73" s="14" t="str">
        <f>IF(J$61="","",INDEX('Dữ liệu biểu đồ'!$C$85:$I$85,J$61-2019))</f>
        <v>16.576</v>
      </c>
      <c r="K73" s="14" t="str">
        <f>IF(K$61="","",INDEX('Dữ liệu biểu đồ'!$C$85:$I$85,K$61-2019))</f>
        <v>16.088</v>
      </c>
      <c r="L73" s="14" t="str">
        <f>IF(L$61="","",INDEX('Dữ liệu biểu đồ'!$C$85:$I$85,L$61-2019))</f>
        <v>16.114</v>
      </c>
      <c r="M73" s="15"/>
    </row>
    <row r="74" spans="2:13" ht="12.75" customHeight="1" x14ac:dyDescent="0.25">
      <c r="B74" s="44"/>
      <c r="C74" s="44"/>
      <c r="D74" s="44"/>
      <c r="E74" s="11"/>
      <c r="F74" s="12" t="str">
        <f>IF(F$61="","",IF(INDEX('Dữ liệu biểu đồ'!$J$85:$P$85,F$61-2019)="",INDEX('Dữ liệu biểu đồ'!$C$86:$I$86,F$61-2019)&amp;"",HYPERLINK(INDEX('Dữ liệu biểu đồ'!$J$85:$P$85,F$61-2019),INDEX('Dữ liệu biểu đồ'!$C$86:$I$86,F$61-2019))))</f>
        <v>tr. 56</v>
      </c>
      <c r="G74" s="12" t="str">
        <f>IF(G$61="","",IF(INDEX('Dữ liệu biểu đồ'!$J$85:$P$85,G$61-2019)="",INDEX('Dữ liệu biểu đồ'!$C$86:$I$86,G$61-2019)&amp;"",HYPERLINK(INDEX('Dữ liệu biểu đồ'!$J$85:$P$85,G$61-2019),INDEX('Dữ liệu biểu đồ'!$C$86:$I$86,G$61-2019))))</f>
        <v>tr. 57</v>
      </c>
      <c r="H74" s="12" t="str">
        <f>IF(H$61="","",IF(INDEX('Dữ liệu biểu đồ'!$J$85:$P$85,H$61-2019)="",INDEX('Dữ liệu biểu đồ'!$C$86:$I$86,H$61-2019)&amp;"",HYPERLINK(INDEX('Dữ liệu biểu đồ'!$J$85:$P$85,H$61-2019),INDEX('Dữ liệu biểu đồ'!$C$86:$I$86,H$61-2019))))</f>
        <v>tr. 56</v>
      </c>
      <c r="I74" s="12" t="str">
        <f>IF(I$61="","",IF(INDEX('Dữ liệu biểu đồ'!$J$85:$P$85,I$61-2019)="",INDEX('Dữ liệu biểu đồ'!$C$86:$I$86,I$61-2019)&amp;"",HYPERLINK(INDEX('Dữ liệu biểu đồ'!$J$85:$P$85,I$61-2019),INDEX('Dữ liệu biểu đồ'!$C$86:$I$86,I$61-2019))))</f>
        <v>tr. 55</v>
      </c>
      <c r="J74" s="12" t="str">
        <f>IF(J$61="","",IF(INDEX('Dữ liệu biểu đồ'!$J$85:$P$85,J$61-2019)="",INDEX('Dữ liệu biểu đồ'!$C$86:$I$86,J$61-2019)&amp;"",HYPERLINK(INDEX('Dữ liệu biểu đồ'!$J$85:$P$85,J$61-2019),INDEX('Dữ liệu biểu đồ'!$C$86:$I$86,J$61-2019))))</f>
        <v>tr. 57</v>
      </c>
      <c r="K74" s="12" t="str">
        <f>IF(K$61="","",IF(INDEX('Dữ liệu biểu đồ'!$J$85:$P$85,K$61-2019)="",INDEX('Dữ liệu biểu đồ'!$C$86:$I$86,K$61-2019)&amp;"",HYPERLINK(INDEX('Dữ liệu biểu đồ'!$J$85:$P$85,K$61-2019),INDEX('Dữ liệu biểu đồ'!$C$86:$I$86,K$61-2019))))</f>
        <v>tr. 56</v>
      </c>
      <c r="L74" s="12" t="str">
        <f>IF(L$61="","",IF(INDEX('Dữ liệu biểu đồ'!$J$85:$P$85,L$61-2019)="",INDEX('Dữ liệu biểu đồ'!$C$86:$I$86,L$61-2019)&amp;"",HYPERLINK(INDEX('Dữ liệu biểu đồ'!$J$85:$P$85,L$61-2019),INDEX('Dữ liệu biểu đồ'!$C$86:$I$86,L$61-2019))))</f>
        <v>tr. 55</v>
      </c>
      <c r="M74" s="11"/>
    </row>
    <row r="75" spans="2:13" ht="20.25" customHeight="1" x14ac:dyDescent="0.25">
      <c r="B75" s="43" t="s">
        <v>507</v>
      </c>
      <c r="C75" s="43"/>
      <c r="D75" s="43"/>
      <c r="E75" s="8" t="s">
        <v>468</v>
      </c>
      <c r="F75" s="9" t="str">
        <f>IF(F$61="","",INDEX('Dữ liệu biểu đồ'!$C$87:$I$87,F$61-2019))</f>
        <v>89</v>
      </c>
      <c r="G75" s="9" t="str">
        <f>IF(G$61="","",INDEX('Dữ liệu biểu đồ'!$C$87:$I$87,G$61-2019))</f>
        <v>262</v>
      </c>
      <c r="H75" s="9" t="str">
        <f>IF(H$61="","",INDEX('Dữ liệu biểu đồ'!$C$87:$I$87,H$61-2019))</f>
        <v>205</v>
      </c>
      <c r="I75" s="9" t="str">
        <f>IF(I$61="","",INDEX('Dữ liệu biểu đồ'!$C$87:$I$87,I$61-2019))</f>
        <v>(6)</v>
      </c>
      <c r="J75" s="9" t="str">
        <f>IF(J$61="","",INDEX('Dữ liệu biểu đồ'!$C$87:$I$87,J$61-2019))</f>
        <v>(161)</v>
      </c>
      <c r="K75" s="9" t="str">
        <f>IF(K$61="","",INDEX('Dữ liệu biểu đồ'!$C$87:$I$87,K$61-2019))</f>
        <v>(107)</v>
      </c>
      <c r="L75" s="9" t="str">
        <f>IF(L$61="","",INDEX('Dữ liệu biểu đồ'!$C$87:$I$87,L$61-2019))</f>
        <v>(50)</v>
      </c>
      <c r="M75" s="10"/>
    </row>
    <row r="76" spans="2:13" ht="12.75" customHeight="1" x14ac:dyDescent="0.25">
      <c r="B76" s="44"/>
      <c r="C76" s="44"/>
      <c r="D76" s="44"/>
      <c r="E76" s="11"/>
      <c r="F76" s="12" t="str">
        <f>IF(F$61="","",IF(INDEX('Dữ liệu biểu đồ'!$J$87:$P$87,F$61-2019)="",INDEX('Dữ liệu biểu đồ'!$C$88:$I$88,F$61-2019)&amp;"",HYPERLINK(INDEX('Dữ liệu biểu đồ'!$J$87:$P$87,F$61-2019),INDEX('Dữ liệu biểu đồ'!$C$88:$I$88,F$61-2019))))</f>
        <v>tr. 56</v>
      </c>
      <c r="G76" s="12" t="str">
        <f>IF(G$61="","",IF(INDEX('Dữ liệu biểu đồ'!$J$87:$P$87,G$61-2019)="",INDEX('Dữ liệu biểu đồ'!$C$88:$I$88,G$61-2019)&amp;"",HYPERLINK(INDEX('Dữ liệu biểu đồ'!$J$87:$P$87,G$61-2019),INDEX('Dữ liệu biểu đồ'!$C$88:$I$88,G$61-2019))))</f>
        <v>tr. 57</v>
      </c>
      <c r="H76" s="12" t="str">
        <f>IF(H$61="","",IF(INDEX('Dữ liệu biểu đồ'!$J$87:$P$87,H$61-2019)="",INDEX('Dữ liệu biểu đồ'!$C$88:$I$88,H$61-2019)&amp;"",HYPERLINK(INDEX('Dữ liệu biểu đồ'!$J$87:$P$87,H$61-2019),INDEX('Dữ liệu biểu đồ'!$C$88:$I$88,H$61-2019))))</f>
        <v>tr. 56</v>
      </c>
      <c r="I76" s="12" t="str">
        <f>IF(I$61="","",IF(INDEX('Dữ liệu biểu đồ'!$J$87:$P$87,I$61-2019)="",INDEX('Dữ liệu biểu đồ'!$C$88:$I$88,I$61-2019)&amp;"",HYPERLINK(INDEX('Dữ liệu biểu đồ'!$J$87:$P$87,I$61-2019),INDEX('Dữ liệu biểu đồ'!$C$88:$I$88,I$61-2019))))</f>
        <v>tr. 55</v>
      </c>
      <c r="J76" s="12" t="str">
        <f>IF(J$61="","",IF(INDEX('Dữ liệu biểu đồ'!$J$87:$P$87,J$61-2019)="",INDEX('Dữ liệu biểu đồ'!$C$88:$I$88,J$61-2019)&amp;"",HYPERLINK(INDEX('Dữ liệu biểu đồ'!$J$87:$P$87,J$61-2019),INDEX('Dữ liệu biểu đồ'!$C$88:$I$88,J$61-2019))))</f>
        <v>tr. 57</v>
      </c>
      <c r="K76" s="12" t="str">
        <f>IF(K$61="","",IF(INDEX('Dữ liệu biểu đồ'!$J$87:$P$87,K$61-2019)="",INDEX('Dữ liệu biểu đồ'!$C$88:$I$88,K$61-2019)&amp;"",HYPERLINK(INDEX('Dữ liệu biểu đồ'!$J$87:$P$87,K$61-2019),INDEX('Dữ liệu biểu đồ'!$C$88:$I$88,K$61-2019))))</f>
        <v>tr. 56</v>
      </c>
      <c r="L76" s="12" t="str">
        <f>IF(L$61="","",IF(INDEX('Dữ liệu biểu đồ'!$J$87:$P$87,L$61-2019)="",INDEX('Dữ liệu biểu đồ'!$C$88:$I$88,L$61-2019)&amp;"",HYPERLINK(INDEX('Dữ liệu biểu đồ'!$J$87:$P$87,L$61-2019),INDEX('Dữ liệu biểu đồ'!$C$88:$I$88,L$61-2019))))</f>
        <v>tr. 55</v>
      </c>
      <c r="M76" s="11"/>
    </row>
    <row r="77" spans="2:13" ht="20.25" customHeight="1" x14ac:dyDescent="0.25">
      <c r="B77" s="43" t="s">
        <v>508</v>
      </c>
      <c r="C77" s="43"/>
      <c r="D77" s="43"/>
      <c r="E77" s="8" t="s">
        <v>468</v>
      </c>
      <c r="F77" s="9" t="str">
        <f>IF(F$61="","",INDEX('Dữ liệu biểu đồ'!$C$89:$I$89,F$61-2019))</f>
        <v>139</v>
      </c>
      <c r="G77" s="9" t="str">
        <f>IF(G$61="","",INDEX('Dữ liệu biểu đồ'!$C$89:$I$89,G$61-2019))</f>
        <v>14</v>
      </c>
      <c r="H77" s="9" t="str">
        <f>IF(H$61="","",INDEX('Dữ liệu biểu đồ'!$C$89:$I$89,H$61-2019))</f>
        <v>(181)</v>
      </c>
      <c r="I77" s="9" t="str">
        <f>IF(I$61="","",INDEX('Dữ liệu biểu đồ'!$C$89:$I$89,I$61-2019))</f>
        <v>(280)</v>
      </c>
      <c r="J77" s="9" t="str">
        <f>IF(J$61="","",INDEX('Dữ liệu biểu đồ'!$C$89:$I$89,J$61-2019))</f>
        <v>(228)</v>
      </c>
      <c r="K77" s="9" t="str">
        <f>IF(K$61="","",INDEX('Dữ liệu biểu đồ'!$C$89:$I$89,K$61-2019))</f>
        <v>(76)</v>
      </c>
      <c r="L77" s="9" t="str">
        <f>IF(L$61="","",INDEX('Dữ liệu biểu đồ'!$C$89:$I$89,L$61-2019))</f>
        <v>(53)</v>
      </c>
      <c r="M77" s="10"/>
    </row>
    <row r="78" spans="2:13" ht="12.75" customHeight="1" x14ac:dyDescent="0.25">
      <c r="B78" s="44"/>
      <c r="C78" s="44"/>
      <c r="D78" s="44"/>
      <c r="E78" s="11"/>
      <c r="F78" s="12" t="str">
        <f>IF(F$61="","",IF(INDEX('Dữ liệu biểu đồ'!$J$89:$P$89,F$61-2019)="",INDEX('Dữ liệu biểu đồ'!$C$90:$I$90,F$61-2019)&amp;"",HYPERLINK(INDEX('Dữ liệu biểu đồ'!$J$89:$P$89,F$61-2019),INDEX('Dữ liệu biểu đồ'!$C$90:$I$90,F$61-2019))))</f>
        <v>tr. 56</v>
      </c>
      <c r="G78" s="12" t="str">
        <f>IF(G$61="","",IF(INDEX('Dữ liệu biểu đồ'!$J$89:$P$89,G$61-2019)="",INDEX('Dữ liệu biểu đồ'!$C$90:$I$90,G$61-2019)&amp;"",HYPERLINK(INDEX('Dữ liệu biểu đồ'!$J$89:$P$89,G$61-2019),INDEX('Dữ liệu biểu đồ'!$C$90:$I$90,G$61-2019))))</f>
        <v>tr. 57</v>
      </c>
      <c r="H78" s="12" t="str">
        <f>IF(H$61="","",IF(INDEX('Dữ liệu biểu đồ'!$J$89:$P$89,H$61-2019)="",INDEX('Dữ liệu biểu đồ'!$C$90:$I$90,H$61-2019)&amp;"",HYPERLINK(INDEX('Dữ liệu biểu đồ'!$J$89:$P$89,H$61-2019),INDEX('Dữ liệu biểu đồ'!$C$90:$I$90,H$61-2019))))</f>
        <v>tr. 56</v>
      </c>
      <c r="I78" s="12" t="str">
        <f>IF(I$61="","",IF(INDEX('Dữ liệu biểu đồ'!$J$89:$P$89,I$61-2019)="",INDEX('Dữ liệu biểu đồ'!$C$90:$I$90,I$61-2019)&amp;"",HYPERLINK(INDEX('Dữ liệu biểu đồ'!$J$89:$P$89,I$61-2019),INDEX('Dữ liệu biểu đồ'!$C$90:$I$90,I$61-2019))))</f>
        <v>tr. 55</v>
      </c>
      <c r="J78" s="12" t="str">
        <f>IF(J$61="","",IF(INDEX('Dữ liệu biểu đồ'!$J$89:$P$89,J$61-2019)="",INDEX('Dữ liệu biểu đồ'!$C$90:$I$90,J$61-2019)&amp;"",HYPERLINK(INDEX('Dữ liệu biểu đồ'!$J$89:$P$89,J$61-2019),INDEX('Dữ liệu biểu đồ'!$C$90:$I$90,J$61-2019))))</f>
        <v>tr. 57</v>
      </c>
      <c r="K78" s="12" t="str">
        <f>IF(K$61="","",IF(INDEX('Dữ liệu biểu đồ'!$J$89:$P$89,K$61-2019)="",INDEX('Dữ liệu biểu đồ'!$C$90:$I$90,K$61-2019)&amp;"",HYPERLINK(INDEX('Dữ liệu biểu đồ'!$J$89:$P$89,K$61-2019),INDEX('Dữ liệu biểu đồ'!$C$90:$I$90,K$61-2019))))</f>
        <v>tr. 56</v>
      </c>
      <c r="L78" s="12" t="str">
        <f>IF(L$61="","",IF(INDEX('Dữ liệu biểu đồ'!$J$89:$P$89,L$61-2019)="",INDEX('Dữ liệu biểu đồ'!$C$90:$I$90,L$61-2019)&amp;"",HYPERLINK(INDEX('Dữ liệu biểu đồ'!$J$89:$P$89,L$61-2019),INDEX('Dữ liệu biểu đồ'!$C$90:$I$90,L$61-2019))))</f>
        <v>tr. 55</v>
      </c>
      <c r="M78" s="11"/>
    </row>
    <row r="79" spans="2:13" ht="20.25" customHeight="1" x14ac:dyDescent="0.25">
      <c r="B79" s="45" t="s">
        <v>509</v>
      </c>
      <c r="C79" s="45"/>
      <c r="D79" s="45"/>
      <c r="E79" s="13" t="s">
        <v>468</v>
      </c>
      <c r="F79" s="14" t="str">
        <f>IF(F$61="","",INDEX('Dữ liệu biểu đồ'!$C$91:$I$91,F$61-2019))</f>
        <v>2.887</v>
      </c>
      <c r="G79" s="14" t="str">
        <f>IF(G$61="","",INDEX('Dữ liệu biểu đồ'!$C$91:$I$91,G$61-2019))</f>
        <v>6.661</v>
      </c>
      <c r="H79" s="14" t="str">
        <f>IF(H$61="","",INDEX('Dữ liệu biểu đồ'!$C$91:$I$91,H$61-2019))</f>
        <v>6.651</v>
      </c>
      <c r="I79" s="14" t="str">
        <f>IF(I$61="","",INDEX('Dữ liệu biểu đồ'!$C$91:$I$91,I$61-2019))</f>
        <v>6.201</v>
      </c>
      <c r="J79" s="14" t="str">
        <f>IF(J$61="","",INDEX('Dữ liệu biểu đồ'!$C$91:$I$91,J$61-2019))</f>
        <v>6.700</v>
      </c>
      <c r="K79" s="14" t="str">
        <f>IF(K$61="","",INDEX('Dữ liệu biểu đồ'!$C$91:$I$91,K$61-2019))</f>
        <v>3.885</v>
      </c>
      <c r="L79" s="14" t="str">
        <f>IF(L$61="","",INDEX('Dữ liệu biểu đồ'!$C$91:$I$91,L$61-2019))</f>
        <v>3.900</v>
      </c>
      <c r="M79" s="15"/>
    </row>
    <row r="80" spans="2:13" ht="12.75" customHeight="1" x14ac:dyDescent="0.25">
      <c r="B80" s="44"/>
      <c r="C80" s="44"/>
      <c r="D80" s="44"/>
      <c r="E80" s="11"/>
      <c r="F80" s="12" t="str">
        <f>IF(F$61="","",IF(INDEX('Dữ liệu biểu đồ'!$J$91:$P$91,F$61-2019)="",INDEX('Dữ liệu biểu đồ'!$C$92:$I$92,F$61-2019)&amp;"",HYPERLINK(INDEX('Dữ liệu biểu đồ'!$J$91:$P$91,F$61-2019),INDEX('Dữ liệu biểu đồ'!$C$92:$I$92,F$61-2019))))</f>
        <v>tr. 56</v>
      </c>
      <c r="G80" s="12" t="str">
        <f>IF(G$61="","",IF(INDEX('Dữ liệu biểu đồ'!$J$91:$P$91,G$61-2019)="",INDEX('Dữ liệu biểu đồ'!$C$92:$I$92,G$61-2019)&amp;"",HYPERLINK(INDEX('Dữ liệu biểu đồ'!$J$91:$P$91,G$61-2019),INDEX('Dữ liệu biểu đồ'!$C$92:$I$92,G$61-2019))))</f>
        <v>tr. 57</v>
      </c>
      <c r="H80" s="12" t="str">
        <f>IF(H$61="","",IF(INDEX('Dữ liệu biểu đồ'!$J$91:$P$91,H$61-2019)="",INDEX('Dữ liệu biểu đồ'!$C$92:$I$92,H$61-2019)&amp;"",HYPERLINK(INDEX('Dữ liệu biểu đồ'!$J$91:$P$91,H$61-2019),INDEX('Dữ liệu biểu đồ'!$C$92:$I$92,H$61-2019))))</f>
        <v>tr. 56</v>
      </c>
      <c r="I80" s="12" t="str">
        <f>IF(I$61="","",IF(INDEX('Dữ liệu biểu đồ'!$J$91:$P$91,I$61-2019)="",INDEX('Dữ liệu biểu đồ'!$C$92:$I$92,I$61-2019)&amp;"",HYPERLINK(INDEX('Dữ liệu biểu đồ'!$J$91:$P$91,I$61-2019),INDEX('Dữ liệu biểu đồ'!$C$92:$I$92,I$61-2019))))</f>
        <v>tr. 55</v>
      </c>
      <c r="J80" s="12" t="str">
        <f>IF(J$61="","",IF(INDEX('Dữ liệu biểu đồ'!$J$91:$P$91,J$61-2019)="",INDEX('Dữ liệu biểu đồ'!$C$92:$I$92,J$61-2019)&amp;"",HYPERLINK(INDEX('Dữ liệu biểu đồ'!$J$91:$P$91,J$61-2019),INDEX('Dữ liệu biểu đồ'!$C$92:$I$92,J$61-2019))))</f>
        <v>tr. 57</v>
      </c>
      <c r="K80" s="12" t="str">
        <f>IF(K$61="","",IF(INDEX('Dữ liệu biểu đồ'!$J$91:$P$91,K$61-2019)="",INDEX('Dữ liệu biểu đồ'!$C$92:$I$92,K$61-2019)&amp;"",HYPERLINK(INDEX('Dữ liệu biểu đồ'!$J$91:$P$91,K$61-2019),INDEX('Dữ liệu biểu đồ'!$C$92:$I$92,K$61-2019))))</f>
        <v>tr. 56</v>
      </c>
      <c r="L80" s="12" t="str">
        <f>IF(L$61="","",IF(INDEX('Dữ liệu biểu đồ'!$J$91:$P$91,L$61-2019)="",INDEX('Dữ liệu biểu đồ'!$C$92:$I$92,L$61-2019)&amp;"",HYPERLINK(INDEX('Dữ liệu biểu đồ'!$J$91:$P$91,L$61-2019),INDEX('Dữ liệu biểu đồ'!$C$92:$I$92,L$61-2019))))</f>
        <v>tr. 55</v>
      </c>
      <c r="M80" s="11"/>
    </row>
    <row r="81" spans="2:13" ht="20.25" customHeight="1" x14ac:dyDescent="0.25">
      <c r="B81" s="43" t="s">
        <v>510</v>
      </c>
      <c r="C81" s="43"/>
      <c r="D81" s="43"/>
      <c r="E81" s="8" t="s">
        <v>468</v>
      </c>
      <c r="F81" s="9" t="str">
        <f>IF(F$61="","",INDEX('Dữ liệu biểu đồ'!$C$93:$I$93,F$61-2019))</f>
        <v>348</v>
      </c>
      <c r="G81" s="9" t="str">
        <f>IF(G$61="","",INDEX('Dữ liệu biểu đồ'!$C$93:$I$93,G$61-2019))</f>
        <v>934</v>
      </c>
      <c r="H81" s="9" t="str">
        <f>IF(H$61="","",INDEX('Dữ liệu biểu đồ'!$C$93:$I$93,H$61-2019))</f>
        <v>605</v>
      </c>
      <c r="I81" s="9" t="str">
        <f>IF(I$61="","",INDEX('Dữ liệu biểu đồ'!$C$93:$I$93,I$61-2019))</f>
        <v>1.131</v>
      </c>
      <c r="J81" s="9" t="str">
        <f>IF(J$61="","",INDEX('Dữ liệu biểu đồ'!$C$93:$I$93,J$61-2019))</f>
        <v>1.000</v>
      </c>
      <c r="K81" s="9" t="str">
        <f>IF(K$61="","",INDEX('Dữ liệu biểu đồ'!$C$93:$I$93,K$61-2019))</f>
        <v>666</v>
      </c>
      <c r="L81" s="9" t="str">
        <f>IF(L$61="","",INDEX('Dữ liệu biểu đồ'!$C$93:$I$93,L$61-2019))</f>
        <v>792</v>
      </c>
      <c r="M81" s="10"/>
    </row>
    <row r="82" spans="2:13" ht="12.75" customHeight="1" x14ac:dyDescent="0.25">
      <c r="B82" s="44"/>
      <c r="C82" s="44"/>
      <c r="D82" s="44"/>
      <c r="E82" s="11"/>
      <c r="F82" s="12" t="str">
        <f>IF(F$61="","",IF(INDEX('Dữ liệu biểu đồ'!$J$93:$P$93,F$61-2019)="",INDEX('Dữ liệu biểu đồ'!$C$94:$I$94,F$61-2019)&amp;"",HYPERLINK(INDEX('Dữ liệu biểu đồ'!$J$93:$P$93,F$61-2019),INDEX('Dữ liệu biểu đồ'!$C$94:$I$94,F$61-2019))))</f>
        <v>tr. 56</v>
      </c>
      <c r="G82" s="12" t="str">
        <f>IF(G$61="","",IF(INDEX('Dữ liệu biểu đồ'!$J$93:$P$93,G$61-2019)="",INDEX('Dữ liệu biểu đồ'!$C$94:$I$94,G$61-2019)&amp;"",HYPERLINK(INDEX('Dữ liệu biểu đồ'!$J$93:$P$93,G$61-2019),INDEX('Dữ liệu biểu đồ'!$C$94:$I$94,G$61-2019))))</f>
        <v>tr. 57</v>
      </c>
      <c r="H82" s="12" t="str">
        <f>IF(H$61="","",IF(INDEX('Dữ liệu biểu đồ'!$J$93:$P$93,H$61-2019)="",INDEX('Dữ liệu biểu đồ'!$C$94:$I$94,H$61-2019)&amp;"",HYPERLINK(INDEX('Dữ liệu biểu đồ'!$J$93:$P$93,H$61-2019),INDEX('Dữ liệu biểu đồ'!$C$94:$I$94,H$61-2019))))</f>
        <v>tr. 56</v>
      </c>
      <c r="I82" s="12" t="str">
        <f>IF(I$61="","",IF(INDEX('Dữ liệu biểu đồ'!$J$93:$P$93,I$61-2019)="",INDEX('Dữ liệu biểu đồ'!$C$94:$I$94,I$61-2019)&amp;"",HYPERLINK(INDEX('Dữ liệu biểu đồ'!$J$93:$P$93,I$61-2019),INDEX('Dữ liệu biểu đồ'!$C$94:$I$94,I$61-2019))))</f>
        <v>tr. 55</v>
      </c>
      <c r="J82" s="12" t="str">
        <f>IF(J$61="","",IF(INDEX('Dữ liệu biểu đồ'!$J$93:$P$93,J$61-2019)="",INDEX('Dữ liệu biểu đồ'!$C$94:$I$94,J$61-2019)&amp;"",HYPERLINK(INDEX('Dữ liệu biểu đồ'!$J$93:$P$93,J$61-2019),INDEX('Dữ liệu biểu đồ'!$C$94:$I$94,J$61-2019))))</f>
        <v>tr. 57</v>
      </c>
      <c r="K82" s="12" t="str">
        <f>IF(K$61="","",IF(INDEX('Dữ liệu biểu đồ'!$J$93:$P$93,K$61-2019)="",INDEX('Dữ liệu biểu đồ'!$C$94:$I$94,K$61-2019)&amp;"",HYPERLINK(INDEX('Dữ liệu biểu đồ'!$J$93:$P$93,K$61-2019),INDEX('Dữ liệu biểu đồ'!$C$94:$I$94,K$61-2019))))</f>
        <v>tr. 56</v>
      </c>
      <c r="L82" s="12" t="str">
        <f>IF(L$61="","",IF(INDEX('Dữ liệu biểu đồ'!$J$93:$P$93,L$61-2019)="",INDEX('Dữ liệu biểu đồ'!$C$94:$I$94,L$61-2019)&amp;"",HYPERLINK(INDEX('Dữ liệu biểu đồ'!$J$93:$P$93,L$61-2019),INDEX('Dữ liệu biểu đồ'!$C$94:$I$94,L$61-2019))))</f>
        <v>tr. 55</v>
      </c>
      <c r="M82" s="11"/>
    </row>
    <row r="83" spans="2:13" ht="20.25" customHeight="1" x14ac:dyDescent="0.25">
      <c r="B83" s="45" t="s">
        <v>511</v>
      </c>
      <c r="C83" s="45"/>
      <c r="D83" s="45"/>
      <c r="E83" s="13" t="s">
        <v>468</v>
      </c>
      <c r="F83" s="14" t="str">
        <f>IF(F$61="","",INDEX('Dữ liệu biểu đồ'!$C$95:$I$95,F$61-2019))</f>
        <v>2.539</v>
      </c>
      <c r="G83" s="14" t="str">
        <f>IF(G$61="","",INDEX('Dữ liệu biểu đồ'!$C$95:$I$95,G$61-2019))</f>
        <v>5.727</v>
      </c>
      <c r="H83" s="14" t="str">
        <f>IF(H$61="","",INDEX('Dữ liệu biểu đồ'!$C$95:$I$95,H$61-2019))</f>
        <v>6.046</v>
      </c>
      <c r="I83" s="14" t="str">
        <f>IF(I$61="","",INDEX('Dữ liệu biểu đồ'!$C$95:$I$95,I$61-2019))</f>
        <v>5.070</v>
      </c>
      <c r="J83" s="14" t="str">
        <f>IF(J$61="","",INDEX('Dữ liệu biểu đồ'!$C$95:$I$95,J$61-2019))</f>
        <v>5.700</v>
      </c>
      <c r="K83" s="14" t="str">
        <f>IF(K$61="","",INDEX('Dữ liệu biểu đồ'!$C$95:$I$95,K$61-2019))</f>
        <v>3.219</v>
      </c>
      <c r="L83" s="14" t="str">
        <f>IF(L$61="","",INDEX('Dữ liệu biểu đồ'!$C$95:$I$95,L$61-2019))</f>
        <v>3.108</v>
      </c>
      <c r="M83" s="15"/>
    </row>
    <row r="84" spans="2:13" ht="12.75" customHeight="1" x14ac:dyDescent="0.25">
      <c r="B84" s="44"/>
      <c r="C84" s="44"/>
      <c r="D84" s="44"/>
      <c r="E84" s="11"/>
      <c r="F84" s="12" t="str">
        <f>IF(F$61="","",IF(INDEX('Dữ liệu biểu đồ'!$J$95:$P$95,F$61-2019)="",INDEX('Dữ liệu biểu đồ'!$C$96:$I$96,F$61-2019)&amp;"",HYPERLINK(INDEX('Dữ liệu biểu đồ'!$J$95:$P$95,F$61-2019),INDEX('Dữ liệu biểu đồ'!$C$96:$I$96,F$61-2019))))</f>
        <v>tr. 56</v>
      </c>
      <c r="G84" s="12" t="str">
        <f>IF(G$61="","",IF(INDEX('Dữ liệu biểu đồ'!$J$95:$P$95,G$61-2019)="",INDEX('Dữ liệu biểu đồ'!$C$96:$I$96,G$61-2019)&amp;"",HYPERLINK(INDEX('Dữ liệu biểu đồ'!$J$95:$P$95,G$61-2019),INDEX('Dữ liệu biểu đồ'!$C$96:$I$96,G$61-2019))))</f>
        <v>tr. 57</v>
      </c>
      <c r="H84" s="12" t="str">
        <f>IF(H$61="","",IF(INDEX('Dữ liệu biểu đồ'!$J$95:$P$95,H$61-2019)="",INDEX('Dữ liệu biểu đồ'!$C$96:$I$96,H$61-2019)&amp;"",HYPERLINK(INDEX('Dữ liệu biểu đồ'!$J$95:$P$95,H$61-2019),INDEX('Dữ liệu biểu đồ'!$C$96:$I$96,H$61-2019))))</f>
        <v>tr. 56</v>
      </c>
      <c r="I84" s="12" t="str">
        <f>IF(I$61="","",IF(INDEX('Dữ liệu biểu đồ'!$J$95:$P$95,I$61-2019)="",INDEX('Dữ liệu biểu đồ'!$C$96:$I$96,I$61-2019)&amp;"",HYPERLINK(INDEX('Dữ liệu biểu đồ'!$J$95:$P$95,I$61-2019),INDEX('Dữ liệu biểu đồ'!$C$96:$I$96,I$61-2019))))</f>
        <v>tr. 55</v>
      </c>
      <c r="J84" s="12" t="str">
        <f>IF(J$61="","",IF(INDEX('Dữ liệu biểu đồ'!$J$95:$P$95,J$61-2019)="",INDEX('Dữ liệu biểu đồ'!$C$96:$I$96,J$61-2019)&amp;"",HYPERLINK(INDEX('Dữ liệu biểu đồ'!$J$95:$P$95,J$61-2019),INDEX('Dữ liệu biểu đồ'!$C$96:$I$96,J$61-2019))))</f>
        <v>tr. 57</v>
      </c>
      <c r="K84" s="12" t="str">
        <f>IF(K$61="","",IF(INDEX('Dữ liệu biểu đồ'!$J$95:$P$95,K$61-2019)="",INDEX('Dữ liệu biểu đồ'!$C$96:$I$96,K$61-2019)&amp;"",HYPERLINK(INDEX('Dữ liệu biểu đồ'!$J$95:$P$95,K$61-2019),INDEX('Dữ liệu biểu đồ'!$C$96:$I$96,K$61-2019))))</f>
        <v>tr. 56</v>
      </c>
      <c r="L84" s="12" t="str">
        <f>IF(L$61="","",IF(INDEX('Dữ liệu biểu đồ'!$J$95:$P$95,L$61-2019)="",INDEX('Dữ liệu biểu đồ'!$C$96:$I$96,L$61-2019)&amp;"",HYPERLINK(INDEX('Dữ liệu biểu đồ'!$J$95:$P$95,L$61-2019),INDEX('Dữ liệu biểu đồ'!$C$96:$I$96,L$61-2019))))</f>
        <v>tr. 55</v>
      </c>
      <c r="M84" s="11"/>
    </row>
    <row r="85" spans="2:13" ht="20.25" customHeight="1" x14ac:dyDescent="0.25">
      <c r="B85" s="42" t="s">
        <v>512</v>
      </c>
      <c r="C85" s="42"/>
      <c r="D85" s="42"/>
      <c r="E85" s="42"/>
      <c r="F85" s="42"/>
      <c r="G85" s="42"/>
      <c r="H85" s="42"/>
      <c r="I85" s="42"/>
      <c r="J85" s="42"/>
      <c r="K85" s="42"/>
      <c r="L85" s="42"/>
      <c r="M85" s="42"/>
    </row>
    <row r="86" spans="2:13" ht="20.25" customHeight="1" x14ac:dyDescent="0.25">
      <c r="B86" s="46" t="s">
        <v>513</v>
      </c>
      <c r="C86" s="46"/>
      <c r="D86" s="46"/>
      <c r="E86" s="16" t="s">
        <v>473</v>
      </c>
      <c r="F86" s="17" t="str">
        <f>IF(F$61="","",INDEX('Dữ liệu biểu đồ'!$C$97:$I$97,F$61-2019))</f>
        <v>−4,4%</v>
      </c>
      <c r="G86" s="17" t="str">
        <f>IF(G$61="","",INDEX('Dữ liệu biểu đồ'!$C$97:$I$97,G$61-2019))</f>
        <v>+19,1%</v>
      </c>
      <c r="H86" s="17" t="str">
        <f>IF(H$61="","",INDEX('Dữ liệu biểu đồ'!$C$97:$I$97,H$61-2019))</f>
        <v>+4,9%</v>
      </c>
      <c r="I86" s="17" t="str">
        <f>IF(I$61="","",INDEX('Dữ liệu biểu đồ'!$C$97:$I$97,I$61-2019))</f>
        <v>+9,6%</v>
      </c>
      <c r="J86" s="17" t="str">
        <f>IF(J$61="","",INDEX('Dữ liệu biểu đồ'!$C$97:$I$97,J$61-2019))</f>
        <v>+0,3%</v>
      </c>
      <c r="K86" s="17" t="str">
        <f>IF(K$61="","",INDEX('Dữ liệu biểu đồ'!$C$97:$I$97,K$61-2019))</f>
        <v>−9,8%</v>
      </c>
      <c r="L86" s="17" t="str">
        <f>IF(L$61="","",INDEX('Dữ liệu biểu đồ'!$C$97:$I$97,L$61-2019))</f>
        <v>+0,2%</v>
      </c>
      <c r="M86" s="18"/>
    </row>
    <row r="87" spans="2:13" ht="20.25" customHeight="1" x14ac:dyDescent="0.25">
      <c r="B87" s="43" t="s">
        <v>514</v>
      </c>
      <c r="C87" s="43"/>
      <c r="D87" s="43"/>
      <c r="E87" s="8" t="s">
        <v>473</v>
      </c>
      <c r="F87" s="9" t="str">
        <f>IF(F$61="","",INDEX('Dữ liệu biểu đồ'!$C$99:$I$99,F$61-2019))</f>
        <v>−2%</v>
      </c>
      <c r="G87" s="9" t="str">
        <f>IF(G$61="","",INDEX('Dữ liệu biểu đồ'!$C$99:$I$99,G$61-2019))</f>
        <v>+17%</v>
      </c>
      <c r="H87" s="9" t="str">
        <f>IF(H$61="","",INDEX('Dữ liệu biểu đồ'!$C$99:$I$99,H$61-2019))</f>
        <v>+6%</v>
      </c>
      <c r="I87" s="9" t="str">
        <f>IF(I$61="","",INDEX('Dữ liệu biểu đồ'!$C$99:$I$99,I$61-2019))</f>
        <v>+16%</v>
      </c>
      <c r="J87" s="9" t="str">
        <f>IF(J$61="","",INDEX('Dữ liệu biểu đồ'!$C$99:$I$99,J$61-2019))</f>
        <v>+1%</v>
      </c>
      <c r="K87" s="9" t="str">
        <f>IF(K$61="","",INDEX('Dữ liệu biểu đồ'!$C$99:$I$99,K$61-2019))</f>
        <v>−9%</v>
      </c>
      <c r="L87" s="9" t="str">
        <f>IF(L$61="","",INDEX('Dữ liệu biểu đồ'!$C$99:$I$99,L$61-2019))</f>
        <v>−2%</v>
      </c>
      <c r="M87" s="10"/>
    </row>
    <row r="88" spans="2:13" ht="12.75" customHeight="1" x14ac:dyDescent="0.25">
      <c r="B88" s="44"/>
      <c r="C88" s="44"/>
      <c r="D88" s="44"/>
      <c r="E88" s="11"/>
      <c r="F88" s="12" t="str">
        <f>IF(F$61="","",IF(INDEX('Dữ liệu biểu đồ'!$J$99:$P$99,F$61-2019)="",INDEX('Dữ liệu biểu đồ'!$C$100:$I$100,F$61-2019)&amp;"",HYPERLINK(INDEX('Dữ liệu biểu đồ'!$J$99:$P$99,F$61-2019),INDEX('Dữ liệu biểu đồ'!$C$100:$I$100,F$61-2019))))</f>
        <v>tr. 31</v>
      </c>
      <c r="G88" s="12" t="str">
        <f>IF(G$61="","",IF(INDEX('Dữ liệu biểu đồ'!$J$99:$P$99,G$61-2019)="",INDEX('Dữ liệu biểu đồ'!$C$100:$I$100,G$61-2019)&amp;"",HYPERLINK(INDEX('Dữ liệu biểu đồ'!$J$99:$P$99,G$61-2019),INDEX('Dữ liệu biểu đồ'!$C$100:$I$100,G$61-2019))))</f>
        <v>tr. 32</v>
      </c>
      <c r="H88" s="12" t="str">
        <f>IF(H$61="","",IF(INDEX('Dữ liệu biểu đồ'!$J$99:$P$99,H$61-2019)="",INDEX('Dữ liệu biểu đồ'!$C$100:$I$100,H$61-2019)&amp;"",HYPERLINK(INDEX('Dữ liệu biểu đồ'!$J$99:$P$99,H$61-2019),INDEX('Dữ liệu biểu đồ'!$C$100:$I$100,H$61-2019))))</f>
        <v>tr. 32</v>
      </c>
      <c r="I88" s="12" t="str">
        <f>IF(I$61="","",IF(INDEX('Dữ liệu biểu đồ'!$J$99:$P$99,I$61-2019)="",INDEX('Dữ liệu biểu đồ'!$C$100:$I$100,I$61-2019)&amp;"",HYPERLINK(INDEX('Dữ liệu biểu đồ'!$J$99:$P$99,I$61-2019),INDEX('Dữ liệu biểu đồ'!$C$100:$I$100,I$61-2019))))</f>
        <v>tr. 32</v>
      </c>
      <c r="J88" s="12" t="str">
        <f>IF(J$61="","",IF(INDEX('Dữ liệu biểu đồ'!$J$99:$P$99,J$61-2019)="",INDEX('Dữ liệu biểu đồ'!$C$100:$I$100,J$61-2019)&amp;"",HYPERLINK(INDEX('Dữ liệu biểu đồ'!$J$99:$P$99,J$61-2019),INDEX('Dữ liệu biểu đồ'!$C$100:$I$100,J$61-2019))))</f>
        <v>tr. 34</v>
      </c>
      <c r="K88" s="12" t="str">
        <f>IF(K$61="","",IF(INDEX('Dữ liệu biểu đồ'!$J$99:$P$99,K$61-2019)="",INDEX('Dữ liệu biểu đồ'!$C$100:$I$100,K$61-2019)&amp;"",HYPERLINK(INDEX('Dữ liệu biểu đồ'!$J$99:$P$99,K$61-2019),INDEX('Dữ liệu biểu đồ'!$C$100:$I$100,K$61-2019))))</f>
        <v>tr. 33</v>
      </c>
      <c r="L88" s="12" t="str">
        <f>IF(L$61="","",IF(INDEX('Dữ liệu biểu đồ'!$J$99:$P$99,L$61-2019)="",INDEX('Dữ liệu biểu đồ'!$C$100:$I$100,L$61-2019)&amp;"",HYPERLINK(INDEX('Dữ liệu biểu đồ'!$J$99:$P$99,L$61-2019),INDEX('Dữ liệu biểu đồ'!$C$100:$I$100,L$61-2019))))</f>
        <v>tr. 32</v>
      </c>
      <c r="M88" s="11"/>
    </row>
    <row r="89" spans="2:13" ht="20.25" customHeight="1" x14ac:dyDescent="0.25">
      <c r="B89" s="46" t="s">
        <v>17</v>
      </c>
      <c r="C89" s="46"/>
      <c r="D89" s="46"/>
      <c r="E89" s="16" t="s">
        <v>473</v>
      </c>
      <c r="F89" s="17" t="str">
        <f>IF(F$61="","",INDEX('Dữ liệu biểu đồ'!$C$101:$I$101,F$61-2019))</f>
        <v>43,4%</v>
      </c>
      <c r="G89" s="17" t="str">
        <f>IF(G$61="","",INDEX('Dữ liệu biểu đồ'!$C$101:$I$101,G$61-2019))</f>
        <v>44,8%</v>
      </c>
      <c r="H89" s="17" t="str">
        <f>IF(H$61="","",INDEX('Dữ liệu biểu đồ'!$C$101:$I$101,H$61-2019))</f>
        <v>46,0%</v>
      </c>
      <c r="I89" s="17" t="str">
        <f>IF(I$61="","",INDEX('Dữ liệu biểu đồ'!$C$101:$I$101,I$61-2019))</f>
        <v>43,5%</v>
      </c>
      <c r="J89" s="17" t="str">
        <f>IF(J$61="","",INDEX('Dữ liệu biểu đồ'!$C$101:$I$101,J$61-2019))</f>
        <v>44,6%</v>
      </c>
      <c r="K89" s="17" t="str">
        <f>IF(K$61="","",INDEX('Dữ liệu biểu đồ'!$C$101:$I$101,K$61-2019))</f>
        <v>42,7%</v>
      </c>
      <c r="L89" s="17" t="str">
        <f>IF(L$61="","",INDEX('Dữ liệu biểu đồ'!$C$101:$I$101,L$61-2019))</f>
        <v>42,9%</v>
      </c>
      <c r="M89" s="18"/>
    </row>
    <row r="90" spans="2:13" ht="20.25" customHeight="1" x14ac:dyDescent="0.25">
      <c r="B90" s="46" t="s">
        <v>515</v>
      </c>
      <c r="C90" s="46"/>
      <c r="D90" s="46"/>
      <c r="E90" s="16" t="s">
        <v>473</v>
      </c>
      <c r="F90" s="17" t="str">
        <f>IF(F$61="","",INDEX('Dữ liệu biểu đồ'!$C$103:$I$103,F$61-2019))</f>
        <v>35,1%</v>
      </c>
      <c r="G90" s="17" t="str">
        <f>IF(G$61="","",INDEX('Dữ liệu biểu đồ'!$C$103:$I$103,G$61-2019))</f>
        <v>29,2%</v>
      </c>
      <c r="H90" s="17" t="str">
        <f>IF(H$61="","",INDEX('Dữ liệu biểu đồ'!$C$103:$I$103,H$61-2019))</f>
        <v>31,7%</v>
      </c>
      <c r="I90" s="17" t="str">
        <f>IF(I$61="","",INDEX('Dữ liệu biểu đồ'!$C$103:$I$103,I$61-2019))</f>
        <v>32,0%</v>
      </c>
      <c r="J90" s="17" t="str">
        <f>IF(J$61="","",INDEX('Dữ liệu biểu đồ'!$C$103:$I$103,J$61-2019))</f>
        <v>32,3%</v>
      </c>
      <c r="K90" s="17" t="str">
        <f>IF(K$61="","",INDEX('Dữ liệu biểu đồ'!$C$103:$I$103,K$61-2019))</f>
        <v>34,7%</v>
      </c>
      <c r="L90" s="17" t="str">
        <f>IF(L$61="","",INDEX('Dữ liệu biểu đồ'!$C$103:$I$103,L$61-2019))</f>
        <v>34,7%</v>
      </c>
      <c r="M90" s="18"/>
    </row>
    <row r="91" spans="2:13" ht="20.25" customHeight="1" x14ac:dyDescent="0.25">
      <c r="B91" s="46" t="s">
        <v>516</v>
      </c>
      <c r="C91" s="46"/>
      <c r="D91" s="46"/>
      <c r="E91" s="16" t="s">
        <v>473</v>
      </c>
      <c r="F91" s="17" t="str">
        <f>IF(F$61="","",INDEX('Dữ liệu biểu đồ'!$C$105:$I$105,F$61-2019))</f>
        <v>9,6%</v>
      </c>
      <c r="G91" s="17" t="str">
        <f>IF(G$61="","",INDEX('Dữ liệu biểu đồ'!$C$105:$I$105,G$61-2019))</f>
        <v>7,0%</v>
      </c>
      <c r="H91" s="17" t="str">
        <f>IF(H$61="","",INDEX('Dữ liệu biểu đồ'!$C$105:$I$105,H$61-2019))</f>
        <v>8,2%</v>
      </c>
      <c r="I91" s="17" t="str">
        <f>IF(I$61="","",INDEX('Dữ liệu biểu đồ'!$C$105:$I$105,I$61-2019))</f>
        <v>7,9%</v>
      </c>
      <c r="J91" s="17" t="str">
        <f>IF(J$61="","",INDEX('Dữ liệu biểu đồ'!$C$105:$I$105,J$61-2019))</f>
        <v>8,3%</v>
      </c>
      <c r="K91" s="17" t="str">
        <f>IF(K$61="","",INDEX('Dữ liệu biểu đồ'!$C$105:$I$105,K$61-2019))</f>
        <v>10,1%</v>
      </c>
      <c r="L91" s="17" t="str">
        <f>IF(L$61="","",INDEX('Dữ liệu biểu đồ'!$C$105:$I$105,L$61-2019))</f>
        <v>10,2%</v>
      </c>
      <c r="M91" s="18"/>
    </row>
    <row r="92" spans="2:13" ht="20.25" customHeight="1" x14ac:dyDescent="0.25">
      <c r="B92" s="46" t="s">
        <v>517</v>
      </c>
      <c r="C92" s="46"/>
      <c r="D92" s="46"/>
      <c r="E92" s="16" t="s">
        <v>473</v>
      </c>
      <c r="F92" s="17" t="str">
        <f>IF(F$61="","",INDEX('Dữ liệu biểu đồ'!$C$107:$I$107,F$61-2019))</f>
        <v>25,5%</v>
      </c>
      <c r="G92" s="17" t="str">
        <f>IF(G$61="","",INDEX('Dữ liệu biểu đồ'!$C$107:$I$107,G$61-2019))</f>
        <v>22,3%</v>
      </c>
      <c r="H92" s="17" t="str">
        <f>IF(H$61="","",INDEX('Dữ liệu biểu đồ'!$C$107:$I$107,H$61-2019))</f>
        <v>23,5%</v>
      </c>
      <c r="I92" s="17" t="str">
        <f>IF(I$61="","",INDEX('Dữ liệu biểu đồ'!$C$107:$I$107,I$61-2019))</f>
        <v>24,0%</v>
      </c>
      <c r="J92" s="17" t="str">
        <f>IF(J$61="","",INDEX('Dữ liệu biểu đồ'!$C$107:$I$107,J$61-2019))</f>
        <v>23,9%</v>
      </c>
      <c r="K92" s="17" t="str">
        <f>IF(K$61="","",INDEX('Dữ liệu biểu đồ'!$C$107:$I$107,K$61-2019))</f>
        <v>24,6%</v>
      </c>
      <c r="L92" s="17" t="str">
        <f>IF(L$61="","",INDEX('Dữ liệu biểu đồ'!$C$107:$I$107,L$61-2019))</f>
        <v>24,5%</v>
      </c>
      <c r="M92" s="18"/>
    </row>
    <row r="93" spans="2:13" ht="20.25" customHeight="1" x14ac:dyDescent="0.25">
      <c r="B93" s="46" t="s">
        <v>518</v>
      </c>
      <c r="C93" s="46"/>
      <c r="D93" s="46"/>
      <c r="E93" s="16" t="s">
        <v>473</v>
      </c>
      <c r="F93" s="17" t="str">
        <f>IF(F$61="","",INDEX('Dữ liệu biểu đồ'!$C$109:$I$109,F$61-2019))</f>
        <v>6,8%</v>
      </c>
      <c r="G93" s="17" t="str">
        <f>IF(G$61="","",INDEX('Dữ liệu biểu đồ'!$C$109:$I$109,G$61-2019))</f>
        <v>12,9%</v>
      </c>
      <c r="H93" s="17" t="str">
        <f>IF(H$61="","",INDEX('Dữ liệu biểu đồ'!$C$109:$I$109,H$61-2019))</f>
        <v>12,9%</v>
      </c>
      <c r="I93" s="17" t="str">
        <f>IF(I$61="","",INDEX('Dữ liệu biểu đồ'!$C$109:$I$109,I$61-2019))</f>
        <v>9,9%</v>
      </c>
      <c r="J93" s="17" t="str">
        <f>IF(J$61="","",INDEX('Dữ liệu biểu đồ'!$C$109:$I$109,J$61-2019))</f>
        <v>11,1%</v>
      </c>
      <c r="K93" s="17" t="str">
        <f>IF(K$61="","",INDEX('Dữ liệu biểu đồ'!$C$109:$I$109,K$61-2019))</f>
        <v>7,0%</v>
      </c>
      <c r="L93" s="17" t="str">
        <f>IF(L$61="","",INDEX('Dữ liệu biểu đồ'!$C$109:$I$109,L$61-2019))</f>
        <v>6,7%</v>
      </c>
      <c r="M93" s="18"/>
    </row>
    <row r="94" spans="2:13" ht="20.25" customHeight="1" x14ac:dyDescent="0.25">
      <c r="B94" s="42" t="s">
        <v>519</v>
      </c>
      <c r="C94" s="42"/>
      <c r="D94" s="42"/>
      <c r="E94" s="42"/>
      <c r="F94" s="42"/>
      <c r="G94" s="42"/>
      <c r="H94" s="42"/>
      <c r="I94" s="42"/>
      <c r="J94" s="42"/>
      <c r="K94" s="42"/>
      <c r="L94" s="42"/>
      <c r="M94" s="42"/>
    </row>
    <row r="95" spans="2:13" ht="20.25" customHeight="1" x14ac:dyDescent="0.25">
      <c r="B95" s="43" t="s">
        <v>520</v>
      </c>
      <c r="C95" s="43"/>
      <c r="D95" s="43"/>
      <c r="E95" s="8" t="s">
        <v>468</v>
      </c>
      <c r="F95" s="9" t="str">
        <f>IF(F$61="","",INDEX('Dữ liệu biểu đồ'!$C$111:$I$111,F$61-2019))</f>
        <v>2.976</v>
      </c>
      <c r="G95" s="9" t="str">
        <f>IF(G$61="","",INDEX('Dữ liệu biểu đồ'!$C$111:$I$111,G$61-2019))</f>
        <v>6.923</v>
      </c>
      <c r="H95" s="9" t="str">
        <f>IF(H$61="","",INDEX('Dữ liệu biểu đồ'!$C$111:$I$111,H$61-2019))</f>
        <v>6.856</v>
      </c>
      <c r="I95" s="9" t="str">
        <f>IF(I$61="","",INDEX('Dữ liệu biểu đồ'!$C$111:$I$111,I$61-2019))</f>
        <v>6.195</v>
      </c>
      <c r="J95" s="9" t="str">
        <f>IF(J$61="","",INDEX('Dữ liệu biểu đồ'!$C$111:$I$111,J$61-2019))</f>
        <v>6.539</v>
      </c>
      <c r="K95" s="9" t="str">
        <f>IF(K$61="","",INDEX('Dữ liệu biểu đồ'!$C$111:$I$111,K$61-2019))</f>
        <v>3.778</v>
      </c>
      <c r="L95" s="9" t="str">
        <f>IF(L$61="","",INDEX('Dữ liệu biểu đồ'!$C$111:$I$111,L$61-2019))</f>
        <v>3.850</v>
      </c>
      <c r="M95" s="10"/>
    </row>
    <row r="96" spans="2:13" ht="12.75" customHeight="1" x14ac:dyDescent="0.25">
      <c r="B96" s="44"/>
      <c r="C96" s="44"/>
      <c r="D96" s="44"/>
      <c r="E96" s="11"/>
      <c r="F96" s="12" t="str">
        <f>IF(F$61="","",IF(INDEX('Dữ liệu biểu đồ'!$J$111:$P$111,F$61-2019)="",INDEX('Dữ liệu biểu đồ'!$C$112:$I$112,F$61-2019)&amp;"",HYPERLINK(INDEX('Dữ liệu biểu đồ'!$J$111:$P$111,F$61-2019),INDEX('Dữ liệu biểu đồ'!$C$112:$I$112,F$61-2019))))</f>
        <v>tr. 35</v>
      </c>
      <c r="G96" s="12" t="str">
        <f>IF(G$61="","",IF(INDEX('Dữ liệu biểu đồ'!$J$111:$P$111,G$61-2019)="",INDEX('Dữ liệu biểu đồ'!$C$112:$I$112,G$61-2019)&amp;"",HYPERLINK(INDEX('Dữ liệu biểu đồ'!$J$111:$P$111,G$61-2019),INDEX('Dữ liệu biểu đồ'!$C$112:$I$112,G$61-2019))))</f>
        <v>tr. 36</v>
      </c>
      <c r="H96" s="12" t="str">
        <f>IF(H$61="","",IF(INDEX('Dữ liệu biểu đồ'!$J$111:$P$111,H$61-2019)="",INDEX('Dữ liệu biểu đồ'!$C$112:$I$112,H$61-2019)&amp;"",HYPERLINK(INDEX('Dữ liệu biểu đồ'!$J$111:$P$111,H$61-2019),INDEX('Dữ liệu biểu đồ'!$C$112:$I$112,H$61-2019))))</f>
        <v>tr. 36</v>
      </c>
      <c r="I96" s="12" t="str">
        <f>IF(I$61="","",IF(INDEX('Dữ liệu biểu đồ'!$J$111:$P$111,I$61-2019)="",INDEX('Dữ liệu biểu đồ'!$C$112:$I$112,I$61-2019)&amp;"",HYPERLINK(INDEX('Dữ liệu biểu đồ'!$J$111:$P$111,I$61-2019),INDEX('Dữ liệu biểu đồ'!$C$112:$I$112,I$61-2019))))</f>
        <v>tr. 36</v>
      </c>
      <c r="J96" s="12" t="str">
        <f>IF(J$61="","",IF(INDEX('Dữ liệu biểu đồ'!$J$111:$P$111,J$61-2019)="",INDEX('Dữ liệu biểu đồ'!$C$112:$I$112,J$61-2019)&amp;"",HYPERLINK(INDEX('Dữ liệu biểu đồ'!$J$111:$P$111,J$61-2019),INDEX('Dữ liệu biểu đồ'!$C$112:$I$112,J$61-2019))))</f>
        <v>tr. 38</v>
      </c>
      <c r="K96" s="12" t="str">
        <f>IF(K$61="","",IF(INDEX('Dữ liệu biểu đồ'!$J$111:$P$111,K$61-2019)="",INDEX('Dữ liệu biểu đồ'!$C$112:$I$112,K$61-2019)&amp;"",HYPERLINK(INDEX('Dữ liệu biểu đồ'!$J$111:$P$111,K$61-2019),INDEX('Dữ liệu biểu đồ'!$C$112:$I$112,K$61-2019))))</f>
        <v>tr. 37</v>
      </c>
      <c r="L96" s="12" t="str">
        <f>IF(L$61="","",IF(INDEX('Dữ liệu biểu đồ'!$J$111:$P$111,L$61-2019)="",INDEX('Dữ liệu biểu đồ'!$C$112:$I$112,L$61-2019)&amp;"",HYPERLINK(INDEX('Dữ liệu biểu đồ'!$J$111:$P$111,L$61-2019),INDEX('Dữ liệu biểu đồ'!$C$112:$I$112,L$61-2019))))</f>
        <v>tr. 36</v>
      </c>
      <c r="M96" s="11"/>
    </row>
    <row r="97" spans="2:13" ht="20.25" customHeight="1" x14ac:dyDescent="0.25">
      <c r="B97" s="46" t="s">
        <v>21</v>
      </c>
      <c r="C97" s="46"/>
      <c r="D97" s="46"/>
      <c r="E97" s="16" t="s">
        <v>473</v>
      </c>
      <c r="F97" s="17" t="str">
        <f>IF(F$61="","",INDEX('Dữ liệu biểu đồ'!$C$113:$I$113,F$61-2019))</f>
        <v>8,0%</v>
      </c>
      <c r="G97" s="17" t="str">
        <f>IF(G$61="","",INDEX('Dữ liệu biểu đồ'!$C$113:$I$113,G$61-2019))</f>
        <v>15,5%</v>
      </c>
      <c r="H97" s="17" t="str">
        <f>IF(H$61="","",INDEX('Dữ liệu biểu đồ'!$C$113:$I$113,H$61-2019))</f>
        <v>14,7%</v>
      </c>
      <c r="I97" s="17" t="str">
        <f>IF(I$61="","",INDEX('Dữ liệu biểu đồ'!$C$113:$I$113,I$61-2019))</f>
        <v>12,1%</v>
      </c>
      <c r="J97" s="17" t="str">
        <f>IF(J$61="","",INDEX('Dữ liệu biểu đồ'!$C$113:$I$113,J$61-2019))</f>
        <v>12,7%</v>
      </c>
      <c r="K97" s="17" t="str">
        <f>IF(K$61="","",INDEX('Dữ liệu biểu đồ'!$C$113:$I$113,K$61-2019))</f>
        <v>8,2%</v>
      </c>
      <c r="L97" s="17" t="str">
        <f>IF(L$61="","",INDEX('Dữ liệu biểu đồ'!$C$113:$I$113,L$61-2019))</f>
        <v>8,3%</v>
      </c>
      <c r="M97" s="18"/>
    </row>
    <row r="98" spans="2:13" ht="20.25" customHeight="1" x14ac:dyDescent="0.25">
      <c r="B98" s="42" t="s">
        <v>521</v>
      </c>
      <c r="C98" s="42"/>
      <c r="D98" s="42"/>
      <c r="E98" s="42"/>
      <c r="F98" s="42"/>
      <c r="G98" s="42"/>
      <c r="H98" s="42"/>
      <c r="I98" s="42"/>
      <c r="J98" s="42"/>
      <c r="K98" s="42"/>
      <c r="L98" s="42"/>
      <c r="M98" s="42"/>
    </row>
    <row r="99" spans="2:13" ht="20.25" customHeight="1" x14ac:dyDescent="0.25">
      <c r="B99" s="43" t="s">
        <v>522</v>
      </c>
      <c r="C99" s="43"/>
      <c r="D99" s="43"/>
      <c r="E99" s="8" t="s">
        <v>468</v>
      </c>
      <c r="F99" s="9" t="str">
        <f>IF(F$61="","",INDEX('Dữ liệu biểu đồ'!$C$115:$I$115,F$61-2019))</f>
        <v>7.367</v>
      </c>
      <c r="G99" s="9" t="str">
        <f>IF(G$61="","",INDEX('Dữ liệu biểu đồ'!$C$115:$I$115,G$61-2019))</f>
        <v>6.854</v>
      </c>
      <c r="H99" s="9" t="str">
        <f>IF(H$61="","",INDEX('Dữ liệu biểu đồ'!$C$115:$I$115,H$61-2019))</f>
        <v>8.420</v>
      </c>
      <c r="I99" s="9" t="str">
        <f>IF(I$61="","",INDEX('Dữ liệu biểu đồ'!$C$115:$I$115,I$61-2019))</f>
        <v>8.454</v>
      </c>
      <c r="J99" s="9" t="str">
        <f>IF(J$61="","",INDEX('Dữ liệu biểu đồ'!$C$115:$I$115,J$61-2019))</f>
        <v>7.519</v>
      </c>
      <c r="K99" s="9" t="str">
        <f>IF(K$61="","",INDEX('Dữ liệu biểu đồ'!$C$115:$I$115,K$61-2019))</f>
        <v>7.489</v>
      </c>
      <c r="L99" s="9" t="str">
        <f>IF(L$61="","",INDEX('Dữ liệu biểu đồ'!$C$115:$I$115,L$61-2019))</f>
        <v>7.501</v>
      </c>
      <c r="M99" s="10"/>
    </row>
    <row r="100" spans="2:13" ht="12.75" customHeight="1" x14ac:dyDescent="0.25">
      <c r="B100" s="44"/>
      <c r="C100" s="44"/>
      <c r="D100" s="44"/>
      <c r="E100" s="11"/>
      <c r="F100" s="12" t="str">
        <f>IF(F$61="","",IF(INDEX('Dữ liệu biểu đồ'!$J$115:$P$115,F$61-2019)="",INDEX('Dữ liệu biểu đồ'!$C$116:$I$116,F$61-2019)&amp;"",HYPERLINK(INDEX('Dữ liệu biểu đồ'!$J$115:$P$115,F$61-2019),INDEX('Dữ liệu biểu đồ'!$C$116:$I$116,F$61-2019))))</f>
        <v>tr. 58</v>
      </c>
      <c r="G100" s="12" t="str">
        <f>IF(G$61="","",IF(INDEX('Dữ liệu biểu đồ'!$J$115:$P$115,G$61-2019)="",INDEX('Dữ liệu biểu đồ'!$C$116:$I$116,G$61-2019)&amp;"",HYPERLINK(INDEX('Dữ liệu biểu đồ'!$J$115:$P$115,G$61-2019),INDEX('Dữ liệu biểu đồ'!$C$116:$I$116,G$61-2019))))</f>
        <v>tr. 59</v>
      </c>
      <c r="H100" s="12" t="str">
        <f>IF(H$61="","",IF(INDEX('Dữ liệu biểu đồ'!$J$115:$P$115,H$61-2019)="",INDEX('Dữ liệu biểu đồ'!$C$116:$I$116,H$61-2019)&amp;"",HYPERLINK(INDEX('Dữ liệu biểu đồ'!$J$115:$P$115,H$61-2019),INDEX('Dữ liệu biểu đồ'!$C$116:$I$116,H$61-2019))))</f>
        <v>tr. 58</v>
      </c>
      <c r="I100" s="12" t="str">
        <f>IF(I$61="","",IF(INDEX('Dữ liệu biểu đồ'!$J$115:$P$115,I$61-2019)="",INDEX('Dữ liệu biểu đồ'!$C$116:$I$116,I$61-2019)&amp;"",HYPERLINK(INDEX('Dữ liệu biểu đồ'!$J$115:$P$115,I$61-2019),INDEX('Dữ liệu biểu đồ'!$C$116:$I$116,I$61-2019))))</f>
        <v>tr. 57</v>
      </c>
      <c r="J100" s="12" t="str">
        <f>IF(J$61="","",IF(INDEX('Dữ liệu biểu đồ'!$J$115:$P$115,J$61-2019)="",INDEX('Dữ liệu biểu đồ'!$C$116:$I$116,J$61-2019)&amp;"",HYPERLINK(INDEX('Dữ liệu biểu đồ'!$J$115:$P$115,J$61-2019),INDEX('Dữ liệu biểu đồ'!$C$116:$I$116,J$61-2019))))</f>
        <v>tr. 59</v>
      </c>
      <c r="K100" s="12" t="str">
        <f>IF(K$61="","",IF(INDEX('Dữ liệu biểu đồ'!$J$115:$P$115,K$61-2019)="",INDEX('Dữ liệu biểu đồ'!$C$116:$I$116,K$61-2019)&amp;"",HYPERLINK(INDEX('Dữ liệu biểu đồ'!$J$115:$P$115,K$61-2019),INDEX('Dữ liệu biểu đồ'!$C$116:$I$116,K$61-2019))))</f>
        <v>tr. 58</v>
      </c>
      <c r="L100" s="12" t="str">
        <f>IF(L$61="","",IF(INDEX('Dữ liệu biểu đồ'!$J$115:$P$115,L$61-2019)="",INDEX('Dữ liệu biểu đồ'!$C$116:$I$116,L$61-2019)&amp;"",HYPERLINK(INDEX('Dữ liệu biểu đồ'!$J$115:$P$115,L$61-2019),INDEX('Dữ liệu biểu đồ'!$C$116:$I$116,L$61-2019))))</f>
        <v>tr. 57</v>
      </c>
      <c r="M100" s="11"/>
    </row>
    <row r="101" spans="2:13" ht="20.25" customHeight="1" x14ac:dyDescent="0.25">
      <c r="B101" s="46" t="s">
        <v>523</v>
      </c>
      <c r="C101" s="46"/>
      <c r="D101" s="46"/>
      <c r="E101" s="16" t="s">
        <v>473</v>
      </c>
      <c r="F101" s="17" t="str">
        <f>IF(F$61="","",INDEX('Dữ liệu biểu đồ'!$C$117:$I$117,F$61-2019))</f>
        <v>+31,0%</v>
      </c>
      <c r="G101" s="17" t="str">
        <f>IF(G$61="","",INDEX('Dữ liệu biểu đồ'!$C$117:$I$117,G$61-2019))</f>
        <v>−7,0%</v>
      </c>
      <c r="H101" s="17" t="str">
        <f>IF(H$61="","",INDEX('Dữ liệu biểu đồ'!$C$117:$I$117,H$61-2019))</f>
        <v>+22,8%</v>
      </c>
      <c r="I101" s="17" t="str">
        <f>IF(I$61="","",INDEX('Dữ liệu biểu đồ'!$C$117:$I$117,I$61-2019))</f>
        <v>+0,4%</v>
      </c>
      <c r="J101" s="17" t="str">
        <f>IF(J$61="","",INDEX('Dữ liệu biểu đồ'!$C$117:$I$117,J$61-2019))</f>
        <v>−11,1%</v>
      </c>
      <c r="K101" s="17" t="str">
        <f>IF(K$61="","",INDEX('Dữ liệu biểu đồ'!$C$117:$I$117,K$61-2019))</f>
        <v>−0,4%</v>
      </c>
      <c r="L101" s="17" t="str">
        <f>IF(L$61="","",INDEX('Dữ liệu biểu đồ'!$C$117:$I$117,L$61-2019))</f>
        <v>+0,2%</v>
      </c>
      <c r="M101" s="18"/>
    </row>
    <row r="102" spans="2:13" ht="20.25" customHeight="1" x14ac:dyDescent="0.25">
      <c r="B102" s="46" t="s">
        <v>524</v>
      </c>
      <c r="C102" s="46"/>
      <c r="D102" s="46"/>
      <c r="E102" s="16" t="s">
        <v>525</v>
      </c>
      <c r="F102" s="17" t="str">
        <f>IF(F$61="","",INDEX('Dữ liệu biểu đồ'!$C$119:$I$119,F$61-2019))</f>
        <v>3,26</v>
      </c>
      <c r="G102" s="17" t="str">
        <f>IF(G$61="","",INDEX('Dữ liệu biểu đồ'!$C$119:$I$119,G$61-2019))</f>
        <v>3,46</v>
      </c>
      <c r="H102" s="17" t="str">
        <f>IF(H$61="","",INDEX('Dữ liệu biểu đồ'!$C$119:$I$119,H$61-2019))</f>
        <v>3,30</v>
      </c>
      <c r="I102" s="17" t="str">
        <f>IF(I$61="","",INDEX('Dữ liệu biểu đồ'!$C$119:$I$119,I$61-2019))</f>
        <v>3,43</v>
      </c>
      <c r="J102" s="17" t="str">
        <f>IF(J$61="","",INDEX('Dữ liệu biểu đồ'!$C$119:$I$119,J$61-2019))</f>
        <v>3,57</v>
      </c>
      <c r="K102" s="17" t="str">
        <f>IF(K$61="","",INDEX('Dữ liệu biểu đồ'!$C$119:$I$119,K$61-2019))</f>
        <v>3,53</v>
      </c>
      <c r="L102" s="17" t="str">
        <f>IF(L$61="","",INDEX('Dữ liệu biểu đồ'!$C$119:$I$119,L$61-2019))</f>
        <v>3,53</v>
      </c>
      <c r="M102" s="18"/>
    </row>
    <row r="103" spans="2:13" ht="20.25" customHeight="1" x14ac:dyDescent="0.25">
      <c r="B103" s="46" t="s">
        <v>23</v>
      </c>
      <c r="C103" s="46"/>
      <c r="D103" s="46"/>
      <c r="E103" s="16" t="s">
        <v>526</v>
      </c>
      <c r="F103" s="17" t="str">
        <f>IF(F$61="","",INDEX('Dữ liệu biểu đồ'!$C$121:$I$121,F$61-2019))</f>
        <v>112,0</v>
      </c>
      <c r="G103" s="17" t="str">
        <f>IF(G$61="","",INDEX('Dữ liệu biểu đồ'!$C$121:$I$121,G$61-2019))</f>
        <v>105,6</v>
      </c>
      <c r="H103" s="17" t="str">
        <f>IF(H$61="","",INDEX('Dữ liệu biểu đồ'!$C$121:$I$121,H$61-2019))</f>
        <v>110,5</v>
      </c>
      <c r="I103" s="17" t="str">
        <f>IF(I$61="","",INDEX('Dữ liệu biểu đồ'!$C$121:$I$121,I$61-2019))</f>
        <v>106,5</v>
      </c>
      <c r="J103" s="17" t="str">
        <f>IF(J$61="","",INDEX('Dữ liệu biểu đồ'!$C$121:$I$121,J$61-2019))</f>
        <v>102,4</v>
      </c>
      <c r="K103" s="17" t="str">
        <f>IF(K$61="","",INDEX('Dữ liệu biểu đồ'!$C$121:$I$121,K$61-2019))</f>
        <v>103,3</v>
      </c>
      <c r="L103" s="17" t="str">
        <f>IF(L$61="","",INDEX('Dữ liệu biểu đồ'!$C$121:$I$121,L$61-2019))</f>
        <v>103,3</v>
      </c>
      <c r="M103" s="18"/>
    </row>
  </sheetData>
  <mergeCells count="75">
    <mergeCell ref="B99:D99"/>
    <mergeCell ref="B100:D100"/>
    <mergeCell ref="B101:D101"/>
    <mergeCell ref="B102:D102"/>
    <mergeCell ref="B103:D103"/>
    <mergeCell ref="B94:M94"/>
    <mergeCell ref="B95:D95"/>
    <mergeCell ref="B96:D96"/>
    <mergeCell ref="B97:D97"/>
    <mergeCell ref="B98:M98"/>
    <mergeCell ref="B89:D89"/>
    <mergeCell ref="B90:D90"/>
    <mergeCell ref="B91:D91"/>
    <mergeCell ref="B92:D92"/>
    <mergeCell ref="B93:D93"/>
    <mergeCell ref="B84:D84"/>
    <mergeCell ref="B85:M85"/>
    <mergeCell ref="B86:D86"/>
    <mergeCell ref="B87:D87"/>
    <mergeCell ref="B88:D88"/>
    <mergeCell ref="B79:D79"/>
    <mergeCell ref="B80:D80"/>
    <mergeCell ref="B81:D81"/>
    <mergeCell ref="B82:D82"/>
    <mergeCell ref="B83:D83"/>
    <mergeCell ref="B74:D74"/>
    <mergeCell ref="B75:D75"/>
    <mergeCell ref="B76:D76"/>
    <mergeCell ref="B77:D77"/>
    <mergeCell ref="B78:D78"/>
    <mergeCell ref="B69:D69"/>
    <mergeCell ref="B70:D70"/>
    <mergeCell ref="B71:D71"/>
    <mergeCell ref="B72:D72"/>
    <mergeCell ref="B73:D73"/>
    <mergeCell ref="B64:D64"/>
    <mergeCell ref="B65:D65"/>
    <mergeCell ref="B66:D66"/>
    <mergeCell ref="B67:D67"/>
    <mergeCell ref="B68:D68"/>
    <mergeCell ref="B59:M59"/>
    <mergeCell ref="B60:M60"/>
    <mergeCell ref="B61:D61"/>
    <mergeCell ref="B62:M62"/>
    <mergeCell ref="B63:D63"/>
    <mergeCell ref="J36:M36"/>
    <mergeCell ref="J37:M37"/>
    <mergeCell ref="J51:M51"/>
    <mergeCell ref="B53:M53"/>
    <mergeCell ref="B54:E57"/>
    <mergeCell ref="F54:I57"/>
    <mergeCell ref="J54:M57"/>
    <mergeCell ref="B36:E36"/>
    <mergeCell ref="B37:E37"/>
    <mergeCell ref="B51:E51"/>
    <mergeCell ref="F36:I36"/>
    <mergeCell ref="F37:I37"/>
    <mergeCell ref="F51:I51"/>
    <mergeCell ref="B34:E34"/>
    <mergeCell ref="F19:I19"/>
    <mergeCell ref="F20:I20"/>
    <mergeCell ref="F34:I34"/>
    <mergeCell ref="J19:M19"/>
    <mergeCell ref="J20:M20"/>
    <mergeCell ref="J34:M34"/>
    <mergeCell ref="B12:G16"/>
    <mergeCell ref="I12:M12"/>
    <mergeCell ref="I13:M16"/>
    <mergeCell ref="B19:E19"/>
    <mergeCell ref="B20:E20"/>
    <mergeCell ref="B2:I2"/>
    <mergeCell ref="B3:I4"/>
    <mergeCell ref="B6:C6"/>
    <mergeCell ref="D6:E6"/>
    <mergeCell ref="J8:M10"/>
  </mergeCells>
  <hyperlinks>
    <hyperlink ref="M2" r:id="rId1" xr:uid="{00000000-0004-0000-0100-000000000000}"/>
    <hyperlink ref="M3" location="'Nguồn và phương pháp'!A1" display="Nguồn và phương pháp" xr:uid="{00000000-0004-0000-0100-000001000000}"/>
    <hyperlink ref="M4" r:id="rId2" xr:uid="{00000000-0004-0000-0100-000002000000}"/>
    <hyperlink ref="B6" location="'Chiến lược phân phối'!A1" display="Chiến lược phân phối" xr:uid="{00000000-0004-0000-0100-000003000000}"/>
  </hyperlinks>
  <pageMargins left="0.3" right="0.3" top="0.4" bottom="0.4" header="0.3" footer="0.3"/>
  <pageSetup paperSize="9" scale="79" orientation="landscape"/>
  <rowBreaks count="3" manualBreakCount="3">
    <brk id="35" max="16383" man="1"/>
    <brk id="58" max="16383" man="1"/>
    <brk id="93" max="16383" man="1"/>
  </rowBreaks>
  <drawing r:id="rId3"/>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D16"/>
  <sheetViews>
    <sheetView showGridLines="0" workbookViewId="0"/>
  </sheetViews>
  <sheetFormatPr defaultRowHeight="12.5" x14ac:dyDescent="0.25"/>
  <cols>
    <col min="1" max="1" width="3.453125" customWidth="1"/>
    <col min="2" max="2" width="62.7265625" customWidth="1"/>
    <col min="3" max="3" width="4.7265625" customWidth="1"/>
    <col min="4" max="4" width="62.7265625" customWidth="1"/>
  </cols>
  <sheetData>
    <row r="2" spans="2:4" ht="32.25" customHeight="1" x14ac:dyDescent="0.25">
      <c r="B2" s="19" t="s">
        <v>449</v>
      </c>
    </row>
    <row r="4" spans="2:4" ht="14" x14ac:dyDescent="0.25">
      <c r="B4" s="20" t="s">
        <v>527</v>
      </c>
      <c r="D4" s="20" t="s">
        <v>535</v>
      </c>
    </row>
    <row r="5" spans="2:4" ht="78" customHeight="1" x14ac:dyDescent="0.25">
      <c r="B5" s="21" t="s">
        <v>528</v>
      </c>
      <c r="D5" s="5" t="s">
        <v>536</v>
      </c>
    </row>
    <row r="6" spans="2:4" ht="48" customHeight="1" x14ac:dyDescent="0.25">
      <c r="B6" s="21" t="s">
        <v>529</v>
      </c>
      <c r="D6" s="5" t="s">
        <v>537</v>
      </c>
    </row>
    <row r="7" spans="2:4" ht="63" customHeight="1" x14ac:dyDescent="0.25">
      <c r="B7" s="21" t="s">
        <v>530</v>
      </c>
      <c r="D7" s="5" t="s">
        <v>538</v>
      </c>
    </row>
    <row r="8" spans="2:4" ht="48" customHeight="1" x14ac:dyDescent="0.25">
      <c r="B8" s="21" t="s">
        <v>531</v>
      </c>
      <c r="D8" s="5" t="s">
        <v>539</v>
      </c>
    </row>
    <row r="9" spans="2:4" ht="33" customHeight="1" x14ac:dyDescent="0.25">
      <c r="B9" s="21" t="s">
        <v>532</v>
      </c>
      <c r="D9" s="5" t="s">
        <v>540</v>
      </c>
    </row>
    <row r="10" spans="2:4" ht="30" customHeight="1" x14ac:dyDescent="0.25">
      <c r="B10" s="21" t="s">
        <v>533</v>
      </c>
    </row>
    <row r="11" spans="2:4" ht="30" customHeight="1" x14ac:dyDescent="0.25">
      <c r="B11" s="21" t="s">
        <v>534</v>
      </c>
    </row>
    <row r="13" spans="2:4" ht="14" x14ac:dyDescent="0.25">
      <c r="B13" s="20" t="s">
        <v>541</v>
      </c>
      <c r="D13" s="20" t="s">
        <v>544</v>
      </c>
    </row>
    <row r="14" spans="2:4" x14ac:dyDescent="0.25">
      <c r="B14" s="39" t="s">
        <v>542</v>
      </c>
      <c r="D14" s="21" t="s">
        <v>545</v>
      </c>
    </row>
    <row r="15" spans="2:4" x14ac:dyDescent="0.25">
      <c r="B15" s="39"/>
      <c r="D15" s="21" t="s">
        <v>546</v>
      </c>
    </row>
    <row r="16" spans="2:4" x14ac:dyDescent="0.25">
      <c r="B16" s="3" t="s">
        <v>543</v>
      </c>
      <c r="D16" s="21" t="s">
        <v>547</v>
      </c>
    </row>
  </sheetData>
  <mergeCells count="1">
    <mergeCell ref="B14:B15"/>
  </mergeCells>
  <hyperlinks>
    <hyperlink ref="B5" r:id="rId1" xr:uid="{00000000-0004-0000-0200-000000000000}"/>
    <hyperlink ref="B6" r:id="rId2" xr:uid="{00000000-0004-0000-0200-000001000000}"/>
    <hyperlink ref="B7" r:id="rId3" xr:uid="{00000000-0004-0000-0200-000002000000}"/>
    <hyperlink ref="B8" r:id="rId4" xr:uid="{00000000-0004-0000-0200-000003000000}"/>
    <hyperlink ref="B9" r:id="rId5" xr:uid="{00000000-0004-0000-0200-000004000000}"/>
    <hyperlink ref="B10" r:id="rId6" xr:uid="{00000000-0004-0000-0200-000005000000}"/>
    <hyperlink ref="B11" r:id="rId7" xr:uid="{00000000-0004-0000-0200-000006000000}"/>
    <hyperlink ref="D14" r:id="rId8" xr:uid="{00000000-0004-0000-0200-000007000000}"/>
    <hyperlink ref="D15" r:id="rId9" xr:uid="{00000000-0004-0000-0200-000008000000}"/>
    <hyperlink ref="D16" r:id="rId10" xr:uid="{00000000-0004-0000-0200-000009000000}"/>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22"/>
  <sheetViews>
    <sheetView workbookViewId="0"/>
  </sheetViews>
  <sheetFormatPr defaultRowHeight="12.5" x14ac:dyDescent="0.25"/>
  <cols>
    <col min="1" max="1" width="24.7265625" customWidth="1"/>
    <col min="2" max="2" width="13.7265625" customWidth="1"/>
    <col min="3" max="30" width="16.7265625" customWidth="1"/>
  </cols>
  <sheetData>
    <row r="1" spans="1:30" ht="18" x14ac:dyDescent="0.25">
      <c r="A1" s="22" t="s">
        <v>0</v>
      </c>
    </row>
    <row r="2" spans="1:30" x14ac:dyDescent="0.25">
      <c r="A2" s="23" t="s">
        <v>1</v>
      </c>
    </row>
    <row r="4" spans="1:30" x14ac:dyDescent="0.25">
      <c r="A4" t="s">
        <v>2</v>
      </c>
      <c r="B4" t="s">
        <v>3</v>
      </c>
      <c r="C4" t="s">
        <v>4</v>
      </c>
      <c r="D4" t="s">
        <v>5</v>
      </c>
      <c r="E4" t="s">
        <v>6</v>
      </c>
      <c r="F4" t="s">
        <v>7</v>
      </c>
      <c r="G4" t="s">
        <v>8</v>
      </c>
      <c r="H4" t="s">
        <v>9</v>
      </c>
      <c r="I4" t="s">
        <v>10</v>
      </c>
      <c r="J4" t="s">
        <v>11</v>
      </c>
      <c r="K4" t="s">
        <v>12</v>
      </c>
      <c r="L4" t="s">
        <v>13</v>
      </c>
      <c r="M4" t="s">
        <v>14</v>
      </c>
      <c r="N4" t="s">
        <v>15</v>
      </c>
      <c r="O4" t="s">
        <v>16</v>
      </c>
      <c r="P4" t="s">
        <v>17</v>
      </c>
      <c r="Q4" t="s">
        <v>18</v>
      </c>
      <c r="R4" t="s">
        <v>19</v>
      </c>
      <c r="S4" t="s">
        <v>20</v>
      </c>
      <c r="T4" t="s">
        <v>21</v>
      </c>
      <c r="U4" t="s">
        <v>22</v>
      </c>
      <c r="V4" t="s">
        <v>23</v>
      </c>
      <c r="W4" t="s">
        <v>24</v>
      </c>
      <c r="X4" t="s">
        <v>25</v>
      </c>
      <c r="Y4" t="s">
        <v>26</v>
      </c>
      <c r="Z4" t="s">
        <v>27</v>
      </c>
      <c r="AA4" t="s">
        <v>28</v>
      </c>
      <c r="AB4" t="s">
        <v>29</v>
      </c>
      <c r="AC4" t="s">
        <v>30</v>
      </c>
      <c r="AD4" t="s">
        <v>31</v>
      </c>
    </row>
    <row r="5" spans="1:30" x14ac:dyDescent="0.25">
      <c r="A5" s="10" t="s">
        <v>32</v>
      </c>
      <c r="B5" s="10">
        <v>2020</v>
      </c>
      <c r="C5" s="24">
        <v>0.34812190733243359</v>
      </c>
      <c r="D5" s="24">
        <v>0.65103463787674309</v>
      </c>
      <c r="E5" s="24">
        <v>8.4345479082321192E-4</v>
      </c>
      <c r="F5" s="25">
        <v>12.382</v>
      </c>
      <c r="G5" s="25">
        <v>23.155999999999999</v>
      </c>
      <c r="H5" s="24">
        <v>5.3518250659406109E-2</v>
      </c>
      <c r="I5" s="24">
        <v>-8.9171222908390038E-2</v>
      </c>
      <c r="J5" s="24">
        <v>0.08</v>
      </c>
      <c r="K5" s="24">
        <v>-7.0000000000000007E-2</v>
      </c>
      <c r="L5" s="24">
        <f t="shared" ref="L5:M11" si="0">IF($C$20="cn",J5,H5)</f>
        <v>5.3518250659406109E-2</v>
      </c>
      <c r="M5" s="24">
        <f t="shared" si="0"/>
        <v>-8.9171222908390038E-2</v>
      </c>
      <c r="N5" s="25">
        <v>5.5</v>
      </c>
      <c r="O5" s="25">
        <v>37.402999999999999</v>
      </c>
      <c r="P5" s="24">
        <v>0.43421650669732381</v>
      </c>
      <c r="Q5" s="24">
        <v>0.25489933962516381</v>
      </c>
      <c r="R5" s="24">
        <v>9.6035077400208543E-2</v>
      </c>
      <c r="S5" s="24">
        <v>0.35093441702537231</v>
      </c>
      <c r="T5" s="24">
        <v>7.9565810229126011E-2</v>
      </c>
      <c r="U5" s="25">
        <v>7.367</v>
      </c>
      <c r="V5" s="25">
        <v>112.0164681977129</v>
      </c>
      <c r="W5" s="24" t="s">
        <v>33</v>
      </c>
      <c r="X5" s="24" t="s">
        <v>34</v>
      </c>
      <c r="Y5" s="10" t="s">
        <v>35</v>
      </c>
      <c r="Z5" s="10" t="s">
        <v>36</v>
      </c>
      <c r="AA5" s="10" t="s">
        <v>37</v>
      </c>
      <c r="AB5" s="24" t="s">
        <v>38</v>
      </c>
      <c r="AC5" s="24" t="s">
        <v>39</v>
      </c>
      <c r="AD5" s="10" t="s">
        <v>40</v>
      </c>
    </row>
    <row r="6" spans="1:30" x14ac:dyDescent="0.25">
      <c r="A6" s="10" t="s">
        <v>41</v>
      </c>
      <c r="B6" s="10">
        <v>2021</v>
      </c>
      <c r="C6" s="24">
        <v>0.38706168869552882</v>
      </c>
      <c r="D6" s="24">
        <v>0.61234719693566309</v>
      </c>
      <c r="E6" s="24">
        <v>5.9111436880807697E-4</v>
      </c>
      <c r="F6" s="25">
        <v>16.37</v>
      </c>
      <c r="G6" s="25">
        <v>25.898</v>
      </c>
      <c r="H6" s="24">
        <v>0.32208043934743991</v>
      </c>
      <c r="I6" s="24">
        <v>0.1184142338918639</v>
      </c>
      <c r="J6" s="24">
        <v>0.3</v>
      </c>
      <c r="K6" s="24">
        <v>0.1</v>
      </c>
      <c r="L6" s="24">
        <f t="shared" si="0"/>
        <v>0.32208043934743991</v>
      </c>
      <c r="M6" s="24">
        <f t="shared" si="0"/>
        <v>0.1184142338918639</v>
      </c>
      <c r="N6" s="25">
        <v>9.1</v>
      </c>
      <c r="O6" s="25">
        <v>44.537999999999997</v>
      </c>
      <c r="P6" s="24">
        <v>0.44820153576721</v>
      </c>
      <c r="Q6" s="24">
        <v>0.2225290762944003</v>
      </c>
      <c r="R6" s="24">
        <v>6.9917822982621586E-2</v>
      </c>
      <c r="S6" s="24">
        <v>0.29244689927702189</v>
      </c>
      <c r="T6" s="24">
        <v>0.1554402981723472</v>
      </c>
      <c r="U6" s="25">
        <v>6.8540000000000001</v>
      </c>
      <c r="V6" s="25">
        <v>105.60434977213539</v>
      </c>
      <c r="W6" s="24" t="s">
        <v>42</v>
      </c>
      <c r="X6" s="24" t="s">
        <v>43</v>
      </c>
      <c r="Y6" s="10" t="s">
        <v>44</v>
      </c>
      <c r="Z6" s="10" t="s">
        <v>45</v>
      </c>
      <c r="AA6" s="10" t="s">
        <v>46</v>
      </c>
      <c r="AB6" s="24" t="s">
        <v>47</v>
      </c>
      <c r="AC6" s="24" t="s">
        <v>48</v>
      </c>
      <c r="AD6" s="10" t="s">
        <v>49</v>
      </c>
    </row>
    <row r="7" spans="1:30" x14ac:dyDescent="0.25">
      <c r="A7" s="10" t="s">
        <v>50</v>
      </c>
      <c r="B7" s="10">
        <v>2022</v>
      </c>
      <c r="C7" s="24">
        <v>0.421415068863084</v>
      </c>
      <c r="D7" s="24">
        <v>0.5762894950040508</v>
      </c>
      <c r="E7" s="24">
        <v>2.2954361328652449E-3</v>
      </c>
      <c r="F7" s="25">
        <v>18.725999999999999</v>
      </c>
      <c r="G7" s="25">
        <v>25.608000000000001</v>
      </c>
      <c r="H7" s="24">
        <v>0.14392180818570549</v>
      </c>
      <c r="I7" s="24">
        <v>-1.1197775890030119E-2</v>
      </c>
      <c r="J7" s="24">
        <v>0.15</v>
      </c>
      <c r="K7" s="24">
        <v>-0.01</v>
      </c>
      <c r="L7" s="24">
        <f t="shared" si="0"/>
        <v>0.14392180818570549</v>
      </c>
      <c r="M7" s="24">
        <f t="shared" si="0"/>
        <v>-1.1197775890030119E-2</v>
      </c>
      <c r="N7" s="25">
        <v>10.7</v>
      </c>
      <c r="O7" s="25">
        <v>46.71</v>
      </c>
      <c r="P7" s="24">
        <v>0.45983729394134021</v>
      </c>
      <c r="Q7" s="24">
        <v>0.23451081138942409</v>
      </c>
      <c r="R7" s="24">
        <v>8.2423463926354093E-2</v>
      </c>
      <c r="S7" s="24">
        <v>0.31693427531577822</v>
      </c>
      <c r="T7" s="24">
        <v>0.14677799186469709</v>
      </c>
      <c r="U7" s="25">
        <v>8.42</v>
      </c>
      <c r="V7" s="25">
        <v>110.47937061551271</v>
      </c>
      <c r="W7" s="24" t="s">
        <v>51</v>
      </c>
      <c r="X7" s="24" t="s">
        <v>52</v>
      </c>
      <c r="Y7" s="10" t="s">
        <v>53</v>
      </c>
      <c r="Z7" s="10" t="s">
        <v>54</v>
      </c>
      <c r="AA7" s="10" t="s">
        <v>55</v>
      </c>
      <c r="AB7" s="24" t="s">
        <v>56</v>
      </c>
      <c r="AC7" s="24" t="s">
        <v>57</v>
      </c>
      <c r="AD7" s="10" t="s">
        <v>58</v>
      </c>
    </row>
    <row r="8" spans="1:30" x14ac:dyDescent="0.25">
      <c r="A8" s="10" t="s">
        <v>59</v>
      </c>
      <c r="B8" s="10">
        <v>2023</v>
      </c>
      <c r="C8" s="24">
        <v>0.43697065397945162</v>
      </c>
      <c r="D8" s="24">
        <v>0.56183991961118063</v>
      </c>
      <c r="E8" s="24">
        <v>1.1894264093677579E-3</v>
      </c>
      <c r="F8" s="25">
        <v>21.308</v>
      </c>
      <c r="G8" s="25">
        <v>27.396999999999998</v>
      </c>
      <c r="H8" s="24">
        <v>0.13788315710776461</v>
      </c>
      <c r="I8" s="24">
        <v>6.9860980943455164E-2</v>
      </c>
      <c r="J8" s="24">
        <v>0.2</v>
      </c>
      <c r="K8" s="24">
        <v>0.14000000000000001</v>
      </c>
      <c r="L8" s="24">
        <f t="shared" si="0"/>
        <v>0.13788315710776461</v>
      </c>
      <c r="M8" s="24">
        <f t="shared" si="0"/>
        <v>6.9860980943455164E-2</v>
      </c>
      <c r="N8" s="25">
        <v>12.6</v>
      </c>
      <c r="O8" s="25">
        <v>51.216999999999999</v>
      </c>
      <c r="P8" s="24">
        <v>0.43524610969014188</v>
      </c>
      <c r="Q8" s="24">
        <v>0.2404865571978054</v>
      </c>
      <c r="R8" s="24">
        <v>7.9270554698635212E-2</v>
      </c>
      <c r="S8" s="24">
        <v>0.31975711189644063</v>
      </c>
      <c r="T8" s="24">
        <v>0.1209559326005037</v>
      </c>
      <c r="U8" s="25">
        <v>8.4540000000000006</v>
      </c>
      <c r="V8" s="25">
        <v>106.4651685393258</v>
      </c>
      <c r="W8" s="24" t="s">
        <v>60</v>
      </c>
      <c r="X8" s="24" t="s">
        <v>61</v>
      </c>
      <c r="Y8" s="10" t="s">
        <v>62</v>
      </c>
      <c r="Z8" s="10" t="s">
        <v>63</v>
      </c>
      <c r="AA8" s="10" t="s">
        <v>64</v>
      </c>
      <c r="AB8" s="24" t="s">
        <v>65</v>
      </c>
      <c r="AC8" s="24" t="s">
        <v>66</v>
      </c>
      <c r="AD8" s="10" t="s">
        <v>67</v>
      </c>
    </row>
    <row r="9" spans="1:30" x14ac:dyDescent="0.25">
      <c r="A9" s="10" t="s">
        <v>68</v>
      </c>
      <c r="B9" s="10">
        <v>2024</v>
      </c>
      <c r="C9" s="24">
        <v>0.43629617614857469</v>
      </c>
      <c r="D9" s="24">
        <v>0.56279145209034509</v>
      </c>
      <c r="E9" s="24">
        <v>9.1237176108024812E-4</v>
      </c>
      <c r="F9" s="25">
        <v>21.518999999999998</v>
      </c>
      <c r="G9" s="25">
        <v>27.757999999999999</v>
      </c>
      <c r="H9" s="24">
        <v>9.9023840810963017E-3</v>
      </c>
      <c r="I9" s="24">
        <v>1.317662517793919E-2</v>
      </c>
      <c r="J9" s="24">
        <v>0.01</v>
      </c>
      <c r="K9" s="24">
        <v>0.02</v>
      </c>
      <c r="L9" s="24">
        <f t="shared" si="0"/>
        <v>9.9023840810963017E-3</v>
      </c>
      <c r="M9" s="24">
        <f t="shared" si="0"/>
        <v>1.317662517793919E-2</v>
      </c>
      <c r="N9" s="25">
        <v>12.1</v>
      </c>
      <c r="O9" s="25">
        <v>51.362000000000002</v>
      </c>
      <c r="P9" s="24">
        <v>0.44560180678322497</v>
      </c>
      <c r="Q9" s="24">
        <v>0.2393014290720766</v>
      </c>
      <c r="R9" s="24">
        <v>8.3427436626299603E-2</v>
      </c>
      <c r="S9" s="24">
        <v>0.32272886569837622</v>
      </c>
      <c r="T9" s="24">
        <v>0.127312020559947</v>
      </c>
      <c r="U9" s="25">
        <v>7.5190000000000001</v>
      </c>
      <c r="V9" s="25">
        <v>102.37304653204561</v>
      </c>
      <c r="W9" s="24" t="s">
        <v>69</v>
      </c>
      <c r="X9" s="24" t="s">
        <v>70</v>
      </c>
      <c r="Y9" s="10" t="s">
        <v>71</v>
      </c>
      <c r="Z9" s="10" t="s">
        <v>72</v>
      </c>
      <c r="AA9" s="10" t="s">
        <v>73</v>
      </c>
      <c r="AB9" s="24" t="s">
        <v>74</v>
      </c>
      <c r="AC9" s="24" t="s">
        <v>75</v>
      </c>
      <c r="AD9" s="10" t="s">
        <v>76</v>
      </c>
    </row>
    <row r="10" spans="1:30" x14ac:dyDescent="0.25">
      <c r="A10" s="10" t="s">
        <v>77</v>
      </c>
      <c r="B10" s="10">
        <v>2025</v>
      </c>
      <c r="C10" s="24">
        <v>0.42006977680368562</v>
      </c>
      <c r="D10" s="24">
        <v>0.57885673390884285</v>
      </c>
      <c r="E10" s="24">
        <v>1.0734892874714849E-3</v>
      </c>
      <c r="F10" s="25">
        <v>18.783000000000001</v>
      </c>
      <c r="G10" s="25">
        <v>25.882999999999999</v>
      </c>
      <c r="H10" s="24">
        <v>-0.12714345462149729</v>
      </c>
      <c r="I10" s="24">
        <v>-6.7548094243101084E-2</v>
      </c>
      <c r="J10" s="24">
        <v>-0.12</v>
      </c>
      <c r="K10" s="24">
        <v>-0.06</v>
      </c>
      <c r="L10" s="24">
        <f t="shared" si="0"/>
        <v>-0.12714345462149729</v>
      </c>
      <c r="M10" s="24">
        <f t="shared" si="0"/>
        <v>-6.7548094243101084E-2</v>
      </c>
      <c r="N10" s="25">
        <v>9.6</v>
      </c>
      <c r="O10" s="25">
        <v>46.308999999999997</v>
      </c>
      <c r="P10" s="24">
        <v>0.42734673605562629</v>
      </c>
      <c r="Q10" s="24">
        <v>0.24615085620505731</v>
      </c>
      <c r="R10" s="24">
        <v>0.1012546157334427</v>
      </c>
      <c r="S10" s="24">
        <v>0.34740547193850008</v>
      </c>
      <c r="T10" s="24">
        <v>8.1582413785657212E-2</v>
      </c>
      <c r="U10" s="25">
        <v>7.4889999999999999</v>
      </c>
      <c r="V10" s="25">
        <v>103.2829292205588</v>
      </c>
      <c r="W10" s="24" t="s">
        <v>78</v>
      </c>
      <c r="X10" s="24" t="s">
        <v>79</v>
      </c>
      <c r="Y10" s="10" t="s">
        <v>80</v>
      </c>
      <c r="Z10" s="10" t="s">
        <v>45</v>
      </c>
      <c r="AA10" s="10" t="s">
        <v>81</v>
      </c>
      <c r="AB10" s="24" t="s">
        <v>82</v>
      </c>
      <c r="AC10" s="24" t="s">
        <v>83</v>
      </c>
      <c r="AD10" s="10" t="s">
        <v>76</v>
      </c>
    </row>
    <row r="11" spans="1:30" x14ac:dyDescent="0.25">
      <c r="A11" s="10" t="s">
        <v>84</v>
      </c>
      <c r="B11" s="10">
        <v>2026</v>
      </c>
      <c r="C11" s="24">
        <v>0.39184467736942202</v>
      </c>
      <c r="D11" s="24">
        <v>0.60707177922250233</v>
      </c>
      <c r="E11" s="24">
        <v>1.0835434080757149E-3</v>
      </c>
      <c r="F11" s="25">
        <v>17.72</v>
      </c>
      <c r="G11" s="25">
        <v>27.452999999999999</v>
      </c>
      <c r="H11" s="24">
        <v>-5.6593728371399671E-2</v>
      </c>
      <c r="I11" s="24">
        <v>6.0657574469729157E-2</v>
      </c>
      <c r="J11" s="24">
        <v>-0.08</v>
      </c>
      <c r="K11" s="24">
        <v>0.04</v>
      </c>
      <c r="L11" s="24">
        <f t="shared" si="0"/>
        <v>-5.6593728371399671E-2</v>
      </c>
      <c r="M11" s="24">
        <f t="shared" si="0"/>
        <v>6.0657574469729157E-2</v>
      </c>
      <c r="N11" s="25">
        <v>8.6</v>
      </c>
      <c r="O11" s="25">
        <v>46.398000000000003</v>
      </c>
      <c r="P11" s="24">
        <v>0.42913487650329762</v>
      </c>
      <c r="Q11" s="24">
        <v>0.24483813957498171</v>
      </c>
      <c r="R11" s="24">
        <v>0.1024613129876288</v>
      </c>
      <c r="S11" s="24">
        <v>0.34729945256261052</v>
      </c>
      <c r="T11" s="24">
        <v>8.2977714556661919E-2</v>
      </c>
      <c r="U11" s="25">
        <v>7.5010000000000003</v>
      </c>
      <c r="V11" s="25">
        <v>103.28368633669351</v>
      </c>
      <c r="W11" s="24" t="s">
        <v>85</v>
      </c>
      <c r="X11" s="24" t="s">
        <v>86</v>
      </c>
      <c r="Y11" s="10" t="s">
        <v>87</v>
      </c>
      <c r="Z11" s="10" t="s">
        <v>88</v>
      </c>
      <c r="AA11" s="10" t="s">
        <v>89</v>
      </c>
      <c r="AB11" s="24" t="s">
        <v>90</v>
      </c>
      <c r="AC11" s="24" t="s">
        <v>91</v>
      </c>
      <c r="AD11" s="10" t="s">
        <v>76</v>
      </c>
    </row>
    <row r="14" spans="1:30" x14ac:dyDescent="0.25">
      <c r="A14" t="s">
        <v>92</v>
      </c>
    </row>
    <row r="15" spans="1:30" x14ac:dyDescent="0.25">
      <c r="A15" t="s">
        <v>93</v>
      </c>
    </row>
    <row r="16" spans="1:30" x14ac:dyDescent="0.25">
      <c r="A16" t="s">
        <v>94</v>
      </c>
    </row>
    <row r="19" spans="1:3" ht="13" x14ac:dyDescent="0.25">
      <c r="A19" s="26" t="s">
        <v>95</v>
      </c>
    </row>
    <row r="20" spans="1:3" x14ac:dyDescent="0.25">
      <c r="B20" t="s">
        <v>96</v>
      </c>
      <c r="C20" t="str">
        <f>IF(AND(SUBTOTAL(103,A16)=1,SUBTOTAL(103,A15)=0),"cn","reported")</f>
        <v>reported</v>
      </c>
    </row>
    <row r="21" spans="1:3" x14ac:dyDescent="0.25">
      <c r="B21" t="s">
        <v>97</v>
      </c>
      <c r="C21">
        <f>_xlfn.AGGREGATE(15,5,$B$5:$B$11,1)</f>
        <v>2020</v>
      </c>
    </row>
    <row r="22" spans="1:3" x14ac:dyDescent="0.25">
      <c r="B22" t="s">
        <v>98</v>
      </c>
      <c r="C22">
        <f>_xlfn.AGGREGATE(14,5,$B$5:$B$11,1)</f>
        <v>2026</v>
      </c>
    </row>
    <row r="23" spans="1:3" x14ac:dyDescent="0.25">
      <c r="B23" t="s">
        <v>99</v>
      </c>
      <c r="C23">
        <f>SUBTOTAL(103,$B$5:$B$11)</f>
        <v>7</v>
      </c>
    </row>
    <row r="24" spans="1:3" x14ac:dyDescent="0.25">
      <c r="B24" t="s">
        <v>100</v>
      </c>
      <c r="C24">
        <f>INDEX($B$5:$B$11,MATCH(_xlfn.AGGREGATE(14,5,$C$5:$C$11,1),$C$5:$C$11,0))</f>
        <v>2023</v>
      </c>
    </row>
    <row r="25" spans="1:3" x14ac:dyDescent="0.25">
      <c r="B25" t="s">
        <v>101</v>
      </c>
      <c r="C25">
        <f>INDEX($B$5:$B$11,MATCH(_xlfn.AGGREGATE(15,5,$C$5:$C$11,1),$C$5:$C$11,0))</f>
        <v>2020</v>
      </c>
    </row>
    <row r="26" spans="1:3" x14ac:dyDescent="0.25">
      <c r="B26" t="s">
        <v>102</v>
      </c>
      <c r="C26">
        <f>INDEX($B$5:$B$11,MATCH(_xlfn.AGGREGATE(14,5,$T$5:$T$11,1),$T$5:$T$11,0))</f>
        <v>2021</v>
      </c>
    </row>
    <row r="27" spans="1:3" x14ac:dyDescent="0.25">
      <c r="B27" t="s">
        <v>103</v>
      </c>
      <c r="C27" t="str">
        <f>IF($C$21=$C$22,"Trong FY"&amp;$C$21&amp;", NIKE Direct chiếm "&amp;INDEX($W$5:$W$11,$C$21-2019)&amp;" doanh thu NIKE Brand ("&amp;INDEX($Y$5:$Y$11,$C$21-2019)&amp;" tỷ USD), còn bán buôn chiếm "&amp;INDEX($X$5:$X$11,$C$21-2019)&amp;" ("&amp;INDEX($Z$5:$Z$11,$C$21-2019)&amp;" tỷ USD).","Tỷ trọng NIKE Direct trong doanh thu NIKE Brand là "&amp;INDEX($W$5:$W$11,$C$21-2019)&amp;" ở FY"&amp;$C$21&amp;" và "&amp;INDEX($W$5:$W$11,$C$22-2019)&amp;" ở FY"&amp;$C$22&amp;IF(AND($C$24&lt;&gt;$C$21,$C$24&lt;&gt;$C$22),", cao nhất "&amp;INDEX($W$5:$W$11,$C$24-2019)&amp;" (FY"&amp;$C$24&amp;")","")&amp;IF(AND($C$25&lt;&gt;$C$21,$C$25&lt;&gt;$C$22),IF(AND($C$24&lt;&gt;$C$21,$C$24&lt;&gt;$C$22)," và thấp nhất ",", thấp nhất ")&amp;INDEX($W$5:$W$11,$C$25-2019)&amp;" (FY"&amp;$C$25&amp;")","")&amp;". Doanh thu NIKE Direct đi từ "&amp;INDEX($Y$5:$Y$11,$C$21-2019)&amp;" đến "&amp;INDEX($Y$5:$Y$11,$C$22-2019)&amp;" tỷ USD, còn bán buôn từ "&amp;INDEX($Z$5:$Z$11,$C$21-2019)&amp;" đến "&amp;INDEX($Z$5:$Z$11,$C$22-2019)&amp;" tỷ USD.")</f>
        <v>Tỷ trọng NIKE Direct trong doanh thu NIKE Brand là 34,8% ở FY2020 và 39,2% ở FY2026, cao nhất 43,7% (FY2023). Doanh thu NIKE Direct đi từ 12,4 đến 17,7 tỷ USD, còn bán buôn từ 23,2 đến 27,5 tỷ USD.</v>
      </c>
    </row>
    <row r="28" spans="1:3" x14ac:dyDescent="0.25">
      <c r="B28" t="s">
        <v>104</v>
      </c>
      <c r="C28" t="str">
        <f>IF($C$21=$C$22,"Trong FY"&amp;$C$21&amp;", doanh thu NIKE, Inc. là "&amp;INDEX($AA$5:$AA$11,$C$21-2019)&amp;" tỷ USD, biên lợi nhuận gộp "&amp;INDEX($AB$5:$AB$11,$C$21-2019)&amp;", biên EBIT (non‑GAAP) "&amp;INDEX($AC$5:$AC$11,$C$21-2019)&amp;", hàng tồn kho cuối kỳ "&amp;INDEX($AD$5:$AD$11,$C$21-2019)&amp;" tỷ USD.","Doanh thu NIKE, Inc. đi từ "&amp;INDEX($AA$5:$AA$11,$C$21-2019)&amp;" (FY"&amp;$C$21&amp;") đến "&amp;INDEX($AA$5:$AA$11,$C$22-2019)&amp;" tỷ USD (FY"&amp;$C$22&amp;"). Biên lợi nhuận gộp là "&amp;INDEX($AB$5:$AB$11,$C$21-2019)&amp;" (FY"&amp;$C$21&amp;") và "&amp;INDEX($AB$5:$AB$11,$C$22-2019)&amp;" (FY"&amp;$C$22&amp;"), còn biên EBIT (non‑GAAP) là "&amp;INDEX($AC$5:$AC$11,$C$21-2019)&amp;" (FY"&amp;$C$21&amp;") và "&amp;INDEX($AC$5:$AC$11,$C$22-2019)&amp;" (FY"&amp;$C$22&amp;")"&amp;IF(AND($C$26&lt;&gt;$C$21,$C$26&lt;&gt;$C$22),", cao nhất "&amp;INDEX($AC$5:$AC$11,$C$26-2019)&amp;" (FY"&amp;$C$26&amp;")","")&amp;". Hàng tồn kho cuối kỳ đi từ "&amp;INDEX($AD$5:$AD$11,$C$21-2019)&amp;" đến "&amp;INDEX($AD$5:$AD$11,$C$22-2019)&amp;" tỷ USD.")</f>
        <v>Doanh thu NIKE, Inc. đi từ 37,4 (FY2020) đến 46,4 tỷ USD (FY2026). Biên lợi nhuận gộp là 43,4% (FY2020) và 42,9% (FY2026), còn biên EBIT (non‑GAAP) là 8,0% (FY2020) và 8,3% (FY2026), cao nhất 15,5% (FY2021). Hàng tồn kho cuối kỳ đi từ 7,4 đến 7,5 tỷ USD.</v>
      </c>
    </row>
    <row r="29" spans="1:3" x14ac:dyDescent="0.25">
      <c r="B29" t="s">
        <v>105</v>
      </c>
      <c r="C29" t="str">
        <f>IF('Dữ liệu biểu đồ'!$C$20="cn","Thay đổi so với năm trước (%), loại trừ tỷ giá, phạm vi NIKE Brand. Số do NIKE công bố (non‑GAAP).","Thay đổi so với năm trước (%), theo báo cáo, phạm vi NIKE Brand. Nhóm tự tính từ 10‑K.")</f>
        <v>Thay đổi so với năm trước (%), theo báo cáo, phạm vi NIKE Brand. Nhóm tự tính từ 10‑K.</v>
      </c>
    </row>
    <row r="30" spans="1:3" x14ac:dyDescent="0.25">
      <c r="B30" t="s">
        <v>106</v>
      </c>
      <c r="C30" t="str">
        <f>IF('Dữ liệu biểu đồ'!$C$20="cn","Nguồn: bảng doanh thu trong MD&amp;A (Item 7), cột “% change excluding currency changes”. NIKE làm tròn đến số nguyên.","Nguồn: thuyết minh “Revenues” trong Form 10‑K. Tăng trưởng tính từ số năm nay và số năm trước trong cùng 10‑K.")</f>
        <v>Nguồn: thuyết minh “Revenues” trong Form 10‑K. Tăng trưởng tính từ số năm nay và số năm trước trong cùng 10‑K.</v>
      </c>
    </row>
    <row r="31" spans="1:3" x14ac:dyDescent="0.25">
      <c r="B31" t="s">
        <v>107</v>
      </c>
      <c r="C31" t="str">
        <f>" Báo cáo: 10‑K FY"&amp;'Dữ liệu biểu đồ'!$C$21&amp;IF('Dữ liệu biểu đồ'!$C$21='Dữ liệu biểu đồ'!$C$22,"","–FY"&amp;'Dữ liệu biểu đồ'!$C$22)&amp;" (danh sách ở sheet “Nguồn và phương pháp”)."</f>
        <v xml:space="preserve"> Báo cáo: 10‑K FY2020–FY2026 (danh sách ở sheet “Nguồn và phương pháp”).</v>
      </c>
    </row>
    <row r="45" spans="1:16" ht="13" x14ac:dyDescent="0.25">
      <c r="A45" s="26" t="s">
        <v>108</v>
      </c>
    </row>
    <row r="46" spans="1:16" x14ac:dyDescent="0.25">
      <c r="A46" t="s">
        <v>109</v>
      </c>
      <c r="B46" t="s">
        <v>110</v>
      </c>
      <c r="C46" t="s">
        <v>32</v>
      </c>
      <c r="D46" t="s">
        <v>41</v>
      </c>
      <c r="E46" t="s">
        <v>50</v>
      </c>
      <c r="F46" t="s">
        <v>59</v>
      </c>
      <c r="G46" t="s">
        <v>68</v>
      </c>
      <c r="H46" t="s">
        <v>77</v>
      </c>
      <c r="I46" t="s">
        <v>84</v>
      </c>
      <c r="J46" t="s">
        <v>111</v>
      </c>
      <c r="K46" t="s">
        <v>112</v>
      </c>
      <c r="L46" t="s">
        <v>113</v>
      </c>
      <c r="M46" t="s">
        <v>114</v>
      </c>
      <c r="N46" t="s">
        <v>115</v>
      </c>
      <c r="O46" t="s">
        <v>116</v>
      </c>
      <c r="P46" t="s">
        <v>117</v>
      </c>
    </row>
    <row r="47" spans="1:16" ht="14.5" x14ac:dyDescent="0.35">
      <c r="A47" t="s">
        <v>118</v>
      </c>
      <c r="B47" t="s">
        <v>119</v>
      </c>
      <c r="C47" t="s">
        <v>120</v>
      </c>
      <c r="D47" t="s">
        <v>121</v>
      </c>
      <c r="E47" t="s">
        <v>122</v>
      </c>
      <c r="F47" t="s">
        <v>123</v>
      </c>
      <c r="G47" t="s">
        <v>124</v>
      </c>
      <c r="H47" t="s">
        <v>125</v>
      </c>
      <c r="I47" t="s">
        <v>126</v>
      </c>
      <c r="J47" s="27" t="s">
        <v>127</v>
      </c>
      <c r="K47" s="27" t="s">
        <v>128</v>
      </c>
      <c r="L47" s="27" t="s">
        <v>129</v>
      </c>
      <c r="M47" s="27" t="s">
        <v>130</v>
      </c>
      <c r="N47" s="27" t="s">
        <v>131</v>
      </c>
      <c r="O47" s="27" t="s">
        <v>132</v>
      </c>
      <c r="P47" s="27" t="s">
        <v>133</v>
      </c>
    </row>
    <row r="48" spans="1:16" x14ac:dyDescent="0.25">
      <c r="A48" t="s">
        <v>118</v>
      </c>
      <c r="B48" t="s">
        <v>134</v>
      </c>
      <c r="C48" t="s">
        <v>135</v>
      </c>
      <c r="D48" t="s">
        <v>136</v>
      </c>
      <c r="E48" t="s">
        <v>137</v>
      </c>
      <c r="F48" t="s">
        <v>138</v>
      </c>
      <c r="G48" t="s">
        <v>139</v>
      </c>
      <c r="H48" t="s">
        <v>140</v>
      </c>
      <c r="I48" t="s">
        <v>138</v>
      </c>
    </row>
    <row r="49" spans="1:16" ht="14.5" x14ac:dyDescent="0.35">
      <c r="A49" t="s">
        <v>118</v>
      </c>
      <c r="B49" t="s">
        <v>141</v>
      </c>
      <c r="C49" t="s">
        <v>142</v>
      </c>
      <c r="D49" t="s">
        <v>143</v>
      </c>
      <c r="E49" t="s">
        <v>144</v>
      </c>
      <c r="F49" t="s">
        <v>145</v>
      </c>
      <c r="G49" t="s">
        <v>146</v>
      </c>
      <c r="H49" t="s">
        <v>147</v>
      </c>
      <c r="I49" t="s">
        <v>148</v>
      </c>
      <c r="J49" s="27" t="s">
        <v>127</v>
      </c>
      <c r="K49" s="27" t="s">
        <v>128</v>
      </c>
      <c r="L49" s="27" t="s">
        <v>129</v>
      </c>
      <c r="M49" s="27" t="s">
        <v>130</v>
      </c>
      <c r="N49" s="27" t="s">
        <v>131</v>
      </c>
      <c r="O49" s="27" t="s">
        <v>132</v>
      </c>
      <c r="P49" s="27" t="s">
        <v>133</v>
      </c>
    </row>
    <row r="50" spans="1:16" x14ac:dyDescent="0.25">
      <c r="A50" t="s">
        <v>118</v>
      </c>
      <c r="B50" t="s">
        <v>149</v>
      </c>
      <c r="C50" t="s">
        <v>135</v>
      </c>
      <c r="D50" t="s">
        <v>136</v>
      </c>
      <c r="E50" t="s">
        <v>137</v>
      </c>
      <c r="F50" t="s">
        <v>138</v>
      </c>
      <c r="G50" t="s">
        <v>139</v>
      </c>
      <c r="H50" t="s">
        <v>140</v>
      </c>
      <c r="I50" t="s">
        <v>138</v>
      </c>
    </row>
    <row r="51" spans="1:16" ht="14.5" x14ac:dyDescent="0.35">
      <c r="A51" t="s">
        <v>118</v>
      </c>
      <c r="B51" t="s">
        <v>150</v>
      </c>
      <c r="C51" t="s">
        <v>151</v>
      </c>
      <c r="D51" t="s">
        <v>152</v>
      </c>
      <c r="E51" t="s">
        <v>153</v>
      </c>
      <c r="F51" t="s">
        <v>154</v>
      </c>
      <c r="G51" t="s">
        <v>155</v>
      </c>
      <c r="H51" t="s">
        <v>156</v>
      </c>
      <c r="I51" t="s">
        <v>157</v>
      </c>
      <c r="J51" s="27" t="s">
        <v>127</v>
      </c>
      <c r="K51" s="27" t="s">
        <v>128</v>
      </c>
      <c r="L51" s="27" t="s">
        <v>129</v>
      </c>
      <c r="M51" s="27" t="s">
        <v>130</v>
      </c>
      <c r="N51" s="27" t="s">
        <v>131</v>
      </c>
      <c r="O51" s="27" t="s">
        <v>132</v>
      </c>
      <c r="P51" s="27" t="s">
        <v>133</v>
      </c>
    </row>
    <row r="52" spans="1:16" x14ac:dyDescent="0.25">
      <c r="A52" t="s">
        <v>118</v>
      </c>
      <c r="B52" t="s">
        <v>158</v>
      </c>
      <c r="C52" t="s">
        <v>135</v>
      </c>
      <c r="D52" t="s">
        <v>136</v>
      </c>
      <c r="E52" t="s">
        <v>137</v>
      </c>
      <c r="F52" t="s">
        <v>138</v>
      </c>
      <c r="G52" t="s">
        <v>139</v>
      </c>
      <c r="H52" t="s">
        <v>140</v>
      </c>
      <c r="I52" t="s">
        <v>138</v>
      </c>
    </row>
    <row r="53" spans="1:16" ht="14.5" x14ac:dyDescent="0.35">
      <c r="A53" t="s">
        <v>118</v>
      </c>
      <c r="B53" t="s">
        <v>159</v>
      </c>
      <c r="C53" t="s">
        <v>160</v>
      </c>
      <c r="D53" t="s">
        <v>161</v>
      </c>
      <c r="E53" t="s">
        <v>162</v>
      </c>
      <c r="F53" t="s">
        <v>163</v>
      </c>
      <c r="G53" t="s">
        <v>164</v>
      </c>
      <c r="H53" t="s">
        <v>165</v>
      </c>
      <c r="I53" t="s">
        <v>166</v>
      </c>
      <c r="J53" s="27" t="s">
        <v>127</v>
      </c>
      <c r="K53" s="27" t="s">
        <v>128</v>
      </c>
      <c r="L53" s="27" t="s">
        <v>129</v>
      </c>
      <c r="M53" s="27" t="s">
        <v>130</v>
      </c>
      <c r="N53" s="27" t="s">
        <v>131</v>
      </c>
      <c r="O53" s="27" t="s">
        <v>132</v>
      </c>
      <c r="P53" s="27" t="s">
        <v>133</v>
      </c>
    </row>
    <row r="54" spans="1:16" x14ac:dyDescent="0.25">
      <c r="A54" t="s">
        <v>118</v>
      </c>
      <c r="B54" t="s">
        <v>167</v>
      </c>
      <c r="C54" t="s">
        <v>135</v>
      </c>
      <c r="D54" t="s">
        <v>136</v>
      </c>
      <c r="E54" t="s">
        <v>137</v>
      </c>
      <c r="F54" t="s">
        <v>138</v>
      </c>
      <c r="G54" t="s">
        <v>139</v>
      </c>
      <c r="H54" t="s">
        <v>140</v>
      </c>
      <c r="I54" t="s">
        <v>138</v>
      </c>
    </row>
    <row r="55" spans="1:16" x14ac:dyDescent="0.25">
      <c r="A55" t="s">
        <v>118</v>
      </c>
      <c r="B55" t="s">
        <v>168</v>
      </c>
      <c r="C55" t="s">
        <v>33</v>
      </c>
      <c r="D55" t="s">
        <v>42</v>
      </c>
      <c r="E55" t="s">
        <v>51</v>
      </c>
      <c r="F55" t="s">
        <v>60</v>
      </c>
      <c r="G55" t="s">
        <v>69</v>
      </c>
      <c r="H55" t="s">
        <v>78</v>
      </c>
      <c r="I55" t="s">
        <v>85</v>
      </c>
    </row>
    <row r="56" spans="1:16" x14ac:dyDescent="0.25">
      <c r="A56" t="s">
        <v>118</v>
      </c>
      <c r="B56" t="s">
        <v>169</v>
      </c>
    </row>
    <row r="57" spans="1:16" x14ac:dyDescent="0.25">
      <c r="A57" t="s">
        <v>118</v>
      </c>
      <c r="B57" t="s">
        <v>170</v>
      </c>
      <c r="C57" t="s">
        <v>34</v>
      </c>
      <c r="D57" t="s">
        <v>43</v>
      </c>
      <c r="E57" t="s">
        <v>52</v>
      </c>
      <c r="F57" t="s">
        <v>61</v>
      </c>
      <c r="G57" t="s">
        <v>70</v>
      </c>
      <c r="H57" t="s">
        <v>79</v>
      </c>
      <c r="I57" t="s">
        <v>86</v>
      </c>
    </row>
    <row r="58" spans="1:16" x14ac:dyDescent="0.25">
      <c r="A58" t="s">
        <v>118</v>
      </c>
      <c r="B58" t="s">
        <v>171</v>
      </c>
    </row>
    <row r="59" spans="1:16" ht="14.5" x14ac:dyDescent="0.35">
      <c r="A59" t="s">
        <v>118</v>
      </c>
      <c r="B59" t="s">
        <v>172</v>
      </c>
      <c r="C59" t="s">
        <v>173</v>
      </c>
      <c r="D59" t="s">
        <v>174</v>
      </c>
      <c r="E59" t="s">
        <v>175</v>
      </c>
      <c r="F59" t="s">
        <v>176</v>
      </c>
      <c r="G59" t="s">
        <v>176</v>
      </c>
      <c r="H59" t="s">
        <v>175</v>
      </c>
      <c r="I59" t="s">
        <v>177</v>
      </c>
      <c r="J59" s="27" t="s">
        <v>127</v>
      </c>
      <c r="K59" s="27" t="s">
        <v>128</v>
      </c>
      <c r="L59" s="27" t="s">
        <v>129</v>
      </c>
      <c r="M59" s="27" t="s">
        <v>130</v>
      </c>
      <c r="N59" s="27" t="s">
        <v>131</v>
      </c>
      <c r="O59" s="27" t="s">
        <v>132</v>
      </c>
    </row>
    <row r="60" spans="1:16" x14ac:dyDescent="0.25">
      <c r="A60" t="s">
        <v>118</v>
      </c>
      <c r="B60" t="s">
        <v>178</v>
      </c>
      <c r="C60" t="s">
        <v>179</v>
      </c>
      <c r="D60" t="s">
        <v>180</v>
      </c>
      <c r="E60" t="s">
        <v>181</v>
      </c>
      <c r="F60" t="s">
        <v>181</v>
      </c>
      <c r="G60" t="s">
        <v>182</v>
      </c>
      <c r="H60" t="s">
        <v>183</v>
      </c>
    </row>
    <row r="61" spans="1:16" x14ac:dyDescent="0.25">
      <c r="A61" t="s">
        <v>118</v>
      </c>
      <c r="B61" t="s">
        <v>184</v>
      </c>
      <c r="C61" t="s">
        <v>185</v>
      </c>
      <c r="D61" t="s">
        <v>186</v>
      </c>
      <c r="E61" t="s">
        <v>187</v>
      </c>
      <c r="F61" t="s">
        <v>188</v>
      </c>
      <c r="G61" t="s">
        <v>189</v>
      </c>
      <c r="H61" t="s">
        <v>190</v>
      </c>
      <c r="I61" t="s">
        <v>191</v>
      </c>
    </row>
    <row r="62" spans="1:16" x14ac:dyDescent="0.25">
      <c r="A62" t="s">
        <v>118</v>
      </c>
      <c r="B62" t="s">
        <v>192</v>
      </c>
    </row>
    <row r="63" spans="1:16" ht="14.5" x14ac:dyDescent="0.35">
      <c r="A63" t="s">
        <v>118</v>
      </c>
      <c r="B63" t="s">
        <v>193</v>
      </c>
      <c r="C63" t="s">
        <v>194</v>
      </c>
      <c r="D63" t="s">
        <v>195</v>
      </c>
      <c r="E63" t="s">
        <v>196</v>
      </c>
      <c r="F63" t="s">
        <v>197</v>
      </c>
      <c r="G63" t="s">
        <v>198</v>
      </c>
      <c r="H63" t="s">
        <v>199</v>
      </c>
      <c r="I63" t="s">
        <v>200</v>
      </c>
      <c r="J63" s="27" t="s">
        <v>127</v>
      </c>
      <c r="K63" s="27" t="s">
        <v>128</v>
      </c>
      <c r="L63" s="27" t="s">
        <v>129</v>
      </c>
      <c r="M63" s="27" t="s">
        <v>130</v>
      </c>
      <c r="N63" s="27" t="s">
        <v>131</v>
      </c>
      <c r="O63" s="27" t="s">
        <v>132</v>
      </c>
      <c r="P63" s="27" t="s">
        <v>133</v>
      </c>
    </row>
    <row r="64" spans="1:16" x14ac:dyDescent="0.25">
      <c r="A64" t="s">
        <v>118</v>
      </c>
      <c r="B64" t="s">
        <v>201</v>
      </c>
      <c r="C64" t="s">
        <v>202</v>
      </c>
      <c r="D64" t="s">
        <v>179</v>
      </c>
      <c r="E64" t="s">
        <v>179</v>
      </c>
      <c r="F64" t="s">
        <v>179</v>
      </c>
      <c r="G64" t="s">
        <v>203</v>
      </c>
      <c r="H64" t="s">
        <v>180</v>
      </c>
      <c r="I64" t="s">
        <v>179</v>
      </c>
    </row>
    <row r="65" spans="1:16" x14ac:dyDescent="0.25">
      <c r="A65" t="s">
        <v>118</v>
      </c>
      <c r="B65" t="s">
        <v>204</v>
      </c>
      <c r="C65" t="s">
        <v>205</v>
      </c>
      <c r="D65" t="s">
        <v>206</v>
      </c>
      <c r="E65" t="s">
        <v>207</v>
      </c>
      <c r="F65" t="s">
        <v>208</v>
      </c>
      <c r="G65" t="s">
        <v>209</v>
      </c>
      <c r="H65" t="s">
        <v>210</v>
      </c>
      <c r="I65" t="s">
        <v>211</v>
      </c>
    </row>
    <row r="66" spans="1:16" x14ac:dyDescent="0.25">
      <c r="A66" t="s">
        <v>118</v>
      </c>
      <c r="B66" t="s">
        <v>212</v>
      </c>
    </row>
    <row r="67" spans="1:16" ht="14.5" x14ac:dyDescent="0.35">
      <c r="A67" t="s">
        <v>118</v>
      </c>
      <c r="B67" t="s">
        <v>213</v>
      </c>
      <c r="C67" t="s">
        <v>214</v>
      </c>
      <c r="D67" t="s">
        <v>215</v>
      </c>
      <c r="E67" t="s">
        <v>216</v>
      </c>
      <c r="F67" t="s">
        <v>217</v>
      </c>
      <c r="G67" t="s">
        <v>218</v>
      </c>
      <c r="H67" t="s">
        <v>219</v>
      </c>
      <c r="I67" t="s">
        <v>220</v>
      </c>
      <c r="J67" s="27" t="s">
        <v>127</v>
      </c>
      <c r="K67" s="27" t="s">
        <v>128</v>
      </c>
      <c r="L67" s="27" t="s">
        <v>129</v>
      </c>
      <c r="M67" s="27" t="s">
        <v>130</v>
      </c>
      <c r="N67" s="27" t="s">
        <v>131</v>
      </c>
      <c r="O67" s="27" t="s">
        <v>132</v>
      </c>
      <c r="P67" s="27" t="s">
        <v>133</v>
      </c>
    </row>
    <row r="68" spans="1:16" x14ac:dyDescent="0.25">
      <c r="A68" t="s">
        <v>118</v>
      </c>
      <c r="B68" t="s">
        <v>221</v>
      </c>
      <c r="C68" t="s">
        <v>202</v>
      </c>
      <c r="D68" t="s">
        <v>179</v>
      </c>
      <c r="E68" t="s">
        <v>179</v>
      </c>
      <c r="F68" t="s">
        <v>179</v>
      </c>
      <c r="G68" t="s">
        <v>203</v>
      </c>
      <c r="H68" t="s">
        <v>180</v>
      </c>
      <c r="I68" t="s">
        <v>179</v>
      </c>
    </row>
    <row r="69" spans="1:16" x14ac:dyDescent="0.25">
      <c r="A69" t="s">
        <v>118</v>
      </c>
      <c r="B69" t="s">
        <v>222</v>
      </c>
      <c r="C69" t="s">
        <v>223</v>
      </c>
      <c r="D69" t="s">
        <v>224</v>
      </c>
      <c r="E69" t="s">
        <v>225</v>
      </c>
      <c r="F69" t="s">
        <v>226</v>
      </c>
      <c r="G69" t="s">
        <v>227</v>
      </c>
      <c r="H69" t="s">
        <v>228</v>
      </c>
      <c r="I69" t="s">
        <v>227</v>
      </c>
    </row>
    <row r="70" spans="1:16" x14ac:dyDescent="0.25">
      <c r="A70" t="s">
        <v>118</v>
      </c>
      <c r="B70" t="s">
        <v>229</v>
      </c>
    </row>
    <row r="71" spans="1:16" ht="14.5" x14ac:dyDescent="0.35">
      <c r="A71" t="s">
        <v>118</v>
      </c>
      <c r="B71" t="s">
        <v>230</v>
      </c>
      <c r="C71" t="s">
        <v>231</v>
      </c>
      <c r="D71" t="s">
        <v>232</v>
      </c>
      <c r="E71" t="s">
        <v>233</v>
      </c>
      <c r="F71" t="s">
        <v>234</v>
      </c>
      <c r="G71" t="s">
        <v>235</v>
      </c>
      <c r="H71" t="s">
        <v>236</v>
      </c>
      <c r="I71" t="s">
        <v>237</v>
      </c>
      <c r="J71" s="27" t="s">
        <v>127</v>
      </c>
      <c r="K71" s="27" t="s">
        <v>128</v>
      </c>
      <c r="L71" s="27" t="s">
        <v>129</v>
      </c>
      <c r="M71" s="27" t="s">
        <v>130</v>
      </c>
      <c r="N71" s="27" t="s">
        <v>131</v>
      </c>
      <c r="O71" s="27" t="s">
        <v>132</v>
      </c>
      <c r="P71" s="27" t="s">
        <v>133</v>
      </c>
    </row>
    <row r="72" spans="1:16" x14ac:dyDescent="0.25">
      <c r="A72" t="s">
        <v>118</v>
      </c>
      <c r="B72" t="s">
        <v>238</v>
      </c>
      <c r="C72" t="s">
        <v>179</v>
      </c>
      <c r="D72" t="s">
        <v>180</v>
      </c>
      <c r="E72" t="s">
        <v>180</v>
      </c>
      <c r="F72" t="s">
        <v>180</v>
      </c>
      <c r="G72" t="s">
        <v>239</v>
      </c>
      <c r="H72" t="s">
        <v>203</v>
      </c>
      <c r="I72" t="s">
        <v>180</v>
      </c>
    </row>
    <row r="73" spans="1:16" x14ac:dyDescent="0.25">
      <c r="A73" t="s">
        <v>118</v>
      </c>
      <c r="B73" t="s">
        <v>240</v>
      </c>
      <c r="C73" t="s">
        <v>176</v>
      </c>
      <c r="D73" t="s">
        <v>241</v>
      </c>
      <c r="E73" t="s">
        <v>242</v>
      </c>
      <c r="F73" t="s">
        <v>243</v>
      </c>
      <c r="G73" t="s">
        <v>241</v>
      </c>
      <c r="H73" t="s">
        <v>244</v>
      </c>
      <c r="I73" t="s">
        <v>245</v>
      </c>
    </row>
    <row r="74" spans="1:16" x14ac:dyDescent="0.25">
      <c r="A74" t="s">
        <v>118</v>
      </c>
      <c r="B74" t="s">
        <v>246</v>
      </c>
    </row>
    <row r="75" spans="1:16" ht="14.5" x14ac:dyDescent="0.35">
      <c r="A75" t="s">
        <v>247</v>
      </c>
      <c r="B75" t="s">
        <v>248</v>
      </c>
      <c r="C75" t="s">
        <v>249</v>
      </c>
      <c r="D75" t="s">
        <v>250</v>
      </c>
      <c r="E75" t="s">
        <v>251</v>
      </c>
      <c r="F75" t="s">
        <v>252</v>
      </c>
      <c r="G75" t="s">
        <v>253</v>
      </c>
      <c r="H75" t="s">
        <v>254</v>
      </c>
      <c r="I75" t="s">
        <v>255</v>
      </c>
      <c r="J75" s="27" t="s">
        <v>127</v>
      </c>
      <c r="K75" s="27" t="s">
        <v>128</v>
      </c>
      <c r="L75" s="27" t="s">
        <v>129</v>
      </c>
      <c r="M75" s="27" t="s">
        <v>130</v>
      </c>
      <c r="N75" s="27" t="s">
        <v>131</v>
      </c>
      <c r="O75" s="27" t="s">
        <v>132</v>
      </c>
      <c r="P75" s="27" t="s">
        <v>133</v>
      </c>
    </row>
    <row r="76" spans="1:16" x14ac:dyDescent="0.25">
      <c r="A76" t="s">
        <v>247</v>
      </c>
      <c r="B76" t="s">
        <v>256</v>
      </c>
      <c r="C76" t="s">
        <v>257</v>
      </c>
      <c r="D76" t="s">
        <v>258</v>
      </c>
      <c r="E76" t="s">
        <v>257</v>
      </c>
      <c r="F76" t="s">
        <v>259</v>
      </c>
      <c r="G76" t="s">
        <v>258</v>
      </c>
      <c r="H76" t="s">
        <v>257</v>
      </c>
      <c r="I76" t="s">
        <v>259</v>
      </c>
    </row>
    <row r="77" spans="1:16" ht="14.5" x14ac:dyDescent="0.35">
      <c r="A77" t="s">
        <v>247</v>
      </c>
      <c r="B77" t="s">
        <v>260</v>
      </c>
      <c r="C77" t="s">
        <v>261</v>
      </c>
      <c r="D77" t="s">
        <v>262</v>
      </c>
      <c r="E77" t="s">
        <v>263</v>
      </c>
      <c r="F77" t="s">
        <v>264</v>
      </c>
      <c r="G77" t="s">
        <v>265</v>
      </c>
      <c r="H77" t="s">
        <v>266</v>
      </c>
      <c r="I77" t="s">
        <v>267</v>
      </c>
      <c r="J77" s="27" t="s">
        <v>127</v>
      </c>
      <c r="K77" s="27" t="s">
        <v>128</v>
      </c>
      <c r="L77" s="27" t="s">
        <v>129</v>
      </c>
      <c r="M77" s="27" t="s">
        <v>130</v>
      </c>
      <c r="N77" s="27" t="s">
        <v>131</v>
      </c>
      <c r="O77" s="27" t="s">
        <v>132</v>
      </c>
      <c r="P77" s="27" t="s">
        <v>133</v>
      </c>
    </row>
    <row r="78" spans="1:16" x14ac:dyDescent="0.25">
      <c r="A78" t="s">
        <v>247</v>
      </c>
      <c r="B78" t="s">
        <v>268</v>
      </c>
      <c r="C78" t="s">
        <v>257</v>
      </c>
      <c r="D78" t="s">
        <v>258</v>
      </c>
      <c r="E78" t="s">
        <v>257</v>
      </c>
      <c r="F78" t="s">
        <v>259</v>
      </c>
      <c r="G78" t="s">
        <v>258</v>
      </c>
      <c r="H78" t="s">
        <v>257</v>
      </c>
      <c r="I78" t="s">
        <v>259</v>
      </c>
    </row>
    <row r="79" spans="1:16" ht="14.5" x14ac:dyDescent="0.35">
      <c r="A79" t="s">
        <v>247</v>
      </c>
      <c r="B79" t="s">
        <v>269</v>
      </c>
      <c r="C79" t="s">
        <v>270</v>
      </c>
      <c r="D79" t="s">
        <v>271</v>
      </c>
      <c r="E79" t="s">
        <v>272</v>
      </c>
      <c r="F79" t="s">
        <v>273</v>
      </c>
      <c r="G79" t="s">
        <v>274</v>
      </c>
      <c r="H79" t="s">
        <v>275</v>
      </c>
      <c r="I79" t="s">
        <v>276</v>
      </c>
      <c r="J79" s="27" t="s">
        <v>127</v>
      </c>
      <c r="K79" s="27" t="s">
        <v>128</v>
      </c>
      <c r="L79" s="27" t="s">
        <v>129</v>
      </c>
      <c r="M79" s="27" t="s">
        <v>130</v>
      </c>
      <c r="N79" s="27" t="s">
        <v>131</v>
      </c>
      <c r="O79" s="27" t="s">
        <v>132</v>
      </c>
      <c r="P79" s="27" t="s">
        <v>133</v>
      </c>
    </row>
    <row r="80" spans="1:16" x14ac:dyDescent="0.25">
      <c r="A80" t="s">
        <v>247</v>
      </c>
      <c r="B80" t="s">
        <v>277</v>
      </c>
      <c r="C80" t="s">
        <v>257</v>
      </c>
      <c r="D80" t="s">
        <v>258</v>
      </c>
      <c r="E80" t="s">
        <v>257</v>
      </c>
      <c r="F80" t="s">
        <v>259</v>
      </c>
      <c r="G80" t="s">
        <v>258</v>
      </c>
      <c r="H80" t="s">
        <v>257</v>
      </c>
      <c r="I80" t="s">
        <v>259</v>
      </c>
    </row>
    <row r="81" spans="1:16" ht="14.5" x14ac:dyDescent="0.35">
      <c r="A81" t="s">
        <v>247</v>
      </c>
      <c r="B81" t="s">
        <v>278</v>
      </c>
      <c r="C81" t="s">
        <v>279</v>
      </c>
      <c r="D81" t="s">
        <v>280</v>
      </c>
      <c r="E81" t="s">
        <v>281</v>
      </c>
      <c r="F81" t="s">
        <v>282</v>
      </c>
      <c r="G81" t="s">
        <v>283</v>
      </c>
      <c r="H81" t="s">
        <v>284</v>
      </c>
      <c r="I81" t="s">
        <v>285</v>
      </c>
      <c r="J81" s="27" t="s">
        <v>127</v>
      </c>
      <c r="K81" s="27" t="s">
        <v>128</v>
      </c>
      <c r="L81" s="27" t="s">
        <v>129</v>
      </c>
      <c r="M81" s="27" t="s">
        <v>130</v>
      </c>
      <c r="N81" s="27" t="s">
        <v>131</v>
      </c>
      <c r="O81" s="27" t="s">
        <v>132</v>
      </c>
      <c r="P81" s="27" t="s">
        <v>133</v>
      </c>
    </row>
    <row r="82" spans="1:16" x14ac:dyDescent="0.25">
      <c r="A82" t="s">
        <v>247</v>
      </c>
      <c r="B82" t="s">
        <v>286</v>
      </c>
      <c r="C82" t="s">
        <v>257</v>
      </c>
      <c r="D82" t="s">
        <v>258</v>
      </c>
      <c r="E82" t="s">
        <v>257</v>
      </c>
      <c r="F82" t="s">
        <v>259</v>
      </c>
      <c r="G82" t="s">
        <v>258</v>
      </c>
      <c r="H82" t="s">
        <v>257</v>
      </c>
      <c r="I82" t="s">
        <v>259</v>
      </c>
    </row>
    <row r="83" spans="1:16" ht="14.5" x14ac:dyDescent="0.35">
      <c r="A83" t="s">
        <v>247</v>
      </c>
      <c r="B83" t="s">
        <v>287</v>
      </c>
      <c r="C83" t="s">
        <v>288</v>
      </c>
      <c r="D83" t="s">
        <v>289</v>
      </c>
      <c r="E83" t="s">
        <v>290</v>
      </c>
      <c r="F83" t="s">
        <v>291</v>
      </c>
      <c r="G83" t="s">
        <v>292</v>
      </c>
      <c r="H83" t="s">
        <v>293</v>
      </c>
      <c r="I83" t="s">
        <v>294</v>
      </c>
      <c r="J83" s="27" t="s">
        <v>127</v>
      </c>
      <c r="K83" s="27" t="s">
        <v>128</v>
      </c>
      <c r="L83" s="27" t="s">
        <v>129</v>
      </c>
      <c r="M83" s="27" t="s">
        <v>130</v>
      </c>
      <c r="N83" s="27" t="s">
        <v>131</v>
      </c>
      <c r="O83" s="27" t="s">
        <v>132</v>
      </c>
      <c r="P83" s="27" t="s">
        <v>133</v>
      </c>
    </row>
    <row r="84" spans="1:16" x14ac:dyDescent="0.25">
      <c r="A84" t="s">
        <v>247</v>
      </c>
      <c r="B84" t="s">
        <v>295</v>
      </c>
      <c r="C84" t="s">
        <v>257</v>
      </c>
      <c r="D84" t="s">
        <v>258</v>
      </c>
      <c r="E84" t="s">
        <v>257</v>
      </c>
      <c r="F84" t="s">
        <v>259</v>
      </c>
      <c r="G84" t="s">
        <v>258</v>
      </c>
      <c r="H84" t="s">
        <v>257</v>
      </c>
      <c r="I84" t="s">
        <v>259</v>
      </c>
    </row>
    <row r="85" spans="1:16" ht="14.5" x14ac:dyDescent="0.35">
      <c r="A85" t="s">
        <v>247</v>
      </c>
      <c r="B85" t="s">
        <v>296</v>
      </c>
      <c r="C85" t="s">
        <v>297</v>
      </c>
      <c r="D85" t="s">
        <v>298</v>
      </c>
      <c r="E85" t="s">
        <v>299</v>
      </c>
      <c r="F85" t="s">
        <v>300</v>
      </c>
      <c r="G85" t="s">
        <v>301</v>
      </c>
      <c r="H85" t="s">
        <v>302</v>
      </c>
      <c r="I85" t="s">
        <v>303</v>
      </c>
      <c r="J85" s="27" t="s">
        <v>127</v>
      </c>
      <c r="K85" s="27" t="s">
        <v>128</v>
      </c>
      <c r="L85" s="27" t="s">
        <v>129</v>
      </c>
      <c r="M85" s="27" t="s">
        <v>130</v>
      </c>
      <c r="N85" s="27" t="s">
        <v>131</v>
      </c>
      <c r="O85" s="27" t="s">
        <v>132</v>
      </c>
      <c r="P85" s="27" t="s">
        <v>133</v>
      </c>
    </row>
    <row r="86" spans="1:16" x14ac:dyDescent="0.25">
      <c r="A86" t="s">
        <v>247</v>
      </c>
      <c r="B86" t="s">
        <v>304</v>
      </c>
      <c r="C86" t="s">
        <v>257</v>
      </c>
      <c r="D86" t="s">
        <v>258</v>
      </c>
      <c r="E86" t="s">
        <v>257</v>
      </c>
      <c r="F86" t="s">
        <v>259</v>
      </c>
      <c r="G86" t="s">
        <v>258</v>
      </c>
      <c r="H86" t="s">
        <v>257</v>
      </c>
      <c r="I86" t="s">
        <v>259</v>
      </c>
    </row>
    <row r="87" spans="1:16" ht="14.5" x14ac:dyDescent="0.35">
      <c r="A87" t="s">
        <v>247</v>
      </c>
      <c r="B87" t="s">
        <v>305</v>
      </c>
      <c r="C87" t="s">
        <v>306</v>
      </c>
      <c r="D87" t="s">
        <v>307</v>
      </c>
      <c r="E87" t="s">
        <v>308</v>
      </c>
      <c r="F87" t="s">
        <v>309</v>
      </c>
      <c r="G87" t="s">
        <v>310</v>
      </c>
      <c r="H87" t="s">
        <v>311</v>
      </c>
      <c r="I87" t="s">
        <v>312</v>
      </c>
      <c r="J87" s="27" t="s">
        <v>127</v>
      </c>
      <c r="K87" s="27" t="s">
        <v>128</v>
      </c>
      <c r="L87" s="27" t="s">
        <v>129</v>
      </c>
      <c r="M87" s="27" t="s">
        <v>130</v>
      </c>
      <c r="N87" s="27" t="s">
        <v>131</v>
      </c>
      <c r="O87" s="27" t="s">
        <v>132</v>
      </c>
      <c r="P87" s="27" t="s">
        <v>133</v>
      </c>
    </row>
    <row r="88" spans="1:16" x14ac:dyDescent="0.25">
      <c r="A88" t="s">
        <v>247</v>
      </c>
      <c r="B88" t="s">
        <v>313</v>
      </c>
      <c r="C88" t="s">
        <v>257</v>
      </c>
      <c r="D88" t="s">
        <v>258</v>
      </c>
      <c r="E88" t="s">
        <v>257</v>
      </c>
      <c r="F88" t="s">
        <v>259</v>
      </c>
      <c r="G88" t="s">
        <v>258</v>
      </c>
      <c r="H88" t="s">
        <v>257</v>
      </c>
      <c r="I88" t="s">
        <v>259</v>
      </c>
    </row>
    <row r="89" spans="1:16" ht="14.5" x14ac:dyDescent="0.35">
      <c r="A89" t="s">
        <v>247</v>
      </c>
      <c r="B89" t="s">
        <v>314</v>
      </c>
      <c r="C89" t="s">
        <v>315</v>
      </c>
      <c r="D89" t="s">
        <v>316</v>
      </c>
      <c r="E89" t="s">
        <v>317</v>
      </c>
      <c r="F89" t="s">
        <v>318</v>
      </c>
      <c r="G89" t="s">
        <v>319</v>
      </c>
      <c r="H89" t="s">
        <v>320</v>
      </c>
      <c r="I89" t="s">
        <v>321</v>
      </c>
      <c r="J89" s="27" t="s">
        <v>127</v>
      </c>
      <c r="K89" s="27" t="s">
        <v>128</v>
      </c>
      <c r="L89" s="27" t="s">
        <v>129</v>
      </c>
      <c r="M89" s="27" t="s">
        <v>130</v>
      </c>
      <c r="N89" s="27" t="s">
        <v>131</v>
      </c>
      <c r="O89" s="27" t="s">
        <v>132</v>
      </c>
      <c r="P89" s="27" t="s">
        <v>133</v>
      </c>
    </row>
    <row r="90" spans="1:16" x14ac:dyDescent="0.25">
      <c r="A90" t="s">
        <v>247</v>
      </c>
      <c r="B90" t="s">
        <v>322</v>
      </c>
      <c r="C90" t="s">
        <v>257</v>
      </c>
      <c r="D90" t="s">
        <v>258</v>
      </c>
      <c r="E90" t="s">
        <v>257</v>
      </c>
      <c r="F90" t="s">
        <v>259</v>
      </c>
      <c r="G90" t="s">
        <v>258</v>
      </c>
      <c r="H90" t="s">
        <v>257</v>
      </c>
      <c r="I90" t="s">
        <v>259</v>
      </c>
    </row>
    <row r="91" spans="1:16" ht="14.5" x14ac:dyDescent="0.35">
      <c r="A91" t="s">
        <v>247</v>
      </c>
      <c r="B91" t="s">
        <v>323</v>
      </c>
      <c r="C91" t="s">
        <v>324</v>
      </c>
      <c r="D91" t="s">
        <v>325</v>
      </c>
      <c r="E91" t="s">
        <v>326</v>
      </c>
      <c r="F91" t="s">
        <v>327</v>
      </c>
      <c r="G91" t="s">
        <v>328</v>
      </c>
      <c r="H91" t="s">
        <v>329</v>
      </c>
      <c r="I91" t="s">
        <v>330</v>
      </c>
      <c r="J91" s="27" t="s">
        <v>127</v>
      </c>
      <c r="K91" s="27" t="s">
        <v>128</v>
      </c>
      <c r="L91" s="27" t="s">
        <v>129</v>
      </c>
      <c r="M91" s="27" t="s">
        <v>130</v>
      </c>
      <c r="N91" s="27" t="s">
        <v>131</v>
      </c>
      <c r="O91" s="27" t="s">
        <v>132</v>
      </c>
      <c r="P91" s="27" t="s">
        <v>133</v>
      </c>
    </row>
    <row r="92" spans="1:16" x14ac:dyDescent="0.25">
      <c r="A92" t="s">
        <v>247</v>
      </c>
      <c r="B92" t="s">
        <v>331</v>
      </c>
      <c r="C92" t="s">
        <v>257</v>
      </c>
      <c r="D92" t="s">
        <v>258</v>
      </c>
      <c r="E92" t="s">
        <v>257</v>
      </c>
      <c r="F92" t="s">
        <v>259</v>
      </c>
      <c r="G92" t="s">
        <v>258</v>
      </c>
      <c r="H92" t="s">
        <v>257</v>
      </c>
      <c r="I92" t="s">
        <v>259</v>
      </c>
    </row>
    <row r="93" spans="1:16" ht="14.5" x14ac:dyDescent="0.35">
      <c r="A93" t="s">
        <v>247</v>
      </c>
      <c r="B93" t="s">
        <v>332</v>
      </c>
      <c r="C93" t="s">
        <v>333</v>
      </c>
      <c r="D93" t="s">
        <v>334</v>
      </c>
      <c r="E93" t="s">
        <v>335</v>
      </c>
      <c r="F93" t="s">
        <v>336</v>
      </c>
      <c r="G93" t="s">
        <v>337</v>
      </c>
      <c r="H93" t="s">
        <v>338</v>
      </c>
      <c r="I93" t="s">
        <v>339</v>
      </c>
      <c r="J93" s="27" t="s">
        <v>127</v>
      </c>
      <c r="K93" s="27" t="s">
        <v>128</v>
      </c>
      <c r="L93" s="27" t="s">
        <v>129</v>
      </c>
      <c r="M93" s="27" t="s">
        <v>130</v>
      </c>
      <c r="N93" s="27" t="s">
        <v>131</v>
      </c>
      <c r="O93" s="27" t="s">
        <v>132</v>
      </c>
      <c r="P93" s="27" t="s">
        <v>133</v>
      </c>
    </row>
    <row r="94" spans="1:16" x14ac:dyDescent="0.25">
      <c r="A94" t="s">
        <v>247</v>
      </c>
      <c r="B94" t="s">
        <v>340</v>
      </c>
      <c r="C94" t="s">
        <v>257</v>
      </c>
      <c r="D94" t="s">
        <v>258</v>
      </c>
      <c r="E94" t="s">
        <v>257</v>
      </c>
      <c r="F94" t="s">
        <v>259</v>
      </c>
      <c r="G94" t="s">
        <v>258</v>
      </c>
      <c r="H94" t="s">
        <v>257</v>
      </c>
      <c r="I94" t="s">
        <v>259</v>
      </c>
    </row>
    <row r="95" spans="1:16" ht="14.5" x14ac:dyDescent="0.35">
      <c r="A95" t="s">
        <v>247</v>
      </c>
      <c r="B95" t="s">
        <v>341</v>
      </c>
      <c r="C95" t="s">
        <v>342</v>
      </c>
      <c r="D95" t="s">
        <v>343</v>
      </c>
      <c r="E95" t="s">
        <v>344</v>
      </c>
      <c r="F95" t="s">
        <v>345</v>
      </c>
      <c r="G95" t="s">
        <v>346</v>
      </c>
      <c r="H95" t="s">
        <v>347</v>
      </c>
      <c r="I95" t="s">
        <v>348</v>
      </c>
      <c r="J95" s="27" t="s">
        <v>127</v>
      </c>
      <c r="K95" s="27" t="s">
        <v>128</v>
      </c>
      <c r="L95" s="27" t="s">
        <v>129</v>
      </c>
      <c r="M95" s="27" t="s">
        <v>130</v>
      </c>
      <c r="N95" s="27" t="s">
        <v>131</v>
      </c>
      <c r="O95" s="27" t="s">
        <v>132</v>
      </c>
      <c r="P95" s="27" t="s">
        <v>133</v>
      </c>
    </row>
    <row r="96" spans="1:16" x14ac:dyDescent="0.25">
      <c r="A96" t="s">
        <v>247</v>
      </c>
      <c r="B96" t="s">
        <v>349</v>
      </c>
      <c r="C96" t="s">
        <v>257</v>
      </c>
      <c r="D96" t="s">
        <v>258</v>
      </c>
      <c r="E96" t="s">
        <v>257</v>
      </c>
      <c r="F96" t="s">
        <v>259</v>
      </c>
      <c r="G96" t="s">
        <v>258</v>
      </c>
      <c r="H96" t="s">
        <v>257</v>
      </c>
      <c r="I96" t="s">
        <v>259</v>
      </c>
    </row>
    <row r="97" spans="1:16" x14ac:dyDescent="0.25">
      <c r="A97" t="s">
        <v>247</v>
      </c>
      <c r="B97" t="s">
        <v>350</v>
      </c>
      <c r="C97" t="s">
        <v>223</v>
      </c>
      <c r="D97" t="s">
        <v>351</v>
      </c>
      <c r="E97" t="s">
        <v>352</v>
      </c>
      <c r="F97" t="s">
        <v>353</v>
      </c>
      <c r="G97" t="s">
        <v>354</v>
      </c>
      <c r="H97" t="s">
        <v>355</v>
      </c>
      <c r="I97" t="s">
        <v>356</v>
      </c>
    </row>
    <row r="98" spans="1:16" x14ac:dyDescent="0.25">
      <c r="A98" t="s">
        <v>247</v>
      </c>
      <c r="B98" t="s">
        <v>357</v>
      </c>
    </row>
    <row r="99" spans="1:16" ht="14.5" x14ac:dyDescent="0.35">
      <c r="A99" t="s">
        <v>247</v>
      </c>
      <c r="B99" t="s">
        <v>358</v>
      </c>
      <c r="C99" t="s">
        <v>359</v>
      </c>
      <c r="D99" t="s">
        <v>360</v>
      </c>
      <c r="E99" t="s">
        <v>361</v>
      </c>
      <c r="F99" t="s">
        <v>362</v>
      </c>
      <c r="G99" t="s">
        <v>198</v>
      </c>
      <c r="H99" t="s">
        <v>363</v>
      </c>
      <c r="I99" t="s">
        <v>359</v>
      </c>
      <c r="J99" s="27" t="s">
        <v>127</v>
      </c>
      <c r="K99" s="27" t="s">
        <v>128</v>
      </c>
      <c r="L99" s="27" t="s">
        <v>129</v>
      </c>
      <c r="M99" s="27" t="s">
        <v>130</v>
      </c>
      <c r="N99" s="27" t="s">
        <v>131</v>
      </c>
      <c r="O99" s="27" t="s">
        <v>132</v>
      </c>
      <c r="P99" s="27" t="s">
        <v>133</v>
      </c>
    </row>
    <row r="100" spans="1:16" x14ac:dyDescent="0.25">
      <c r="A100" t="s">
        <v>247</v>
      </c>
      <c r="B100" t="s">
        <v>364</v>
      </c>
      <c r="C100" t="s">
        <v>202</v>
      </c>
      <c r="D100" t="s">
        <v>179</v>
      </c>
      <c r="E100" t="s">
        <v>179</v>
      </c>
      <c r="F100" t="s">
        <v>179</v>
      </c>
      <c r="G100" t="s">
        <v>203</v>
      </c>
      <c r="H100" t="s">
        <v>180</v>
      </c>
      <c r="I100" t="s">
        <v>179</v>
      </c>
    </row>
    <row r="101" spans="1:16" x14ac:dyDescent="0.25">
      <c r="A101" t="s">
        <v>247</v>
      </c>
      <c r="B101" t="s">
        <v>365</v>
      </c>
      <c r="C101" t="s">
        <v>38</v>
      </c>
      <c r="D101" t="s">
        <v>47</v>
      </c>
      <c r="E101" t="s">
        <v>56</v>
      </c>
      <c r="F101" t="s">
        <v>65</v>
      </c>
      <c r="G101" t="s">
        <v>74</v>
      </c>
      <c r="H101" t="s">
        <v>82</v>
      </c>
      <c r="I101" t="s">
        <v>90</v>
      </c>
    </row>
    <row r="102" spans="1:16" x14ac:dyDescent="0.25">
      <c r="A102" t="s">
        <v>247</v>
      </c>
      <c r="B102" t="s">
        <v>366</v>
      </c>
    </row>
    <row r="103" spans="1:16" x14ac:dyDescent="0.25">
      <c r="A103" t="s">
        <v>247</v>
      </c>
      <c r="B103" t="s">
        <v>367</v>
      </c>
      <c r="C103" t="s">
        <v>368</v>
      </c>
      <c r="D103" t="s">
        <v>369</v>
      </c>
      <c r="E103" t="s">
        <v>370</v>
      </c>
      <c r="F103" t="s">
        <v>371</v>
      </c>
      <c r="G103" t="s">
        <v>372</v>
      </c>
      <c r="H103" t="s">
        <v>373</v>
      </c>
      <c r="I103" t="s">
        <v>373</v>
      </c>
    </row>
    <row r="104" spans="1:16" x14ac:dyDescent="0.25">
      <c r="A104" t="s">
        <v>247</v>
      </c>
      <c r="B104" t="s">
        <v>374</v>
      </c>
    </row>
    <row r="105" spans="1:16" x14ac:dyDescent="0.25">
      <c r="A105" t="s">
        <v>247</v>
      </c>
      <c r="B105" t="s">
        <v>375</v>
      </c>
      <c r="C105" t="s">
        <v>376</v>
      </c>
      <c r="D105" t="s">
        <v>377</v>
      </c>
      <c r="E105" t="s">
        <v>83</v>
      </c>
      <c r="F105" t="s">
        <v>378</v>
      </c>
      <c r="G105" t="s">
        <v>91</v>
      </c>
      <c r="H105" t="s">
        <v>379</v>
      </c>
      <c r="I105" t="s">
        <v>380</v>
      </c>
    </row>
    <row r="106" spans="1:16" x14ac:dyDescent="0.25">
      <c r="A106" t="s">
        <v>247</v>
      </c>
      <c r="B106" t="s">
        <v>381</v>
      </c>
    </row>
    <row r="107" spans="1:16" x14ac:dyDescent="0.25">
      <c r="A107" t="s">
        <v>247</v>
      </c>
      <c r="B107" t="s">
        <v>382</v>
      </c>
      <c r="C107" t="s">
        <v>383</v>
      </c>
      <c r="D107" t="s">
        <v>384</v>
      </c>
      <c r="E107" t="s">
        <v>385</v>
      </c>
      <c r="F107" t="s">
        <v>386</v>
      </c>
      <c r="G107" t="s">
        <v>387</v>
      </c>
      <c r="H107" t="s">
        <v>388</v>
      </c>
      <c r="I107" t="s">
        <v>389</v>
      </c>
    </row>
    <row r="108" spans="1:16" x14ac:dyDescent="0.25">
      <c r="A108" t="s">
        <v>247</v>
      </c>
      <c r="B108" t="s">
        <v>390</v>
      </c>
    </row>
    <row r="109" spans="1:16" x14ac:dyDescent="0.25">
      <c r="A109" t="s">
        <v>247</v>
      </c>
      <c r="B109" t="s">
        <v>391</v>
      </c>
      <c r="C109" t="s">
        <v>392</v>
      </c>
      <c r="D109" t="s">
        <v>393</v>
      </c>
      <c r="E109" t="s">
        <v>393</v>
      </c>
      <c r="F109" t="s">
        <v>394</v>
      </c>
      <c r="G109" t="s">
        <v>395</v>
      </c>
      <c r="H109" t="s">
        <v>377</v>
      </c>
      <c r="I109" t="s">
        <v>396</v>
      </c>
    </row>
    <row r="110" spans="1:16" x14ac:dyDescent="0.25">
      <c r="A110" t="s">
        <v>247</v>
      </c>
      <c r="B110" t="s">
        <v>397</v>
      </c>
    </row>
    <row r="111" spans="1:16" ht="14.5" x14ac:dyDescent="0.35">
      <c r="A111" t="s">
        <v>247</v>
      </c>
      <c r="B111" t="s">
        <v>398</v>
      </c>
      <c r="C111" t="s">
        <v>399</v>
      </c>
      <c r="D111" t="s">
        <v>400</v>
      </c>
      <c r="E111" t="s">
        <v>401</v>
      </c>
      <c r="F111" t="s">
        <v>402</v>
      </c>
      <c r="G111" t="s">
        <v>403</v>
      </c>
      <c r="H111" t="s">
        <v>404</v>
      </c>
      <c r="I111" t="s">
        <v>281</v>
      </c>
      <c r="J111" s="27" t="s">
        <v>127</v>
      </c>
      <c r="K111" s="27" t="s">
        <v>128</v>
      </c>
      <c r="L111" s="27" t="s">
        <v>129</v>
      </c>
      <c r="M111" s="27" t="s">
        <v>130</v>
      </c>
      <c r="N111" s="27" t="s">
        <v>131</v>
      </c>
      <c r="O111" s="27" t="s">
        <v>132</v>
      </c>
      <c r="P111" s="27" t="s">
        <v>133</v>
      </c>
    </row>
    <row r="112" spans="1:16" x14ac:dyDescent="0.25">
      <c r="A112" t="s">
        <v>247</v>
      </c>
      <c r="B112" t="s">
        <v>405</v>
      </c>
      <c r="C112" t="s">
        <v>239</v>
      </c>
      <c r="D112" t="s">
        <v>406</v>
      </c>
      <c r="E112" t="s">
        <v>406</v>
      </c>
      <c r="F112" t="s">
        <v>406</v>
      </c>
      <c r="G112" t="s">
        <v>407</v>
      </c>
      <c r="H112" t="s">
        <v>408</v>
      </c>
      <c r="I112" t="s">
        <v>406</v>
      </c>
    </row>
    <row r="113" spans="1:16" x14ac:dyDescent="0.25">
      <c r="A113" t="s">
        <v>247</v>
      </c>
      <c r="B113" t="s">
        <v>409</v>
      </c>
      <c r="C113" t="s">
        <v>39</v>
      </c>
      <c r="D113" t="s">
        <v>48</v>
      </c>
      <c r="E113" t="s">
        <v>57</v>
      </c>
      <c r="F113" t="s">
        <v>66</v>
      </c>
      <c r="G113" t="s">
        <v>75</v>
      </c>
      <c r="H113" t="s">
        <v>83</v>
      </c>
      <c r="I113" t="s">
        <v>91</v>
      </c>
    </row>
    <row r="114" spans="1:16" x14ac:dyDescent="0.25">
      <c r="A114" t="s">
        <v>247</v>
      </c>
      <c r="B114" t="s">
        <v>410</v>
      </c>
    </row>
    <row r="115" spans="1:16" ht="14.5" x14ac:dyDescent="0.35">
      <c r="A115" t="s">
        <v>247</v>
      </c>
      <c r="B115" t="s">
        <v>411</v>
      </c>
      <c r="C115" t="s">
        <v>412</v>
      </c>
      <c r="D115" t="s">
        <v>413</v>
      </c>
      <c r="E115" t="s">
        <v>414</v>
      </c>
      <c r="F115" t="s">
        <v>415</v>
      </c>
      <c r="G115" t="s">
        <v>416</v>
      </c>
      <c r="H115" t="s">
        <v>417</v>
      </c>
      <c r="I115" t="s">
        <v>418</v>
      </c>
      <c r="J115" s="27" t="s">
        <v>127</v>
      </c>
      <c r="K115" s="27" t="s">
        <v>128</v>
      </c>
      <c r="L115" s="27" t="s">
        <v>129</v>
      </c>
      <c r="M115" s="27" t="s">
        <v>130</v>
      </c>
      <c r="N115" s="27" t="s">
        <v>131</v>
      </c>
      <c r="O115" s="27" t="s">
        <v>132</v>
      </c>
      <c r="P115" s="27" t="s">
        <v>133</v>
      </c>
    </row>
    <row r="116" spans="1:16" x14ac:dyDescent="0.25">
      <c r="A116" t="s">
        <v>247</v>
      </c>
      <c r="B116" t="s">
        <v>419</v>
      </c>
      <c r="C116" t="s">
        <v>420</v>
      </c>
      <c r="D116" t="s">
        <v>421</v>
      </c>
      <c r="E116" t="s">
        <v>420</v>
      </c>
      <c r="F116" t="s">
        <v>258</v>
      </c>
      <c r="G116" t="s">
        <v>421</v>
      </c>
      <c r="H116" t="s">
        <v>420</v>
      </c>
      <c r="I116" t="s">
        <v>258</v>
      </c>
    </row>
    <row r="117" spans="1:16" x14ac:dyDescent="0.25">
      <c r="A117" t="s">
        <v>247</v>
      </c>
      <c r="B117" t="s">
        <v>422</v>
      </c>
      <c r="C117" t="s">
        <v>423</v>
      </c>
      <c r="D117" t="s">
        <v>424</v>
      </c>
      <c r="E117" t="s">
        <v>425</v>
      </c>
      <c r="F117" t="s">
        <v>426</v>
      </c>
      <c r="G117" t="s">
        <v>427</v>
      </c>
      <c r="H117" t="s">
        <v>428</v>
      </c>
      <c r="I117" t="s">
        <v>356</v>
      </c>
    </row>
    <row r="118" spans="1:16" x14ac:dyDescent="0.25">
      <c r="A118" t="s">
        <v>247</v>
      </c>
      <c r="B118" t="s">
        <v>429</v>
      </c>
    </row>
    <row r="119" spans="1:16" x14ac:dyDescent="0.25">
      <c r="A119" t="s">
        <v>247</v>
      </c>
      <c r="B119" t="s">
        <v>430</v>
      </c>
      <c r="C119" t="s">
        <v>431</v>
      </c>
      <c r="D119" t="s">
        <v>432</v>
      </c>
      <c r="E119" t="s">
        <v>433</v>
      </c>
      <c r="F119" t="s">
        <v>434</v>
      </c>
      <c r="G119" t="s">
        <v>435</v>
      </c>
      <c r="H119" t="s">
        <v>436</v>
      </c>
      <c r="I119" t="s">
        <v>436</v>
      </c>
    </row>
    <row r="120" spans="1:16" x14ac:dyDescent="0.25">
      <c r="A120" t="s">
        <v>247</v>
      </c>
      <c r="B120" t="s">
        <v>437</v>
      </c>
    </row>
    <row r="121" spans="1:16" x14ac:dyDescent="0.25">
      <c r="A121" t="s">
        <v>247</v>
      </c>
      <c r="B121" t="s">
        <v>438</v>
      </c>
      <c r="C121" t="s">
        <v>439</v>
      </c>
      <c r="D121" t="s">
        <v>440</v>
      </c>
      <c r="E121" t="s">
        <v>441</v>
      </c>
      <c r="F121" t="s">
        <v>442</v>
      </c>
      <c r="G121" t="s">
        <v>443</v>
      </c>
      <c r="H121" t="s">
        <v>444</v>
      </c>
      <c r="I121" t="s">
        <v>444</v>
      </c>
    </row>
    <row r="122" spans="1:16" x14ac:dyDescent="0.25">
      <c r="A122" t="s">
        <v>247</v>
      </c>
      <c r="B122" t="s">
        <v>445</v>
      </c>
    </row>
  </sheetData>
  <hyperlinks>
    <hyperlink ref="J47" r:id="rId1" xr:uid="{00000000-0004-0000-0300-000000000000}"/>
    <hyperlink ref="K47" r:id="rId2" xr:uid="{00000000-0004-0000-0300-000001000000}"/>
    <hyperlink ref="L47" r:id="rId3" xr:uid="{00000000-0004-0000-0300-000002000000}"/>
    <hyperlink ref="M47" r:id="rId4" xr:uid="{00000000-0004-0000-0300-000003000000}"/>
    <hyperlink ref="N47" r:id="rId5" xr:uid="{00000000-0004-0000-0300-000004000000}"/>
    <hyperlink ref="O47" r:id="rId6" xr:uid="{00000000-0004-0000-0300-000005000000}"/>
    <hyperlink ref="P47" r:id="rId7" xr:uid="{00000000-0004-0000-0300-000006000000}"/>
    <hyperlink ref="J49" r:id="rId8" xr:uid="{00000000-0004-0000-0300-000007000000}"/>
    <hyperlink ref="K49" r:id="rId9" xr:uid="{00000000-0004-0000-0300-000008000000}"/>
    <hyperlink ref="L49" r:id="rId10" xr:uid="{00000000-0004-0000-0300-000009000000}"/>
    <hyperlink ref="M49" r:id="rId11" xr:uid="{00000000-0004-0000-0300-00000A000000}"/>
    <hyperlink ref="N49" r:id="rId12" xr:uid="{00000000-0004-0000-0300-00000B000000}"/>
    <hyperlink ref="O49" r:id="rId13" xr:uid="{00000000-0004-0000-0300-00000C000000}"/>
    <hyperlink ref="P49" r:id="rId14" xr:uid="{00000000-0004-0000-0300-00000D000000}"/>
    <hyperlink ref="J51" r:id="rId15" xr:uid="{00000000-0004-0000-0300-00000E000000}"/>
    <hyperlink ref="K51" r:id="rId16" xr:uid="{00000000-0004-0000-0300-00000F000000}"/>
    <hyperlink ref="L51" r:id="rId17" xr:uid="{00000000-0004-0000-0300-000010000000}"/>
    <hyperlink ref="M51" r:id="rId18" xr:uid="{00000000-0004-0000-0300-000011000000}"/>
    <hyperlink ref="N51" r:id="rId19" xr:uid="{00000000-0004-0000-0300-000012000000}"/>
    <hyperlink ref="O51" r:id="rId20" xr:uid="{00000000-0004-0000-0300-000013000000}"/>
    <hyperlink ref="P51" r:id="rId21" xr:uid="{00000000-0004-0000-0300-000014000000}"/>
    <hyperlink ref="J53" r:id="rId22" xr:uid="{00000000-0004-0000-0300-000015000000}"/>
    <hyperlink ref="K53" r:id="rId23" xr:uid="{00000000-0004-0000-0300-000016000000}"/>
    <hyperlink ref="L53" r:id="rId24" xr:uid="{00000000-0004-0000-0300-000017000000}"/>
    <hyperlink ref="M53" r:id="rId25" xr:uid="{00000000-0004-0000-0300-000018000000}"/>
    <hyperlink ref="N53" r:id="rId26" xr:uid="{00000000-0004-0000-0300-000019000000}"/>
    <hyperlink ref="O53" r:id="rId27" xr:uid="{00000000-0004-0000-0300-00001A000000}"/>
    <hyperlink ref="P53" r:id="rId28" xr:uid="{00000000-0004-0000-0300-00001B000000}"/>
    <hyperlink ref="J59" r:id="rId29" xr:uid="{00000000-0004-0000-0300-00001C000000}"/>
    <hyperlink ref="K59" r:id="rId30" xr:uid="{00000000-0004-0000-0300-00001D000000}"/>
    <hyperlink ref="L59" r:id="rId31" xr:uid="{00000000-0004-0000-0300-00001E000000}"/>
    <hyperlink ref="M59" r:id="rId32" xr:uid="{00000000-0004-0000-0300-00001F000000}"/>
    <hyperlink ref="N59" r:id="rId33" xr:uid="{00000000-0004-0000-0300-000020000000}"/>
    <hyperlink ref="O59" r:id="rId34" xr:uid="{00000000-0004-0000-0300-000021000000}"/>
    <hyperlink ref="J63" r:id="rId35" xr:uid="{00000000-0004-0000-0300-000022000000}"/>
    <hyperlink ref="K63" r:id="rId36" xr:uid="{00000000-0004-0000-0300-000023000000}"/>
    <hyperlink ref="L63" r:id="rId37" xr:uid="{00000000-0004-0000-0300-000024000000}"/>
    <hyperlink ref="M63" r:id="rId38" xr:uid="{00000000-0004-0000-0300-000025000000}"/>
    <hyperlink ref="N63" r:id="rId39" xr:uid="{00000000-0004-0000-0300-000026000000}"/>
    <hyperlink ref="O63" r:id="rId40" xr:uid="{00000000-0004-0000-0300-000027000000}"/>
    <hyperlink ref="P63" r:id="rId41" xr:uid="{00000000-0004-0000-0300-000028000000}"/>
    <hyperlink ref="J67" r:id="rId42" xr:uid="{00000000-0004-0000-0300-000029000000}"/>
    <hyperlink ref="K67" r:id="rId43" xr:uid="{00000000-0004-0000-0300-00002A000000}"/>
    <hyperlink ref="L67" r:id="rId44" xr:uid="{00000000-0004-0000-0300-00002B000000}"/>
    <hyperlink ref="M67" r:id="rId45" xr:uid="{00000000-0004-0000-0300-00002C000000}"/>
    <hyperlink ref="N67" r:id="rId46" xr:uid="{00000000-0004-0000-0300-00002D000000}"/>
    <hyperlink ref="O67" r:id="rId47" xr:uid="{00000000-0004-0000-0300-00002E000000}"/>
    <hyperlink ref="P67" r:id="rId48" xr:uid="{00000000-0004-0000-0300-00002F000000}"/>
    <hyperlink ref="J71" r:id="rId49" xr:uid="{00000000-0004-0000-0300-000030000000}"/>
    <hyperlink ref="K71" r:id="rId50" xr:uid="{00000000-0004-0000-0300-000031000000}"/>
    <hyperlink ref="L71" r:id="rId51" xr:uid="{00000000-0004-0000-0300-000032000000}"/>
    <hyperlink ref="M71" r:id="rId52" xr:uid="{00000000-0004-0000-0300-000033000000}"/>
    <hyperlink ref="N71" r:id="rId53" xr:uid="{00000000-0004-0000-0300-000034000000}"/>
    <hyperlink ref="O71" r:id="rId54" xr:uid="{00000000-0004-0000-0300-000035000000}"/>
    <hyperlink ref="P71" r:id="rId55" xr:uid="{00000000-0004-0000-0300-000036000000}"/>
    <hyperlink ref="J75" r:id="rId56" xr:uid="{00000000-0004-0000-0300-000037000000}"/>
    <hyperlink ref="K75" r:id="rId57" xr:uid="{00000000-0004-0000-0300-000038000000}"/>
    <hyperlink ref="L75" r:id="rId58" xr:uid="{00000000-0004-0000-0300-000039000000}"/>
    <hyperlink ref="M75" r:id="rId59" xr:uid="{00000000-0004-0000-0300-00003A000000}"/>
    <hyperlink ref="N75" r:id="rId60" xr:uid="{00000000-0004-0000-0300-00003B000000}"/>
    <hyperlink ref="O75" r:id="rId61" xr:uid="{00000000-0004-0000-0300-00003C000000}"/>
    <hyperlink ref="P75" r:id="rId62" xr:uid="{00000000-0004-0000-0300-00003D000000}"/>
    <hyperlink ref="J77" r:id="rId63" xr:uid="{00000000-0004-0000-0300-00003E000000}"/>
    <hyperlink ref="K77" r:id="rId64" xr:uid="{00000000-0004-0000-0300-00003F000000}"/>
    <hyperlink ref="L77" r:id="rId65" xr:uid="{00000000-0004-0000-0300-000040000000}"/>
    <hyperlink ref="M77" r:id="rId66" xr:uid="{00000000-0004-0000-0300-000041000000}"/>
    <hyperlink ref="N77" r:id="rId67" xr:uid="{00000000-0004-0000-0300-000042000000}"/>
    <hyperlink ref="O77" r:id="rId68" xr:uid="{00000000-0004-0000-0300-000043000000}"/>
    <hyperlink ref="P77" r:id="rId69" xr:uid="{00000000-0004-0000-0300-000044000000}"/>
    <hyperlink ref="J79" r:id="rId70" xr:uid="{00000000-0004-0000-0300-000045000000}"/>
    <hyperlink ref="K79" r:id="rId71" xr:uid="{00000000-0004-0000-0300-000046000000}"/>
    <hyperlink ref="L79" r:id="rId72" xr:uid="{00000000-0004-0000-0300-000047000000}"/>
    <hyperlink ref="M79" r:id="rId73" xr:uid="{00000000-0004-0000-0300-000048000000}"/>
    <hyperlink ref="N79" r:id="rId74" xr:uid="{00000000-0004-0000-0300-000049000000}"/>
    <hyperlink ref="O79" r:id="rId75" xr:uid="{00000000-0004-0000-0300-00004A000000}"/>
    <hyperlink ref="P79" r:id="rId76" xr:uid="{00000000-0004-0000-0300-00004B000000}"/>
    <hyperlink ref="J81" r:id="rId77" xr:uid="{00000000-0004-0000-0300-00004C000000}"/>
    <hyperlink ref="K81" r:id="rId78" xr:uid="{00000000-0004-0000-0300-00004D000000}"/>
    <hyperlink ref="L81" r:id="rId79" xr:uid="{00000000-0004-0000-0300-00004E000000}"/>
    <hyperlink ref="M81" r:id="rId80" xr:uid="{00000000-0004-0000-0300-00004F000000}"/>
    <hyperlink ref="N81" r:id="rId81" xr:uid="{00000000-0004-0000-0300-000050000000}"/>
    <hyperlink ref="O81" r:id="rId82" xr:uid="{00000000-0004-0000-0300-000051000000}"/>
    <hyperlink ref="P81" r:id="rId83" xr:uid="{00000000-0004-0000-0300-000052000000}"/>
    <hyperlink ref="J83" r:id="rId84" xr:uid="{00000000-0004-0000-0300-000053000000}"/>
    <hyperlink ref="K83" r:id="rId85" xr:uid="{00000000-0004-0000-0300-000054000000}"/>
    <hyperlink ref="L83" r:id="rId86" xr:uid="{00000000-0004-0000-0300-000055000000}"/>
    <hyperlink ref="M83" r:id="rId87" xr:uid="{00000000-0004-0000-0300-000056000000}"/>
    <hyperlink ref="N83" r:id="rId88" xr:uid="{00000000-0004-0000-0300-000057000000}"/>
    <hyperlink ref="O83" r:id="rId89" xr:uid="{00000000-0004-0000-0300-000058000000}"/>
    <hyperlink ref="P83" r:id="rId90" xr:uid="{00000000-0004-0000-0300-000059000000}"/>
    <hyperlink ref="J85" r:id="rId91" xr:uid="{00000000-0004-0000-0300-00005A000000}"/>
    <hyperlink ref="K85" r:id="rId92" xr:uid="{00000000-0004-0000-0300-00005B000000}"/>
    <hyperlink ref="L85" r:id="rId93" xr:uid="{00000000-0004-0000-0300-00005C000000}"/>
    <hyperlink ref="M85" r:id="rId94" xr:uid="{00000000-0004-0000-0300-00005D000000}"/>
    <hyperlink ref="N85" r:id="rId95" xr:uid="{00000000-0004-0000-0300-00005E000000}"/>
    <hyperlink ref="O85" r:id="rId96" xr:uid="{00000000-0004-0000-0300-00005F000000}"/>
    <hyperlink ref="P85" r:id="rId97" xr:uid="{00000000-0004-0000-0300-000060000000}"/>
    <hyperlink ref="J87" r:id="rId98" xr:uid="{00000000-0004-0000-0300-000061000000}"/>
    <hyperlink ref="K87" r:id="rId99" xr:uid="{00000000-0004-0000-0300-000062000000}"/>
    <hyperlink ref="L87" r:id="rId100" xr:uid="{00000000-0004-0000-0300-000063000000}"/>
    <hyperlink ref="M87" r:id="rId101" xr:uid="{00000000-0004-0000-0300-000064000000}"/>
    <hyperlink ref="N87" r:id="rId102" xr:uid="{00000000-0004-0000-0300-000065000000}"/>
    <hyperlink ref="O87" r:id="rId103" xr:uid="{00000000-0004-0000-0300-000066000000}"/>
    <hyperlink ref="P87" r:id="rId104" xr:uid="{00000000-0004-0000-0300-000067000000}"/>
    <hyperlink ref="J89" r:id="rId105" xr:uid="{00000000-0004-0000-0300-000068000000}"/>
    <hyperlink ref="K89" r:id="rId106" xr:uid="{00000000-0004-0000-0300-000069000000}"/>
    <hyperlink ref="L89" r:id="rId107" xr:uid="{00000000-0004-0000-0300-00006A000000}"/>
    <hyperlink ref="M89" r:id="rId108" xr:uid="{00000000-0004-0000-0300-00006B000000}"/>
    <hyperlink ref="N89" r:id="rId109" xr:uid="{00000000-0004-0000-0300-00006C000000}"/>
    <hyperlink ref="O89" r:id="rId110" xr:uid="{00000000-0004-0000-0300-00006D000000}"/>
    <hyperlink ref="P89" r:id="rId111" xr:uid="{00000000-0004-0000-0300-00006E000000}"/>
    <hyperlink ref="J91" r:id="rId112" xr:uid="{00000000-0004-0000-0300-00006F000000}"/>
    <hyperlink ref="K91" r:id="rId113" xr:uid="{00000000-0004-0000-0300-000070000000}"/>
    <hyperlink ref="L91" r:id="rId114" xr:uid="{00000000-0004-0000-0300-000071000000}"/>
    <hyperlink ref="M91" r:id="rId115" xr:uid="{00000000-0004-0000-0300-000072000000}"/>
    <hyperlink ref="N91" r:id="rId116" xr:uid="{00000000-0004-0000-0300-000073000000}"/>
    <hyperlink ref="O91" r:id="rId117" xr:uid="{00000000-0004-0000-0300-000074000000}"/>
    <hyperlink ref="P91" r:id="rId118" xr:uid="{00000000-0004-0000-0300-000075000000}"/>
    <hyperlink ref="J93" r:id="rId119" xr:uid="{00000000-0004-0000-0300-000076000000}"/>
    <hyperlink ref="K93" r:id="rId120" xr:uid="{00000000-0004-0000-0300-000077000000}"/>
    <hyperlink ref="L93" r:id="rId121" xr:uid="{00000000-0004-0000-0300-000078000000}"/>
    <hyperlink ref="M93" r:id="rId122" xr:uid="{00000000-0004-0000-0300-000079000000}"/>
    <hyperlink ref="N93" r:id="rId123" xr:uid="{00000000-0004-0000-0300-00007A000000}"/>
    <hyperlink ref="O93" r:id="rId124" xr:uid="{00000000-0004-0000-0300-00007B000000}"/>
    <hyperlink ref="P93" r:id="rId125" xr:uid="{00000000-0004-0000-0300-00007C000000}"/>
    <hyperlink ref="J95" r:id="rId126" xr:uid="{00000000-0004-0000-0300-00007D000000}"/>
    <hyperlink ref="K95" r:id="rId127" xr:uid="{00000000-0004-0000-0300-00007E000000}"/>
    <hyperlink ref="L95" r:id="rId128" xr:uid="{00000000-0004-0000-0300-00007F000000}"/>
    <hyperlink ref="M95" r:id="rId129" xr:uid="{00000000-0004-0000-0300-000080000000}"/>
    <hyperlink ref="N95" r:id="rId130" xr:uid="{00000000-0004-0000-0300-000081000000}"/>
    <hyperlink ref="O95" r:id="rId131" xr:uid="{00000000-0004-0000-0300-000082000000}"/>
    <hyperlink ref="P95" r:id="rId132" xr:uid="{00000000-0004-0000-0300-000083000000}"/>
    <hyperlink ref="J99" r:id="rId133" xr:uid="{00000000-0004-0000-0300-000084000000}"/>
    <hyperlink ref="K99" r:id="rId134" xr:uid="{00000000-0004-0000-0300-000085000000}"/>
    <hyperlink ref="L99" r:id="rId135" xr:uid="{00000000-0004-0000-0300-000086000000}"/>
    <hyperlink ref="M99" r:id="rId136" xr:uid="{00000000-0004-0000-0300-000087000000}"/>
    <hyperlink ref="N99" r:id="rId137" xr:uid="{00000000-0004-0000-0300-000088000000}"/>
    <hyperlink ref="O99" r:id="rId138" xr:uid="{00000000-0004-0000-0300-000089000000}"/>
    <hyperlink ref="P99" r:id="rId139" xr:uid="{00000000-0004-0000-0300-00008A000000}"/>
    <hyperlink ref="J111" r:id="rId140" xr:uid="{00000000-0004-0000-0300-00008B000000}"/>
    <hyperlink ref="K111" r:id="rId141" xr:uid="{00000000-0004-0000-0300-00008C000000}"/>
    <hyperlink ref="L111" r:id="rId142" xr:uid="{00000000-0004-0000-0300-00008D000000}"/>
    <hyperlink ref="M111" r:id="rId143" xr:uid="{00000000-0004-0000-0300-00008E000000}"/>
    <hyperlink ref="N111" r:id="rId144" xr:uid="{00000000-0004-0000-0300-00008F000000}"/>
    <hyperlink ref="O111" r:id="rId145" xr:uid="{00000000-0004-0000-0300-000090000000}"/>
    <hyperlink ref="P111" r:id="rId146" xr:uid="{00000000-0004-0000-0300-000091000000}"/>
    <hyperlink ref="J115" r:id="rId147" xr:uid="{00000000-0004-0000-0300-000092000000}"/>
    <hyperlink ref="K115" r:id="rId148" xr:uid="{00000000-0004-0000-0300-000093000000}"/>
    <hyperlink ref="L115" r:id="rId149" xr:uid="{00000000-0004-0000-0300-000094000000}"/>
    <hyperlink ref="M115" r:id="rId150" xr:uid="{00000000-0004-0000-0300-000095000000}"/>
    <hyperlink ref="N115" r:id="rId151" xr:uid="{00000000-0004-0000-0300-000096000000}"/>
    <hyperlink ref="O115" r:id="rId152" xr:uid="{00000000-0004-0000-0300-000097000000}"/>
    <hyperlink ref="P115" r:id="rId153" xr:uid="{00000000-0004-0000-0300-000098000000}"/>
  </hyperlinks>
  <pageMargins left="0.7" right="0.7" top="0.75" bottom="0.75" header="0.3" footer="0.3"/>
  <tableParts count="2">
    <tablePart r:id="rId154"/>
    <tablePart r:id="rId15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Chiến lược phân phối</vt:lpstr>
      <vt:lpstr>Kết quả tài chính</vt:lpstr>
      <vt:lpstr>Nguồn và phương pháp</vt:lpstr>
      <vt:lpstr>Dữ liệu biểu đồ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NIKE FY2020–FY2026: phân phối và kết quả tài chính</dc:title>
  <dc:creator>Huyền Trang</dc:creator>
  <dc:description>Phiên bản Excel của dashboard. Nguồn: NIKE, Inc. Form 10-K FY2020–FY2026 (SEC EDGAR).</dc:description>
  <cp:lastModifiedBy>Huyền Trang</cp:lastModifiedBy>
  <dcterms:created xsi:type="dcterms:W3CDTF">2026-10-25T02:44:42Z</dcterms:created>
  <dcterms:modified xsi:type="dcterms:W3CDTF">2026-10-25T02:44:44Z</dcterms:modified>
</cp:coreProperties>
</file>